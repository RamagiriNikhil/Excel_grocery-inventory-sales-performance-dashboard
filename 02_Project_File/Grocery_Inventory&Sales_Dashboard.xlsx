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e7a64c1e712a871d/Desktop/Excel/projects/Grocery and sales dashboard/"/>
    </mc:Choice>
  </mc:AlternateContent>
  <xr:revisionPtr revIDLastSave="3223" documentId="8_{74E6C413-4B1F-4ACF-9A09-6CAB041B17D7}" xr6:coauthVersionLast="47" xr6:coauthVersionMax="47" xr10:uidLastSave="{27D33ED9-3B73-4215-8931-59F5E0B8C7B1}"/>
  <bookViews>
    <workbookView xWindow="-103" yWindow="-103" windowWidth="22149" windowHeight="13200" firstSheet="6" activeTab="9" xr2:uid="{79CC04D6-2C43-4B2A-8DAE-EE2D629BE43B}"/>
  </bookViews>
  <sheets>
    <sheet name="data" sheetId="1" r:id="rId1"/>
    <sheet name="Cleaned_data" sheetId="2" r:id="rId2"/>
    <sheet name="Dashboard" sheetId="15" r:id="rId3"/>
    <sheet name="KPI's" sheetId="14" r:id="rId4"/>
    <sheet name="Monthly _Trends" sheetId="7" r:id="rId5"/>
    <sheet name="Revenue by category" sheetId="16" r:id="rId6"/>
    <sheet name="Invt value by category" sheetId="8" r:id="rId7"/>
    <sheet name="Reorder status Dist" sheetId="9" r:id="rId8"/>
    <sheet name="Top Products" sheetId="10" r:id="rId9"/>
    <sheet name="Inventory Turnover rate" sheetId="11" r:id="rId10"/>
  </sheets>
  <definedNames>
    <definedName name="NativeTimeline_Month_Year">#N/A</definedName>
    <definedName name="Slicer_Catagory">#N/A</definedName>
    <definedName name="Slicer_REORDER_STATUS">#N/A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14" l="1"/>
  <c r="W991" i="2" l="1"/>
  <c r="P991" i="2"/>
  <c r="N991" i="2"/>
  <c r="L991" i="2"/>
  <c r="X991" i="2" s="1"/>
  <c r="J991" i="2"/>
  <c r="V991" i="2" s="1"/>
  <c r="W990" i="2"/>
  <c r="P990" i="2"/>
  <c r="Y990" i="2" s="1"/>
  <c r="Z990" i="2" s="1"/>
  <c r="N990" i="2"/>
  <c r="L990" i="2"/>
  <c r="X990" i="2" s="1"/>
  <c r="J990" i="2"/>
  <c r="V990" i="2" s="1"/>
  <c r="W989" i="2"/>
  <c r="P989" i="2"/>
  <c r="N989" i="2"/>
  <c r="L989" i="2"/>
  <c r="J989" i="2"/>
  <c r="V989" i="2" s="1"/>
  <c r="W988" i="2"/>
  <c r="P988" i="2"/>
  <c r="N988" i="2"/>
  <c r="L988" i="2"/>
  <c r="X988" i="2" s="1"/>
  <c r="J988" i="2"/>
  <c r="V988" i="2" s="1"/>
  <c r="W987" i="2"/>
  <c r="P987" i="2"/>
  <c r="Y987" i="2" s="1"/>
  <c r="Z987" i="2" s="1"/>
  <c r="N987" i="2"/>
  <c r="L987" i="2"/>
  <c r="X987" i="2" s="1"/>
  <c r="J987" i="2"/>
  <c r="V987" i="2" s="1"/>
  <c r="W986" i="2"/>
  <c r="V986" i="2"/>
  <c r="P986" i="2"/>
  <c r="N986" i="2"/>
  <c r="L986" i="2"/>
  <c r="Y986" i="2" s="1"/>
  <c r="Z986" i="2" s="1"/>
  <c r="J986" i="2"/>
  <c r="W985" i="2"/>
  <c r="P985" i="2"/>
  <c r="N985" i="2"/>
  <c r="L985" i="2"/>
  <c r="Y985" i="2" s="1"/>
  <c r="Z985" i="2" s="1"/>
  <c r="J985" i="2"/>
  <c r="V985" i="2" s="1"/>
  <c r="W984" i="2"/>
  <c r="P984" i="2"/>
  <c r="Y984" i="2" s="1"/>
  <c r="Z984" i="2" s="1"/>
  <c r="N984" i="2"/>
  <c r="L984" i="2"/>
  <c r="X984" i="2" s="1"/>
  <c r="J984" i="2"/>
  <c r="V984" i="2" s="1"/>
  <c r="W983" i="2"/>
  <c r="P983" i="2"/>
  <c r="Y983" i="2" s="1"/>
  <c r="Z983" i="2" s="1"/>
  <c r="N983" i="2"/>
  <c r="L983" i="2"/>
  <c r="X983" i="2" s="1"/>
  <c r="J983" i="2"/>
  <c r="V983" i="2" s="1"/>
  <c r="W982" i="2"/>
  <c r="P982" i="2"/>
  <c r="N982" i="2"/>
  <c r="L982" i="2"/>
  <c r="Y982" i="2" s="1"/>
  <c r="Z982" i="2" s="1"/>
  <c r="J982" i="2"/>
  <c r="V982" i="2" s="1"/>
  <c r="W981" i="2"/>
  <c r="P981" i="2"/>
  <c r="Y981" i="2" s="1"/>
  <c r="Z981" i="2" s="1"/>
  <c r="N981" i="2"/>
  <c r="L981" i="2"/>
  <c r="X981" i="2" s="1"/>
  <c r="J981" i="2"/>
  <c r="V981" i="2" s="1"/>
  <c r="W980" i="2"/>
  <c r="P980" i="2"/>
  <c r="Y980" i="2" s="1"/>
  <c r="Z980" i="2" s="1"/>
  <c r="N980" i="2"/>
  <c r="L980" i="2"/>
  <c r="X980" i="2" s="1"/>
  <c r="J980" i="2"/>
  <c r="V980" i="2" s="1"/>
  <c r="W979" i="2"/>
  <c r="V979" i="2"/>
  <c r="P979" i="2"/>
  <c r="Y979" i="2" s="1"/>
  <c r="Z979" i="2" s="1"/>
  <c r="N979" i="2"/>
  <c r="L979" i="2"/>
  <c r="X979" i="2" s="1"/>
  <c r="J979" i="2"/>
  <c r="X978" i="2"/>
  <c r="W978" i="2"/>
  <c r="P978" i="2"/>
  <c r="Y978" i="2" s="1"/>
  <c r="Z978" i="2" s="1"/>
  <c r="N978" i="2"/>
  <c r="L978" i="2"/>
  <c r="J978" i="2"/>
  <c r="V978" i="2" s="1"/>
  <c r="Y977" i="2"/>
  <c r="Z977" i="2" s="1"/>
  <c r="X977" i="2"/>
  <c r="W977" i="2"/>
  <c r="P977" i="2"/>
  <c r="N977" i="2"/>
  <c r="L977" i="2"/>
  <c r="J977" i="2"/>
  <c r="V977" i="2" s="1"/>
  <c r="Y976" i="2"/>
  <c r="Z976" i="2" s="1"/>
  <c r="W976" i="2"/>
  <c r="P976" i="2"/>
  <c r="N976" i="2"/>
  <c r="L976" i="2"/>
  <c r="X976" i="2" s="1"/>
  <c r="J976" i="2"/>
  <c r="V976" i="2" s="1"/>
  <c r="W975" i="2"/>
  <c r="V975" i="2"/>
  <c r="P975" i="2"/>
  <c r="N975" i="2"/>
  <c r="L975" i="2"/>
  <c r="X975" i="2" s="1"/>
  <c r="J975" i="2"/>
  <c r="W974" i="2"/>
  <c r="P974" i="2"/>
  <c r="N974" i="2"/>
  <c r="L974" i="2"/>
  <c r="Y974" i="2" s="1"/>
  <c r="Z974" i="2" s="1"/>
  <c r="J974" i="2"/>
  <c r="V974" i="2" s="1"/>
  <c r="W973" i="2"/>
  <c r="P973" i="2"/>
  <c r="Y973" i="2" s="1"/>
  <c r="Z973" i="2" s="1"/>
  <c r="N973" i="2"/>
  <c r="L973" i="2"/>
  <c r="X973" i="2" s="1"/>
  <c r="J973" i="2"/>
  <c r="V973" i="2" s="1"/>
  <c r="W972" i="2"/>
  <c r="P972" i="2"/>
  <c r="N972" i="2"/>
  <c r="L972" i="2"/>
  <c r="J972" i="2"/>
  <c r="V972" i="2" s="1"/>
  <c r="W971" i="2"/>
  <c r="V971" i="2"/>
  <c r="P971" i="2"/>
  <c r="N971" i="2"/>
  <c r="L971" i="2"/>
  <c r="X971" i="2" s="1"/>
  <c r="J971" i="2"/>
  <c r="X970" i="2"/>
  <c r="W970" i="2"/>
  <c r="V970" i="2"/>
  <c r="P970" i="2"/>
  <c r="Y970" i="2" s="1"/>
  <c r="Z970" i="2" s="1"/>
  <c r="N970" i="2"/>
  <c r="L970" i="2"/>
  <c r="J970" i="2"/>
  <c r="X969" i="2"/>
  <c r="W969" i="2"/>
  <c r="P969" i="2"/>
  <c r="N969" i="2"/>
  <c r="L969" i="2"/>
  <c r="J969" i="2"/>
  <c r="V969" i="2" s="1"/>
  <c r="W968" i="2"/>
  <c r="P968" i="2"/>
  <c r="N968" i="2"/>
  <c r="L968" i="2"/>
  <c r="J968" i="2"/>
  <c r="V968" i="2" s="1"/>
  <c r="W967" i="2"/>
  <c r="P967" i="2"/>
  <c r="Y967" i="2" s="1"/>
  <c r="Z967" i="2" s="1"/>
  <c r="N967" i="2"/>
  <c r="L967" i="2"/>
  <c r="X967" i="2" s="1"/>
  <c r="J967" i="2"/>
  <c r="V967" i="2" s="1"/>
  <c r="Y966" i="2"/>
  <c r="Z966" i="2" s="1"/>
  <c r="X966" i="2"/>
  <c r="W966" i="2"/>
  <c r="P966" i="2"/>
  <c r="N966" i="2"/>
  <c r="L966" i="2"/>
  <c r="J966" i="2"/>
  <c r="V966" i="2" s="1"/>
  <c r="W965" i="2"/>
  <c r="P965" i="2"/>
  <c r="N965" i="2"/>
  <c r="L965" i="2"/>
  <c r="J965" i="2"/>
  <c r="V965" i="2" s="1"/>
  <c r="W964" i="2"/>
  <c r="P964" i="2"/>
  <c r="N964" i="2"/>
  <c r="L964" i="2"/>
  <c r="X964" i="2" s="1"/>
  <c r="J964" i="2"/>
  <c r="V964" i="2" s="1"/>
  <c r="W963" i="2"/>
  <c r="V963" i="2"/>
  <c r="P963" i="2"/>
  <c r="Y963" i="2" s="1"/>
  <c r="Z963" i="2" s="1"/>
  <c r="N963" i="2"/>
  <c r="L963" i="2"/>
  <c r="X963" i="2" s="1"/>
  <c r="J963" i="2"/>
  <c r="X962" i="2"/>
  <c r="W962" i="2"/>
  <c r="P962" i="2"/>
  <c r="Y962" i="2" s="1"/>
  <c r="Z962" i="2" s="1"/>
  <c r="N962" i="2"/>
  <c r="L962" i="2"/>
  <c r="J962" i="2"/>
  <c r="V962" i="2" s="1"/>
  <c r="W961" i="2"/>
  <c r="P961" i="2"/>
  <c r="N961" i="2"/>
  <c r="L961" i="2"/>
  <c r="J961" i="2"/>
  <c r="V961" i="2" s="1"/>
  <c r="W960" i="2"/>
  <c r="P960" i="2"/>
  <c r="Y960" i="2" s="1"/>
  <c r="Z960" i="2" s="1"/>
  <c r="N960" i="2"/>
  <c r="L960" i="2"/>
  <c r="X960" i="2" s="1"/>
  <c r="J960" i="2"/>
  <c r="V960" i="2" s="1"/>
  <c r="W959" i="2"/>
  <c r="V959" i="2"/>
  <c r="P959" i="2"/>
  <c r="N959" i="2"/>
  <c r="L959" i="2"/>
  <c r="X959" i="2" s="1"/>
  <c r="J959" i="2"/>
  <c r="W958" i="2"/>
  <c r="P958" i="2"/>
  <c r="Y958" i="2" s="1"/>
  <c r="Z958" i="2" s="1"/>
  <c r="N958" i="2"/>
  <c r="L958" i="2"/>
  <c r="X958" i="2" s="1"/>
  <c r="J958" i="2"/>
  <c r="V958" i="2" s="1"/>
  <c r="W957" i="2"/>
  <c r="P957" i="2"/>
  <c r="N957" i="2"/>
  <c r="L957" i="2"/>
  <c r="J957" i="2"/>
  <c r="V957" i="2" s="1"/>
  <c r="W956" i="2"/>
  <c r="P956" i="2"/>
  <c r="N956" i="2"/>
  <c r="L956" i="2"/>
  <c r="X956" i="2" s="1"/>
  <c r="J956" i="2"/>
  <c r="V956" i="2" s="1"/>
  <c r="W955" i="2"/>
  <c r="P955" i="2"/>
  <c r="N955" i="2"/>
  <c r="L955" i="2"/>
  <c r="X955" i="2" s="1"/>
  <c r="J955" i="2"/>
  <c r="V955" i="2" s="1"/>
  <c r="W954" i="2"/>
  <c r="V954" i="2"/>
  <c r="P954" i="2"/>
  <c r="N954" i="2"/>
  <c r="L954" i="2"/>
  <c r="J954" i="2"/>
  <c r="W953" i="2"/>
  <c r="P953" i="2"/>
  <c r="N953" i="2"/>
  <c r="L953" i="2"/>
  <c r="X953" i="2" s="1"/>
  <c r="J953" i="2"/>
  <c r="V953" i="2" s="1"/>
  <c r="W952" i="2"/>
  <c r="P952" i="2"/>
  <c r="Y952" i="2" s="1"/>
  <c r="Z952" i="2" s="1"/>
  <c r="N952" i="2"/>
  <c r="L952" i="2"/>
  <c r="X952" i="2" s="1"/>
  <c r="J952" i="2"/>
  <c r="V952" i="2" s="1"/>
  <c r="W951" i="2"/>
  <c r="P951" i="2"/>
  <c r="Y951" i="2" s="1"/>
  <c r="Z951" i="2" s="1"/>
  <c r="N951" i="2"/>
  <c r="L951" i="2"/>
  <c r="X951" i="2" s="1"/>
  <c r="J951" i="2"/>
  <c r="V951" i="2" s="1"/>
  <c r="Y950" i="2"/>
  <c r="Z950" i="2" s="1"/>
  <c r="W950" i="2"/>
  <c r="P950" i="2"/>
  <c r="N950" i="2"/>
  <c r="L950" i="2"/>
  <c r="X950" i="2" s="1"/>
  <c r="J950" i="2"/>
  <c r="V950" i="2" s="1"/>
  <c r="W949" i="2"/>
  <c r="P949" i="2"/>
  <c r="Y949" i="2" s="1"/>
  <c r="Z949" i="2" s="1"/>
  <c r="N949" i="2"/>
  <c r="L949" i="2"/>
  <c r="X949" i="2" s="1"/>
  <c r="J949" i="2"/>
  <c r="V949" i="2" s="1"/>
  <c r="W948" i="2"/>
  <c r="P948" i="2"/>
  <c r="Y948" i="2" s="1"/>
  <c r="Z948" i="2" s="1"/>
  <c r="N948" i="2"/>
  <c r="L948" i="2"/>
  <c r="X948" i="2" s="1"/>
  <c r="J948" i="2"/>
  <c r="V948" i="2" s="1"/>
  <c r="W947" i="2"/>
  <c r="P947" i="2"/>
  <c r="Y947" i="2" s="1"/>
  <c r="Z947" i="2" s="1"/>
  <c r="N947" i="2"/>
  <c r="L947" i="2"/>
  <c r="X947" i="2" s="1"/>
  <c r="J947" i="2"/>
  <c r="V947" i="2" s="1"/>
  <c r="X946" i="2"/>
  <c r="W946" i="2"/>
  <c r="P946" i="2"/>
  <c r="Y946" i="2" s="1"/>
  <c r="Z946" i="2" s="1"/>
  <c r="N946" i="2"/>
  <c r="L946" i="2"/>
  <c r="J946" i="2"/>
  <c r="V946" i="2" s="1"/>
  <c r="Y945" i="2"/>
  <c r="Z945" i="2" s="1"/>
  <c r="W945" i="2"/>
  <c r="P945" i="2"/>
  <c r="N945" i="2"/>
  <c r="L945" i="2"/>
  <c r="X945" i="2" s="1"/>
  <c r="J945" i="2"/>
  <c r="V945" i="2" s="1"/>
  <c r="Y944" i="2"/>
  <c r="Z944" i="2" s="1"/>
  <c r="W944" i="2"/>
  <c r="P944" i="2"/>
  <c r="N944" i="2"/>
  <c r="L944" i="2"/>
  <c r="X944" i="2" s="1"/>
  <c r="J944" i="2"/>
  <c r="V944" i="2" s="1"/>
  <c r="W943" i="2"/>
  <c r="V943" i="2"/>
  <c r="P943" i="2"/>
  <c r="N943" i="2"/>
  <c r="L943" i="2"/>
  <c r="X943" i="2" s="1"/>
  <c r="J943" i="2"/>
  <c r="X942" i="2"/>
  <c r="W942" i="2"/>
  <c r="P942" i="2"/>
  <c r="Y942" i="2" s="1"/>
  <c r="Z942" i="2" s="1"/>
  <c r="N942" i="2"/>
  <c r="L942" i="2"/>
  <c r="J942" i="2"/>
  <c r="V942" i="2" s="1"/>
  <c r="Y941" i="2"/>
  <c r="Z941" i="2" s="1"/>
  <c r="W941" i="2"/>
  <c r="P941" i="2"/>
  <c r="N941" i="2"/>
  <c r="L941" i="2"/>
  <c r="X941" i="2" s="1"/>
  <c r="J941" i="2"/>
  <c r="V941" i="2" s="1"/>
  <c r="Y940" i="2"/>
  <c r="Z940" i="2" s="1"/>
  <c r="W940" i="2"/>
  <c r="P940" i="2"/>
  <c r="N940" i="2"/>
  <c r="L940" i="2"/>
  <c r="X940" i="2" s="1"/>
  <c r="J940" i="2"/>
  <c r="V940" i="2" s="1"/>
  <c r="W939" i="2"/>
  <c r="V939" i="2"/>
  <c r="P939" i="2"/>
  <c r="N939" i="2"/>
  <c r="L939" i="2"/>
  <c r="X939" i="2" s="1"/>
  <c r="J939" i="2"/>
  <c r="W938" i="2"/>
  <c r="P938" i="2"/>
  <c r="N938" i="2"/>
  <c r="L938" i="2"/>
  <c r="Y938" i="2" s="1"/>
  <c r="Z938" i="2" s="1"/>
  <c r="J938" i="2"/>
  <c r="V938" i="2" s="1"/>
  <c r="W937" i="2"/>
  <c r="P937" i="2"/>
  <c r="N937" i="2"/>
  <c r="L937" i="2"/>
  <c r="X937" i="2" s="1"/>
  <c r="J937" i="2"/>
  <c r="V937" i="2" s="1"/>
  <c r="W936" i="2"/>
  <c r="P936" i="2"/>
  <c r="N936" i="2"/>
  <c r="L936" i="2"/>
  <c r="J936" i="2"/>
  <c r="V936" i="2" s="1"/>
  <c r="W935" i="2"/>
  <c r="V935" i="2"/>
  <c r="P935" i="2"/>
  <c r="Y935" i="2" s="1"/>
  <c r="Z935" i="2" s="1"/>
  <c r="N935" i="2"/>
  <c r="L935" i="2"/>
  <c r="X935" i="2" s="1"/>
  <c r="J935" i="2"/>
  <c r="X934" i="2"/>
  <c r="W934" i="2"/>
  <c r="P934" i="2"/>
  <c r="Y934" i="2" s="1"/>
  <c r="Z934" i="2" s="1"/>
  <c r="N934" i="2"/>
  <c r="L934" i="2"/>
  <c r="J934" i="2"/>
  <c r="V934" i="2" s="1"/>
  <c r="Y933" i="2"/>
  <c r="Z933" i="2" s="1"/>
  <c r="W933" i="2"/>
  <c r="P933" i="2"/>
  <c r="N933" i="2"/>
  <c r="L933" i="2"/>
  <c r="X933" i="2" s="1"/>
  <c r="J933" i="2"/>
  <c r="V933" i="2" s="1"/>
  <c r="W932" i="2"/>
  <c r="P932" i="2"/>
  <c r="N932" i="2"/>
  <c r="L932" i="2"/>
  <c r="X932" i="2" s="1"/>
  <c r="J932" i="2"/>
  <c r="V932" i="2" s="1"/>
  <c r="W931" i="2"/>
  <c r="P931" i="2"/>
  <c r="Y931" i="2" s="1"/>
  <c r="Z931" i="2" s="1"/>
  <c r="N931" i="2"/>
  <c r="L931" i="2"/>
  <c r="X931" i="2" s="1"/>
  <c r="J931" i="2"/>
  <c r="V931" i="2" s="1"/>
  <c r="Y930" i="2"/>
  <c r="Z930" i="2" s="1"/>
  <c r="W930" i="2"/>
  <c r="P930" i="2"/>
  <c r="N930" i="2"/>
  <c r="L930" i="2"/>
  <c r="X930" i="2" s="1"/>
  <c r="J930" i="2"/>
  <c r="V930" i="2" s="1"/>
  <c r="W929" i="2"/>
  <c r="P929" i="2"/>
  <c r="N929" i="2"/>
  <c r="L929" i="2"/>
  <c r="J929" i="2"/>
  <c r="V929" i="2" s="1"/>
  <c r="W928" i="2"/>
  <c r="P928" i="2"/>
  <c r="Y928" i="2" s="1"/>
  <c r="Z928" i="2" s="1"/>
  <c r="N928" i="2"/>
  <c r="L928" i="2"/>
  <c r="X928" i="2" s="1"/>
  <c r="J928" i="2"/>
  <c r="V928" i="2" s="1"/>
  <c r="W927" i="2"/>
  <c r="V927" i="2"/>
  <c r="P927" i="2"/>
  <c r="Y927" i="2" s="1"/>
  <c r="Z927" i="2" s="1"/>
  <c r="N927" i="2"/>
  <c r="L927" i="2"/>
  <c r="X927" i="2" s="1"/>
  <c r="J927" i="2"/>
  <c r="Y926" i="2"/>
  <c r="Z926" i="2" s="1"/>
  <c r="X926" i="2"/>
  <c r="W926" i="2"/>
  <c r="P926" i="2"/>
  <c r="N926" i="2"/>
  <c r="L926" i="2"/>
  <c r="J926" i="2"/>
  <c r="V926" i="2" s="1"/>
  <c r="W925" i="2"/>
  <c r="P925" i="2"/>
  <c r="N925" i="2"/>
  <c r="L925" i="2"/>
  <c r="J925" i="2"/>
  <c r="V925" i="2" s="1"/>
  <c r="W924" i="2"/>
  <c r="P924" i="2"/>
  <c r="Y924" i="2" s="1"/>
  <c r="Z924" i="2" s="1"/>
  <c r="N924" i="2"/>
  <c r="L924" i="2"/>
  <c r="X924" i="2" s="1"/>
  <c r="J924" i="2"/>
  <c r="V924" i="2" s="1"/>
  <c r="W923" i="2"/>
  <c r="V923" i="2"/>
  <c r="P923" i="2"/>
  <c r="N923" i="2"/>
  <c r="L923" i="2"/>
  <c r="X923" i="2" s="1"/>
  <c r="J923" i="2"/>
  <c r="X922" i="2"/>
  <c r="W922" i="2"/>
  <c r="V922" i="2"/>
  <c r="P922" i="2"/>
  <c r="Y922" i="2" s="1"/>
  <c r="Z922" i="2" s="1"/>
  <c r="N922" i="2"/>
  <c r="L922" i="2"/>
  <c r="J922" i="2"/>
  <c r="X921" i="2"/>
  <c r="W921" i="2"/>
  <c r="P921" i="2"/>
  <c r="Y921" i="2" s="1"/>
  <c r="Z921" i="2" s="1"/>
  <c r="N921" i="2"/>
  <c r="L921" i="2"/>
  <c r="J921" i="2"/>
  <c r="V921" i="2" s="1"/>
  <c r="W920" i="2"/>
  <c r="P920" i="2"/>
  <c r="N920" i="2"/>
  <c r="L920" i="2"/>
  <c r="X920" i="2" s="1"/>
  <c r="J920" i="2"/>
  <c r="V920" i="2" s="1"/>
  <c r="W919" i="2"/>
  <c r="P919" i="2"/>
  <c r="Y919" i="2" s="1"/>
  <c r="Z919" i="2" s="1"/>
  <c r="N919" i="2"/>
  <c r="L919" i="2"/>
  <c r="X919" i="2" s="1"/>
  <c r="J919" i="2"/>
  <c r="V919" i="2" s="1"/>
  <c r="X918" i="2"/>
  <c r="W918" i="2"/>
  <c r="P918" i="2"/>
  <c r="Y918" i="2" s="1"/>
  <c r="Z918" i="2" s="1"/>
  <c r="N918" i="2"/>
  <c r="L918" i="2"/>
  <c r="J918" i="2"/>
  <c r="V918" i="2" s="1"/>
  <c r="W917" i="2"/>
  <c r="P917" i="2"/>
  <c r="N917" i="2"/>
  <c r="L917" i="2"/>
  <c r="Y917" i="2" s="1"/>
  <c r="Z917" i="2" s="1"/>
  <c r="J917" i="2"/>
  <c r="V917" i="2" s="1"/>
  <c r="W916" i="2"/>
  <c r="P916" i="2"/>
  <c r="N916" i="2"/>
  <c r="L916" i="2"/>
  <c r="X916" i="2" s="1"/>
  <c r="J916" i="2"/>
  <c r="V916" i="2" s="1"/>
  <c r="W915" i="2"/>
  <c r="P915" i="2"/>
  <c r="N915" i="2"/>
  <c r="L915" i="2"/>
  <c r="X915" i="2" s="1"/>
  <c r="J915" i="2"/>
  <c r="V915" i="2" s="1"/>
  <c r="X914" i="2"/>
  <c r="W914" i="2"/>
  <c r="P914" i="2"/>
  <c r="Y914" i="2" s="1"/>
  <c r="Z914" i="2" s="1"/>
  <c r="N914" i="2"/>
  <c r="L914" i="2"/>
  <c r="J914" i="2"/>
  <c r="V914" i="2" s="1"/>
  <c r="Y913" i="2"/>
  <c r="Z913" i="2" s="1"/>
  <c r="W913" i="2"/>
  <c r="P913" i="2"/>
  <c r="N913" i="2"/>
  <c r="L913" i="2"/>
  <c r="X913" i="2" s="1"/>
  <c r="J913" i="2"/>
  <c r="V913" i="2" s="1"/>
  <c r="W912" i="2"/>
  <c r="P912" i="2"/>
  <c r="N912" i="2"/>
  <c r="L912" i="2"/>
  <c r="X912" i="2" s="1"/>
  <c r="J912" i="2"/>
  <c r="V912" i="2" s="1"/>
  <c r="W911" i="2"/>
  <c r="P911" i="2"/>
  <c r="N911" i="2"/>
  <c r="L911" i="2"/>
  <c r="X911" i="2" s="1"/>
  <c r="J911" i="2"/>
  <c r="V911" i="2" s="1"/>
  <c r="X910" i="2"/>
  <c r="W910" i="2"/>
  <c r="P910" i="2"/>
  <c r="Y910" i="2" s="1"/>
  <c r="Z910" i="2" s="1"/>
  <c r="N910" i="2"/>
  <c r="L910" i="2"/>
  <c r="J910" i="2"/>
  <c r="V910" i="2" s="1"/>
  <c r="Y909" i="2"/>
  <c r="Z909" i="2" s="1"/>
  <c r="X909" i="2"/>
  <c r="W909" i="2"/>
  <c r="P909" i="2"/>
  <c r="N909" i="2"/>
  <c r="L909" i="2"/>
  <c r="J909" i="2"/>
  <c r="V909" i="2" s="1"/>
  <c r="X908" i="2"/>
  <c r="W908" i="2"/>
  <c r="P908" i="2"/>
  <c r="N908" i="2"/>
  <c r="L908" i="2"/>
  <c r="J908" i="2"/>
  <c r="V908" i="2" s="1"/>
  <c r="W907" i="2"/>
  <c r="V907" i="2"/>
  <c r="P907" i="2"/>
  <c r="N907" i="2"/>
  <c r="L907" i="2"/>
  <c r="X907" i="2" s="1"/>
  <c r="J907" i="2"/>
  <c r="W906" i="2"/>
  <c r="P906" i="2"/>
  <c r="Y906" i="2" s="1"/>
  <c r="Z906" i="2" s="1"/>
  <c r="N906" i="2"/>
  <c r="L906" i="2"/>
  <c r="X906" i="2" s="1"/>
  <c r="J906" i="2"/>
  <c r="V906" i="2" s="1"/>
  <c r="W905" i="2"/>
  <c r="P905" i="2"/>
  <c r="N905" i="2"/>
  <c r="L905" i="2"/>
  <c r="J905" i="2"/>
  <c r="V905" i="2" s="1"/>
  <c r="W904" i="2"/>
  <c r="P904" i="2"/>
  <c r="N904" i="2"/>
  <c r="L904" i="2"/>
  <c r="X904" i="2" s="1"/>
  <c r="J904" i="2"/>
  <c r="V904" i="2" s="1"/>
  <c r="W903" i="2"/>
  <c r="P903" i="2"/>
  <c r="N903" i="2"/>
  <c r="L903" i="2"/>
  <c r="X903" i="2" s="1"/>
  <c r="J903" i="2"/>
  <c r="V903" i="2" s="1"/>
  <c r="W902" i="2"/>
  <c r="P902" i="2"/>
  <c r="N902" i="2"/>
  <c r="L902" i="2"/>
  <c r="X902" i="2" s="1"/>
  <c r="J902" i="2"/>
  <c r="V902" i="2" s="1"/>
  <c r="W901" i="2"/>
  <c r="P901" i="2"/>
  <c r="Y901" i="2" s="1"/>
  <c r="Z901" i="2" s="1"/>
  <c r="N901" i="2"/>
  <c r="L901" i="2"/>
  <c r="X901" i="2" s="1"/>
  <c r="J901" i="2"/>
  <c r="V901" i="2" s="1"/>
  <c r="W900" i="2"/>
  <c r="P900" i="2"/>
  <c r="N900" i="2"/>
  <c r="L900" i="2"/>
  <c r="J900" i="2"/>
  <c r="V900" i="2" s="1"/>
  <c r="W899" i="2"/>
  <c r="P899" i="2"/>
  <c r="N899" i="2"/>
  <c r="L899" i="2"/>
  <c r="X899" i="2" s="1"/>
  <c r="J899" i="2"/>
  <c r="V899" i="2" s="1"/>
  <c r="X898" i="2"/>
  <c r="W898" i="2"/>
  <c r="P898" i="2"/>
  <c r="Y898" i="2" s="1"/>
  <c r="Z898" i="2" s="1"/>
  <c r="N898" i="2"/>
  <c r="L898" i="2"/>
  <c r="J898" i="2"/>
  <c r="V898" i="2" s="1"/>
  <c r="W897" i="2"/>
  <c r="P897" i="2"/>
  <c r="N897" i="2"/>
  <c r="L897" i="2"/>
  <c r="Y897" i="2" s="1"/>
  <c r="Z897" i="2" s="1"/>
  <c r="J897" i="2"/>
  <c r="V897" i="2" s="1"/>
  <c r="X896" i="2"/>
  <c r="W896" i="2"/>
  <c r="P896" i="2"/>
  <c r="Y896" i="2" s="1"/>
  <c r="Z896" i="2" s="1"/>
  <c r="N896" i="2"/>
  <c r="L896" i="2"/>
  <c r="J896" i="2"/>
  <c r="V896" i="2" s="1"/>
  <c r="W895" i="2"/>
  <c r="P895" i="2"/>
  <c r="Y895" i="2" s="1"/>
  <c r="Z895" i="2" s="1"/>
  <c r="N895" i="2"/>
  <c r="L895" i="2"/>
  <c r="X895" i="2" s="1"/>
  <c r="J895" i="2"/>
  <c r="V895" i="2" s="1"/>
  <c r="W894" i="2"/>
  <c r="P894" i="2"/>
  <c r="N894" i="2"/>
  <c r="L894" i="2"/>
  <c r="Y894" i="2" s="1"/>
  <c r="Z894" i="2" s="1"/>
  <c r="J894" i="2"/>
  <c r="V894" i="2" s="1"/>
  <c r="W893" i="2"/>
  <c r="P893" i="2"/>
  <c r="Y893" i="2" s="1"/>
  <c r="Z893" i="2" s="1"/>
  <c r="N893" i="2"/>
  <c r="L893" i="2"/>
  <c r="X893" i="2" s="1"/>
  <c r="J893" i="2"/>
  <c r="V893" i="2" s="1"/>
  <c r="W892" i="2"/>
  <c r="P892" i="2"/>
  <c r="N892" i="2"/>
  <c r="L892" i="2"/>
  <c r="X892" i="2" s="1"/>
  <c r="J892" i="2"/>
  <c r="V892" i="2" s="1"/>
  <c r="W891" i="2"/>
  <c r="V891" i="2"/>
  <c r="P891" i="2"/>
  <c r="Y891" i="2" s="1"/>
  <c r="Z891" i="2" s="1"/>
  <c r="N891" i="2"/>
  <c r="L891" i="2"/>
  <c r="X891" i="2" s="1"/>
  <c r="J891" i="2"/>
  <c r="X890" i="2"/>
  <c r="W890" i="2"/>
  <c r="V890" i="2"/>
  <c r="P890" i="2"/>
  <c r="Y890" i="2" s="1"/>
  <c r="Z890" i="2" s="1"/>
  <c r="N890" i="2"/>
  <c r="L890" i="2"/>
  <c r="J890" i="2"/>
  <c r="X889" i="2"/>
  <c r="W889" i="2"/>
  <c r="P889" i="2"/>
  <c r="Y889" i="2" s="1"/>
  <c r="Z889" i="2" s="1"/>
  <c r="N889" i="2"/>
  <c r="L889" i="2"/>
  <c r="J889" i="2"/>
  <c r="V889" i="2" s="1"/>
  <c r="W888" i="2"/>
  <c r="P888" i="2"/>
  <c r="Y888" i="2" s="1"/>
  <c r="Z888" i="2" s="1"/>
  <c r="N888" i="2"/>
  <c r="L888" i="2"/>
  <c r="X888" i="2" s="1"/>
  <c r="J888" i="2"/>
  <c r="V888" i="2" s="1"/>
  <c r="W887" i="2"/>
  <c r="P887" i="2"/>
  <c r="Y887" i="2" s="1"/>
  <c r="Z887" i="2" s="1"/>
  <c r="N887" i="2"/>
  <c r="L887" i="2"/>
  <c r="X887" i="2" s="1"/>
  <c r="J887" i="2"/>
  <c r="V887" i="2" s="1"/>
  <c r="W886" i="2"/>
  <c r="P886" i="2"/>
  <c r="Y886" i="2" s="1"/>
  <c r="Z886" i="2" s="1"/>
  <c r="N886" i="2"/>
  <c r="L886" i="2"/>
  <c r="X886" i="2" s="1"/>
  <c r="J886" i="2"/>
  <c r="V886" i="2" s="1"/>
  <c r="W885" i="2"/>
  <c r="P885" i="2"/>
  <c r="N885" i="2"/>
  <c r="L885" i="2"/>
  <c r="J885" i="2"/>
  <c r="V885" i="2" s="1"/>
  <c r="X884" i="2"/>
  <c r="W884" i="2"/>
  <c r="P884" i="2"/>
  <c r="Y884" i="2" s="1"/>
  <c r="Z884" i="2" s="1"/>
  <c r="N884" i="2"/>
  <c r="L884" i="2"/>
  <c r="J884" i="2"/>
  <c r="V884" i="2" s="1"/>
  <c r="Y883" i="2"/>
  <c r="Z883" i="2" s="1"/>
  <c r="W883" i="2"/>
  <c r="V883" i="2"/>
  <c r="P883" i="2"/>
  <c r="N883" i="2"/>
  <c r="L883" i="2"/>
  <c r="X883" i="2" s="1"/>
  <c r="J883" i="2"/>
  <c r="Y882" i="2"/>
  <c r="Z882" i="2" s="1"/>
  <c r="X882" i="2"/>
  <c r="W882" i="2"/>
  <c r="P882" i="2"/>
  <c r="N882" i="2"/>
  <c r="L882" i="2"/>
  <c r="J882" i="2"/>
  <c r="V882" i="2" s="1"/>
  <c r="Z881" i="2"/>
  <c r="Y881" i="2"/>
  <c r="W881" i="2"/>
  <c r="P881" i="2"/>
  <c r="N881" i="2"/>
  <c r="L881" i="2"/>
  <c r="X881" i="2" s="1"/>
  <c r="J881" i="2"/>
  <c r="V881" i="2" s="1"/>
  <c r="W880" i="2"/>
  <c r="P880" i="2"/>
  <c r="N880" i="2"/>
  <c r="L880" i="2"/>
  <c r="J880" i="2"/>
  <c r="V880" i="2" s="1"/>
  <c r="W879" i="2"/>
  <c r="P879" i="2"/>
  <c r="N879" i="2"/>
  <c r="L879" i="2"/>
  <c r="X879" i="2" s="1"/>
  <c r="J879" i="2"/>
  <c r="V879" i="2" s="1"/>
  <c r="X878" i="2"/>
  <c r="W878" i="2"/>
  <c r="V878" i="2"/>
  <c r="P878" i="2"/>
  <c r="Y878" i="2" s="1"/>
  <c r="Z878" i="2" s="1"/>
  <c r="N878" i="2"/>
  <c r="L878" i="2"/>
  <c r="J878" i="2"/>
  <c r="X877" i="2"/>
  <c r="W877" i="2"/>
  <c r="P877" i="2"/>
  <c r="Y877" i="2" s="1"/>
  <c r="Z877" i="2" s="1"/>
  <c r="N877" i="2"/>
  <c r="L877" i="2"/>
  <c r="J877" i="2"/>
  <c r="V877" i="2" s="1"/>
  <c r="W876" i="2"/>
  <c r="P876" i="2"/>
  <c r="N876" i="2"/>
  <c r="L876" i="2"/>
  <c r="X876" i="2" s="1"/>
  <c r="J876" i="2"/>
  <c r="V876" i="2" s="1"/>
  <c r="W875" i="2"/>
  <c r="P875" i="2"/>
  <c r="Y875" i="2" s="1"/>
  <c r="Z875" i="2" s="1"/>
  <c r="N875" i="2"/>
  <c r="L875" i="2"/>
  <c r="X875" i="2" s="1"/>
  <c r="J875" i="2"/>
  <c r="V875" i="2" s="1"/>
  <c r="X874" i="2"/>
  <c r="W874" i="2"/>
  <c r="P874" i="2"/>
  <c r="Y874" i="2" s="1"/>
  <c r="Z874" i="2" s="1"/>
  <c r="N874" i="2"/>
  <c r="L874" i="2"/>
  <c r="J874" i="2"/>
  <c r="V874" i="2" s="1"/>
  <c r="X873" i="2"/>
  <c r="W873" i="2"/>
  <c r="P873" i="2"/>
  <c r="Y873" i="2" s="1"/>
  <c r="Z873" i="2" s="1"/>
  <c r="N873" i="2"/>
  <c r="L873" i="2"/>
  <c r="J873" i="2"/>
  <c r="V873" i="2" s="1"/>
  <c r="W872" i="2"/>
  <c r="P872" i="2"/>
  <c r="N872" i="2"/>
  <c r="L872" i="2"/>
  <c r="J872" i="2"/>
  <c r="V872" i="2" s="1"/>
  <c r="W871" i="2"/>
  <c r="P871" i="2"/>
  <c r="N871" i="2"/>
  <c r="L871" i="2"/>
  <c r="J871" i="2"/>
  <c r="V871" i="2" s="1"/>
  <c r="W870" i="2"/>
  <c r="P870" i="2"/>
  <c r="N870" i="2"/>
  <c r="L870" i="2"/>
  <c r="X870" i="2" s="1"/>
  <c r="J870" i="2"/>
  <c r="V870" i="2" s="1"/>
  <c r="W869" i="2"/>
  <c r="V869" i="2"/>
  <c r="P869" i="2"/>
  <c r="Y869" i="2" s="1"/>
  <c r="Z869" i="2" s="1"/>
  <c r="N869" i="2"/>
  <c r="L869" i="2"/>
  <c r="X869" i="2" s="1"/>
  <c r="J869" i="2"/>
  <c r="W868" i="2"/>
  <c r="P868" i="2"/>
  <c r="N868" i="2"/>
  <c r="L868" i="2"/>
  <c r="J868" i="2"/>
  <c r="V868" i="2" s="1"/>
  <c r="W867" i="2"/>
  <c r="P867" i="2"/>
  <c r="N867" i="2"/>
  <c r="L867" i="2"/>
  <c r="J867" i="2"/>
  <c r="V867" i="2" s="1"/>
  <c r="W866" i="2"/>
  <c r="V866" i="2"/>
  <c r="P866" i="2"/>
  <c r="N866" i="2"/>
  <c r="L866" i="2"/>
  <c r="X866" i="2" s="1"/>
  <c r="J866" i="2"/>
  <c r="X865" i="2"/>
  <c r="W865" i="2"/>
  <c r="P865" i="2"/>
  <c r="Y865" i="2" s="1"/>
  <c r="Z865" i="2" s="1"/>
  <c r="N865" i="2"/>
  <c r="L865" i="2"/>
  <c r="J865" i="2"/>
  <c r="V865" i="2" s="1"/>
  <c r="W864" i="2"/>
  <c r="P864" i="2"/>
  <c r="N864" i="2"/>
  <c r="L864" i="2"/>
  <c r="J864" i="2"/>
  <c r="V864" i="2" s="1"/>
  <c r="W863" i="2"/>
  <c r="P863" i="2"/>
  <c r="N863" i="2"/>
  <c r="L863" i="2"/>
  <c r="J863" i="2"/>
  <c r="V863" i="2" s="1"/>
  <c r="X862" i="2"/>
  <c r="W862" i="2"/>
  <c r="P862" i="2"/>
  <c r="N862" i="2"/>
  <c r="L862" i="2"/>
  <c r="J862" i="2"/>
  <c r="V862" i="2" s="1"/>
  <c r="Y861" i="2"/>
  <c r="Z861" i="2" s="1"/>
  <c r="W861" i="2"/>
  <c r="P861" i="2"/>
  <c r="N861" i="2"/>
  <c r="L861" i="2"/>
  <c r="X861" i="2" s="1"/>
  <c r="J861" i="2"/>
  <c r="V861" i="2" s="1"/>
  <c r="W860" i="2"/>
  <c r="P860" i="2"/>
  <c r="N860" i="2"/>
  <c r="L860" i="2"/>
  <c r="X860" i="2" s="1"/>
  <c r="J860" i="2"/>
  <c r="V860" i="2" s="1"/>
  <c r="W859" i="2"/>
  <c r="P859" i="2"/>
  <c r="N859" i="2"/>
  <c r="L859" i="2"/>
  <c r="X859" i="2" s="1"/>
  <c r="J859" i="2"/>
  <c r="V859" i="2" s="1"/>
  <c r="W858" i="2"/>
  <c r="P858" i="2"/>
  <c r="Y858" i="2" s="1"/>
  <c r="Z858" i="2" s="1"/>
  <c r="N858" i="2"/>
  <c r="L858" i="2"/>
  <c r="X858" i="2" s="1"/>
  <c r="J858" i="2"/>
  <c r="V858" i="2" s="1"/>
  <c r="W857" i="2"/>
  <c r="P857" i="2"/>
  <c r="Y857" i="2" s="1"/>
  <c r="Z857" i="2" s="1"/>
  <c r="N857" i="2"/>
  <c r="L857" i="2"/>
  <c r="X857" i="2" s="1"/>
  <c r="J857" i="2"/>
  <c r="V857" i="2" s="1"/>
  <c r="X856" i="2"/>
  <c r="W856" i="2"/>
  <c r="P856" i="2"/>
  <c r="N856" i="2"/>
  <c r="L856" i="2"/>
  <c r="J856" i="2"/>
  <c r="V856" i="2" s="1"/>
  <c r="W855" i="2"/>
  <c r="P855" i="2"/>
  <c r="N855" i="2"/>
  <c r="L855" i="2"/>
  <c r="J855" i="2"/>
  <c r="V855" i="2" s="1"/>
  <c r="W854" i="2"/>
  <c r="V854" i="2"/>
  <c r="P854" i="2"/>
  <c r="N854" i="2"/>
  <c r="L854" i="2"/>
  <c r="X854" i="2" s="1"/>
  <c r="J854" i="2"/>
  <c r="X853" i="2"/>
  <c r="W853" i="2"/>
  <c r="P853" i="2"/>
  <c r="Y853" i="2" s="1"/>
  <c r="Z853" i="2" s="1"/>
  <c r="N853" i="2"/>
  <c r="L853" i="2"/>
  <c r="J853" i="2"/>
  <c r="V853" i="2" s="1"/>
  <c r="W852" i="2"/>
  <c r="P852" i="2"/>
  <c r="Y852" i="2" s="1"/>
  <c r="Z852" i="2" s="1"/>
  <c r="N852" i="2"/>
  <c r="L852" i="2"/>
  <c r="X852" i="2" s="1"/>
  <c r="J852" i="2"/>
  <c r="V852" i="2" s="1"/>
  <c r="W851" i="2"/>
  <c r="P851" i="2"/>
  <c r="Y851" i="2" s="1"/>
  <c r="Z851" i="2" s="1"/>
  <c r="N851" i="2"/>
  <c r="L851" i="2"/>
  <c r="X851" i="2" s="1"/>
  <c r="J851" i="2"/>
  <c r="V851" i="2" s="1"/>
  <c r="W850" i="2"/>
  <c r="P850" i="2"/>
  <c r="Y850" i="2" s="1"/>
  <c r="Z850" i="2" s="1"/>
  <c r="N850" i="2"/>
  <c r="L850" i="2"/>
  <c r="X850" i="2" s="1"/>
  <c r="J850" i="2"/>
  <c r="V850" i="2" s="1"/>
  <c r="W849" i="2"/>
  <c r="P849" i="2"/>
  <c r="N849" i="2"/>
  <c r="L849" i="2"/>
  <c r="J849" i="2"/>
  <c r="V849" i="2" s="1"/>
  <c r="W848" i="2"/>
  <c r="P848" i="2"/>
  <c r="N848" i="2"/>
  <c r="L848" i="2"/>
  <c r="X848" i="2" s="1"/>
  <c r="J848" i="2"/>
  <c r="V848" i="2" s="1"/>
  <c r="W847" i="2"/>
  <c r="P847" i="2"/>
  <c r="N847" i="2"/>
  <c r="L847" i="2"/>
  <c r="X847" i="2" s="1"/>
  <c r="J847" i="2"/>
  <c r="V847" i="2" s="1"/>
  <c r="X846" i="2"/>
  <c r="W846" i="2"/>
  <c r="V846" i="2"/>
  <c r="P846" i="2"/>
  <c r="Y846" i="2" s="1"/>
  <c r="Z846" i="2" s="1"/>
  <c r="N846" i="2"/>
  <c r="L846" i="2"/>
  <c r="J846" i="2"/>
  <c r="W845" i="2"/>
  <c r="V845" i="2"/>
  <c r="P845" i="2"/>
  <c r="N845" i="2"/>
  <c r="L845" i="2"/>
  <c r="J845" i="2"/>
  <c r="W844" i="2"/>
  <c r="P844" i="2"/>
  <c r="Y844" i="2" s="1"/>
  <c r="Z844" i="2" s="1"/>
  <c r="N844" i="2"/>
  <c r="L844" i="2"/>
  <c r="X844" i="2" s="1"/>
  <c r="J844" i="2"/>
  <c r="V844" i="2" s="1"/>
  <c r="W843" i="2"/>
  <c r="P843" i="2"/>
  <c r="Y843" i="2" s="1"/>
  <c r="Z843" i="2" s="1"/>
  <c r="N843" i="2"/>
  <c r="L843" i="2"/>
  <c r="X843" i="2" s="1"/>
  <c r="J843" i="2"/>
  <c r="V843" i="2" s="1"/>
  <c r="X842" i="2"/>
  <c r="W842" i="2"/>
  <c r="P842" i="2"/>
  <c r="Y842" i="2" s="1"/>
  <c r="Z842" i="2" s="1"/>
  <c r="N842" i="2"/>
  <c r="L842" i="2"/>
  <c r="J842" i="2"/>
  <c r="V842" i="2" s="1"/>
  <c r="W841" i="2"/>
  <c r="P841" i="2"/>
  <c r="Y841" i="2" s="1"/>
  <c r="Z841" i="2" s="1"/>
  <c r="N841" i="2"/>
  <c r="L841" i="2"/>
  <c r="X841" i="2" s="1"/>
  <c r="J841" i="2"/>
  <c r="V841" i="2" s="1"/>
  <c r="W840" i="2"/>
  <c r="P840" i="2"/>
  <c r="Y840" i="2" s="1"/>
  <c r="Z840" i="2" s="1"/>
  <c r="N840" i="2"/>
  <c r="L840" i="2"/>
  <c r="X840" i="2" s="1"/>
  <c r="J840" i="2"/>
  <c r="V840" i="2" s="1"/>
  <c r="W839" i="2"/>
  <c r="P839" i="2"/>
  <c r="Y839" i="2" s="1"/>
  <c r="Z839" i="2" s="1"/>
  <c r="N839" i="2"/>
  <c r="L839" i="2"/>
  <c r="X839" i="2" s="1"/>
  <c r="J839" i="2"/>
  <c r="V839" i="2" s="1"/>
  <c r="X838" i="2"/>
  <c r="W838" i="2"/>
  <c r="P838" i="2"/>
  <c r="Y838" i="2" s="1"/>
  <c r="Z838" i="2" s="1"/>
  <c r="N838" i="2"/>
  <c r="L838" i="2"/>
  <c r="J838" i="2"/>
  <c r="V838" i="2" s="1"/>
  <c r="W837" i="2"/>
  <c r="V837" i="2"/>
  <c r="P837" i="2"/>
  <c r="N837" i="2"/>
  <c r="L837" i="2"/>
  <c r="J837" i="2"/>
  <c r="W836" i="2"/>
  <c r="P836" i="2"/>
  <c r="N836" i="2"/>
  <c r="L836" i="2"/>
  <c r="J836" i="2"/>
  <c r="V836" i="2" s="1"/>
  <c r="W835" i="2"/>
  <c r="V835" i="2"/>
  <c r="P835" i="2"/>
  <c r="N835" i="2"/>
  <c r="L835" i="2"/>
  <c r="J835" i="2"/>
  <c r="W834" i="2"/>
  <c r="V834" i="2"/>
  <c r="P834" i="2"/>
  <c r="N834" i="2"/>
  <c r="L834" i="2"/>
  <c r="X834" i="2" s="1"/>
  <c r="J834" i="2"/>
  <c r="W833" i="2"/>
  <c r="P833" i="2"/>
  <c r="N833" i="2"/>
  <c r="L833" i="2"/>
  <c r="J833" i="2"/>
  <c r="V833" i="2" s="1"/>
  <c r="W832" i="2"/>
  <c r="P832" i="2"/>
  <c r="N832" i="2"/>
  <c r="L832" i="2"/>
  <c r="X832" i="2" s="1"/>
  <c r="J832" i="2"/>
  <c r="V832" i="2" s="1"/>
  <c r="W831" i="2"/>
  <c r="P831" i="2"/>
  <c r="Y831" i="2" s="1"/>
  <c r="Z831" i="2" s="1"/>
  <c r="N831" i="2"/>
  <c r="L831" i="2"/>
  <c r="X831" i="2" s="1"/>
  <c r="J831" i="2"/>
  <c r="V831" i="2" s="1"/>
  <c r="X830" i="2"/>
  <c r="W830" i="2"/>
  <c r="V830" i="2"/>
  <c r="P830" i="2"/>
  <c r="Y830" i="2" s="1"/>
  <c r="Z830" i="2" s="1"/>
  <c r="N830" i="2"/>
  <c r="L830" i="2"/>
  <c r="J830" i="2"/>
  <c r="W829" i="2"/>
  <c r="V829" i="2"/>
  <c r="P829" i="2"/>
  <c r="N829" i="2"/>
  <c r="L829" i="2"/>
  <c r="J829" i="2"/>
  <c r="W828" i="2"/>
  <c r="P828" i="2"/>
  <c r="Y828" i="2" s="1"/>
  <c r="Z828" i="2" s="1"/>
  <c r="N828" i="2"/>
  <c r="L828" i="2"/>
  <c r="X828" i="2" s="1"/>
  <c r="J828" i="2"/>
  <c r="V828" i="2" s="1"/>
  <c r="W827" i="2"/>
  <c r="P827" i="2"/>
  <c r="Y827" i="2" s="1"/>
  <c r="Z827" i="2" s="1"/>
  <c r="N827" i="2"/>
  <c r="L827" i="2"/>
  <c r="X827" i="2" s="1"/>
  <c r="J827" i="2"/>
  <c r="V827" i="2" s="1"/>
  <c r="X826" i="2"/>
  <c r="W826" i="2"/>
  <c r="P826" i="2"/>
  <c r="Y826" i="2" s="1"/>
  <c r="Z826" i="2" s="1"/>
  <c r="N826" i="2"/>
  <c r="L826" i="2"/>
  <c r="J826" i="2"/>
  <c r="V826" i="2" s="1"/>
  <c r="X825" i="2"/>
  <c r="W825" i="2"/>
  <c r="P825" i="2"/>
  <c r="Y825" i="2" s="1"/>
  <c r="Z825" i="2" s="1"/>
  <c r="N825" i="2"/>
  <c r="L825" i="2"/>
  <c r="J825" i="2"/>
  <c r="V825" i="2" s="1"/>
  <c r="W824" i="2"/>
  <c r="P824" i="2"/>
  <c r="N824" i="2"/>
  <c r="L824" i="2"/>
  <c r="J824" i="2"/>
  <c r="V824" i="2" s="1"/>
  <c r="W823" i="2"/>
  <c r="P823" i="2"/>
  <c r="Y823" i="2" s="1"/>
  <c r="Z823" i="2" s="1"/>
  <c r="N823" i="2"/>
  <c r="L823" i="2"/>
  <c r="X823" i="2" s="1"/>
  <c r="J823" i="2"/>
  <c r="V823" i="2" s="1"/>
  <c r="X822" i="2"/>
  <c r="W822" i="2"/>
  <c r="P822" i="2"/>
  <c r="N822" i="2"/>
  <c r="L822" i="2"/>
  <c r="J822" i="2"/>
  <c r="V822" i="2" s="1"/>
  <c r="W821" i="2"/>
  <c r="P821" i="2"/>
  <c r="N821" i="2"/>
  <c r="L821" i="2"/>
  <c r="J821" i="2"/>
  <c r="V821" i="2" s="1"/>
  <c r="Y820" i="2"/>
  <c r="Z820" i="2" s="1"/>
  <c r="X820" i="2"/>
  <c r="W820" i="2"/>
  <c r="P820" i="2"/>
  <c r="N820" i="2"/>
  <c r="L820" i="2"/>
  <c r="J820" i="2"/>
  <c r="V820" i="2" s="1"/>
  <c r="Y819" i="2"/>
  <c r="Z819" i="2" s="1"/>
  <c r="W819" i="2"/>
  <c r="P819" i="2"/>
  <c r="N819" i="2"/>
  <c r="L819" i="2"/>
  <c r="X819" i="2" s="1"/>
  <c r="J819" i="2"/>
  <c r="V819" i="2" s="1"/>
  <c r="X818" i="2"/>
  <c r="W818" i="2"/>
  <c r="P818" i="2"/>
  <c r="Y818" i="2" s="1"/>
  <c r="Z818" i="2" s="1"/>
  <c r="N818" i="2"/>
  <c r="L818" i="2"/>
  <c r="J818" i="2"/>
  <c r="V818" i="2" s="1"/>
  <c r="Y817" i="2"/>
  <c r="Z817" i="2" s="1"/>
  <c r="W817" i="2"/>
  <c r="P817" i="2"/>
  <c r="N817" i="2"/>
  <c r="L817" i="2"/>
  <c r="X817" i="2" s="1"/>
  <c r="J817" i="2"/>
  <c r="V817" i="2" s="1"/>
  <c r="Z816" i="2"/>
  <c r="W816" i="2"/>
  <c r="P816" i="2"/>
  <c r="Y816" i="2" s="1"/>
  <c r="N816" i="2"/>
  <c r="L816" i="2"/>
  <c r="X816" i="2" s="1"/>
  <c r="J816" i="2"/>
  <c r="V816" i="2" s="1"/>
  <c r="W815" i="2"/>
  <c r="P815" i="2"/>
  <c r="N815" i="2"/>
  <c r="L815" i="2"/>
  <c r="X815" i="2" s="1"/>
  <c r="J815" i="2"/>
  <c r="V815" i="2" s="1"/>
  <c r="W814" i="2"/>
  <c r="V814" i="2"/>
  <c r="P814" i="2"/>
  <c r="N814" i="2"/>
  <c r="L814" i="2"/>
  <c r="X814" i="2" s="1"/>
  <c r="J814" i="2"/>
  <c r="W813" i="2"/>
  <c r="P813" i="2"/>
  <c r="N813" i="2"/>
  <c r="L813" i="2"/>
  <c r="J813" i="2"/>
  <c r="V813" i="2" s="1"/>
  <c r="X812" i="2"/>
  <c r="W812" i="2"/>
  <c r="P812" i="2"/>
  <c r="Y812" i="2" s="1"/>
  <c r="Z812" i="2" s="1"/>
  <c r="N812" i="2"/>
  <c r="L812" i="2"/>
  <c r="J812" i="2"/>
  <c r="V812" i="2" s="1"/>
  <c r="W811" i="2"/>
  <c r="V811" i="2"/>
  <c r="P811" i="2"/>
  <c r="N811" i="2"/>
  <c r="L811" i="2"/>
  <c r="X811" i="2" s="1"/>
  <c r="J811" i="2"/>
  <c r="W810" i="2"/>
  <c r="V810" i="2"/>
  <c r="P810" i="2"/>
  <c r="N810" i="2"/>
  <c r="L810" i="2"/>
  <c r="X810" i="2" s="1"/>
  <c r="J810" i="2"/>
  <c r="W809" i="2"/>
  <c r="P809" i="2"/>
  <c r="N809" i="2"/>
  <c r="L809" i="2"/>
  <c r="J809" i="2"/>
  <c r="V809" i="2" s="1"/>
  <c r="W808" i="2"/>
  <c r="P808" i="2"/>
  <c r="N808" i="2"/>
  <c r="L808" i="2"/>
  <c r="J808" i="2"/>
  <c r="V808" i="2" s="1"/>
  <c r="W807" i="2"/>
  <c r="P807" i="2"/>
  <c r="N807" i="2"/>
  <c r="L807" i="2"/>
  <c r="J807" i="2"/>
  <c r="V807" i="2" s="1"/>
  <c r="Y806" i="2"/>
  <c r="Z806" i="2" s="1"/>
  <c r="X806" i="2"/>
  <c r="W806" i="2"/>
  <c r="P806" i="2"/>
  <c r="N806" i="2"/>
  <c r="L806" i="2"/>
  <c r="J806" i="2"/>
  <c r="V806" i="2" s="1"/>
  <c r="X805" i="2"/>
  <c r="W805" i="2"/>
  <c r="P805" i="2"/>
  <c r="N805" i="2"/>
  <c r="L805" i="2"/>
  <c r="J805" i="2"/>
  <c r="V805" i="2" s="1"/>
  <c r="X804" i="2"/>
  <c r="W804" i="2"/>
  <c r="P804" i="2"/>
  <c r="Y804" i="2" s="1"/>
  <c r="Z804" i="2" s="1"/>
  <c r="N804" i="2"/>
  <c r="L804" i="2"/>
  <c r="J804" i="2"/>
  <c r="V804" i="2" s="1"/>
  <c r="W803" i="2"/>
  <c r="P803" i="2"/>
  <c r="N803" i="2"/>
  <c r="L803" i="2"/>
  <c r="X803" i="2" s="1"/>
  <c r="J803" i="2"/>
  <c r="V803" i="2" s="1"/>
  <c r="W802" i="2"/>
  <c r="P802" i="2"/>
  <c r="N802" i="2"/>
  <c r="L802" i="2"/>
  <c r="J802" i="2"/>
  <c r="V802" i="2" s="1"/>
  <c r="W801" i="2"/>
  <c r="P801" i="2"/>
  <c r="N801" i="2"/>
  <c r="L801" i="2"/>
  <c r="X801" i="2" s="1"/>
  <c r="J801" i="2"/>
  <c r="V801" i="2" s="1"/>
  <c r="W800" i="2"/>
  <c r="P800" i="2"/>
  <c r="N800" i="2"/>
  <c r="L800" i="2"/>
  <c r="X800" i="2" s="1"/>
  <c r="J800" i="2"/>
  <c r="V800" i="2" s="1"/>
  <c r="W799" i="2"/>
  <c r="P799" i="2"/>
  <c r="N799" i="2"/>
  <c r="L799" i="2"/>
  <c r="X799" i="2" s="1"/>
  <c r="J799" i="2"/>
  <c r="V799" i="2" s="1"/>
  <c r="W798" i="2"/>
  <c r="P798" i="2"/>
  <c r="N798" i="2"/>
  <c r="L798" i="2"/>
  <c r="J798" i="2"/>
  <c r="V798" i="2" s="1"/>
  <c r="Y797" i="2"/>
  <c r="Z797" i="2" s="1"/>
  <c r="W797" i="2"/>
  <c r="P797" i="2"/>
  <c r="N797" i="2"/>
  <c r="L797" i="2"/>
  <c r="X797" i="2" s="1"/>
  <c r="J797" i="2"/>
  <c r="V797" i="2" s="1"/>
  <c r="W796" i="2"/>
  <c r="P796" i="2"/>
  <c r="N796" i="2"/>
  <c r="L796" i="2"/>
  <c r="X796" i="2" s="1"/>
  <c r="J796" i="2"/>
  <c r="V796" i="2" s="1"/>
  <c r="X795" i="2"/>
  <c r="W795" i="2"/>
  <c r="P795" i="2"/>
  <c r="Y795" i="2" s="1"/>
  <c r="Z795" i="2" s="1"/>
  <c r="N795" i="2"/>
  <c r="L795" i="2"/>
  <c r="J795" i="2"/>
  <c r="V795" i="2" s="1"/>
  <c r="W794" i="2"/>
  <c r="V794" i="2"/>
  <c r="P794" i="2"/>
  <c r="Y794" i="2" s="1"/>
  <c r="Z794" i="2" s="1"/>
  <c r="N794" i="2"/>
  <c r="L794" i="2"/>
  <c r="X794" i="2" s="1"/>
  <c r="J794" i="2"/>
  <c r="W793" i="2"/>
  <c r="P793" i="2"/>
  <c r="N793" i="2"/>
  <c r="L793" i="2"/>
  <c r="X793" i="2" s="1"/>
  <c r="J793" i="2"/>
  <c r="V793" i="2" s="1"/>
  <c r="W792" i="2"/>
  <c r="P792" i="2"/>
  <c r="N792" i="2"/>
  <c r="L792" i="2"/>
  <c r="X792" i="2" s="1"/>
  <c r="J792" i="2"/>
  <c r="V792" i="2" s="1"/>
  <c r="W791" i="2"/>
  <c r="P791" i="2"/>
  <c r="Y791" i="2" s="1"/>
  <c r="Z791" i="2" s="1"/>
  <c r="N791" i="2"/>
  <c r="L791" i="2"/>
  <c r="X791" i="2" s="1"/>
  <c r="J791" i="2"/>
  <c r="V791" i="2" s="1"/>
  <c r="W790" i="2"/>
  <c r="P790" i="2"/>
  <c r="Y790" i="2" s="1"/>
  <c r="Z790" i="2" s="1"/>
  <c r="N790" i="2"/>
  <c r="L790" i="2"/>
  <c r="X790" i="2" s="1"/>
  <c r="J790" i="2"/>
  <c r="V790" i="2" s="1"/>
  <c r="W789" i="2"/>
  <c r="P789" i="2"/>
  <c r="N789" i="2"/>
  <c r="L789" i="2"/>
  <c r="J789" i="2"/>
  <c r="V789" i="2" s="1"/>
  <c r="W788" i="2"/>
  <c r="P788" i="2"/>
  <c r="N788" i="2"/>
  <c r="L788" i="2"/>
  <c r="X788" i="2" s="1"/>
  <c r="J788" i="2"/>
  <c r="V788" i="2" s="1"/>
  <c r="W787" i="2"/>
  <c r="P787" i="2"/>
  <c r="N787" i="2"/>
  <c r="L787" i="2"/>
  <c r="X787" i="2" s="1"/>
  <c r="J787" i="2"/>
  <c r="V787" i="2" s="1"/>
  <c r="W786" i="2"/>
  <c r="P786" i="2"/>
  <c r="N786" i="2"/>
  <c r="L786" i="2"/>
  <c r="X786" i="2" s="1"/>
  <c r="J786" i="2"/>
  <c r="V786" i="2" s="1"/>
  <c r="W785" i="2"/>
  <c r="P785" i="2"/>
  <c r="N785" i="2"/>
  <c r="L785" i="2"/>
  <c r="X785" i="2" s="1"/>
  <c r="J785" i="2"/>
  <c r="V785" i="2" s="1"/>
  <c r="W784" i="2"/>
  <c r="V784" i="2"/>
  <c r="P784" i="2"/>
  <c r="Y784" i="2" s="1"/>
  <c r="Z784" i="2" s="1"/>
  <c r="N784" i="2"/>
  <c r="L784" i="2"/>
  <c r="X784" i="2" s="1"/>
  <c r="J784" i="2"/>
  <c r="X783" i="2"/>
  <c r="W783" i="2"/>
  <c r="V783" i="2"/>
  <c r="P783" i="2"/>
  <c r="Y783" i="2" s="1"/>
  <c r="Z783" i="2" s="1"/>
  <c r="N783" i="2"/>
  <c r="L783" i="2"/>
  <c r="J783" i="2"/>
  <c r="X782" i="2"/>
  <c r="W782" i="2"/>
  <c r="V782" i="2"/>
  <c r="P782" i="2"/>
  <c r="N782" i="2"/>
  <c r="L782" i="2"/>
  <c r="J782" i="2"/>
  <c r="X781" i="2"/>
  <c r="W781" i="2"/>
  <c r="P781" i="2"/>
  <c r="Y781" i="2" s="1"/>
  <c r="Z781" i="2" s="1"/>
  <c r="N781" i="2"/>
  <c r="L781" i="2"/>
  <c r="J781" i="2"/>
  <c r="V781" i="2" s="1"/>
  <c r="W780" i="2"/>
  <c r="V780" i="2"/>
  <c r="P780" i="2"/>
  <c r="N780" i="2"/>
  <c r="L780" i="2"/>
  <c r="X780" i="2" s="1"/>
  <c r="J780" i="2"/>
  <c r="W779" i="2"/>
  <c r="P779" i="2"/>
  <c r="Y779" i="2" s="1"/>
  <c r="Z779" i="2" s="1"/>
  <c r="N779" i="2"/>
  <c r="L779" i="2"/>
  <c r="X779" i="2" s="1"/>
  <c r="J779" i="2"/>
  <c r="V779" i="2" s="1"/>
  <c r="W778" i="2"/>
  <c r="P778" i="2"/>
  <c r="Y778" i="2" s="1"/>
  <c r="Z778" i="2" s="1"/>
  <c r="N778" i="2"/>
  <c r="L778" i="2"/>
  <c r="X778" i="2" s="1"/>
  <c r="J778" i="2"/>
  <c r="V778" i="2" s="1"/>
  <c r="W777" i="2"/>
  <c r="P777" i="2"/>
  <c r="N777" i="2"/>
  <c r="L777" i="2"/>
  <c r="X777" i="2" s="1"/>
  <c r="J777" i="2"/>
  <c r="V777" i="2" s="1"/>
  <c r="W776" i="2"/>
  <c r="P776" i="2"/>
  <c r="N776" i="2"/>
  <c r="L776" i="2"/>
  <c r="X776" i="2" s="1"/>
  <c r="J776" i="2"/>
  <c r="V776" i="2" s="1"/>
  <c r="W775" i="2"/>
  <c r="P775" i="2"/>
  <c r="N775" i="2"/>
  <c r="L775" i="2"/>
  <c r="X775" i="2" s="1"/>
  <c r="J775" i="2"/>
  <c r="V775" i="2" s="1"/>
  <c r="W774" i="2"/>
  <c r="P774" i="2"/>
  <c r="Y774" i="2" s="1"/>
  <c r="Z774" i="2" s="1"/>
  <c r="N774" i="2"/>
  <c r="L774" i="2"/>
  <c r="X774" i="2" s="1"/>
  <c r="J774" i="2"/>
  <c r="V774" i="2" s="1"/>
  <c r="W773" i="2"/>
  <c r="P773" i="2"/>
  <c r="N773" i="2"/>
  <c r="L773" i="2"/>
  <c r="J773" i="2"/>
  <c r="V773" i="2" s="1"/>
  <c r="W772" i="2"/>
  <c r="V772" i="2"/>
  <c r="P772" i="2"/>
  <c r="N772" i="2"/>
  <c r="L772" i="2"/>
  <c r="X772" i="2" s="1"/>
  <c r="J772" i="2"/>
  <c r="W771" i="2"/>
  <c r="P771" i="2"/>
  <c r="N771" i="2"/>
  <c r="L771" i="2"/>
  <c r="X771" i="2" s="1"/>
  <c r="J771" i="2"/>
  <c r="V771" i="2" s="1"/>
  <c r="W770" i="2"/>
  <c r="P770" i="2"/>
  <c r="N770" i="2"/>
  <c r="L770" i="2"/>
  <c r="J770" i="2"/>
  <c r="V770" i="2" s="1"/>
  <c r="W769" i="2"/>
  <c r="P769" i="2"/>
  <c r="N769" i="2"/>
  <c r="L769" i="2"/>
  <c r="X769" i="2" s="1"/>
  <c r="J769" i="2"/>
  <c r="V769" i="2" s="1"/>
  <c r="W768" i="2"/>
  <c r="P768" i="2"/>
  <c r="N768" i="2"/>
  <c r="L768" i="2"/>
  <c r="X768" i="2" s="1"/>
  <c r="J768" i="2"/>
  <c r="V768" i="2" s="1"/>
  <c r="W767" i="2"/>
  <c r="P767" i="2"/>
  <c r="N767" i="2"/>
  <c r="L767" i="2"/>
  <c r="X767" i="2" s="1"/>
  <c r="J767" i="2"/>
  <c r="V767" i="2" s="1"/>
  <c r="W766" i="2"/>
  <c r="P766" i="2"/>
  <c r="N766" i="2"/>
  <c r="L766" i="2"/>
  <c r="J766" i="2"/>
  <c r="V766" i="2" s="1"/>
  <c r="Y765" i="2"/>
  <c r="Z765" i="2" s="1"/>
  <c r="W765" i="2"/>
  <c r="P765" i="2"/>
  <c r="N765" i="2"/>
  <c r="L765" i="2"/>
  <c r="X765" i="2" s="1"/>
  <c r="J765" i="2"/>
  <c r="V765" i="2" s="1"/>
  <c r="W764" i="2"/>
  <c r="P764" i="2"/>
  <c r="N764" i="2"/>
  <c r="L764" i="2"/>
  <c r="X764" i="2" s="1"/>
  <c r="J764" i="2"/>
  <c r="V764" i="2" s="1"/>
  <c r="X763" i="2"/>
  <c r="W763" i="2"/>
  <c r="P763" i="2"/>
  <c r="Y763" i="2" s="1"/>
  <c r="Z763" i="2" s="1"/>
  <c r="N763" i="2"/>
  <c r="L763" i="2"/>
  <c r="J763" i="2"/>
  <c r="V763" i="2" s="1"/>
  <c r="Y762" i="2"/>
  <c r="Z762" i="2" s="1"/>
  <c r="W762" i="2"/>
  <c r="P762" i="2"/>
  <c r="N762" i="2"/>
  <c r="L762" i="2"/>
  <c r="X762" i="2" s="1"/>
  <c r="J762" i="2"/>
  <c r="V762" i="2" s="1"/>
  <c r="W761" i="2"/>
  <c r="P761" i="2"/>
  <c r="N761" i="2"/>
  <c r="L761" i="2"/>
  <c r="X761" i="2" s="1"/>
  <c r="J761" i="2"/>
  <c r="V761" i="2" s="1"/>
  <c r="W760" i="2"/>
  <c r="P760" i="2"/>
  <c r="Y760" i="2" s="1"/>
  <c r="Z760" i="2" s="1"/>
  <c r="N760" i="2"/>
  <c r="L760" i="2"/>
  <c r="X760" i="2" s="1"/>
  <c r="J760" i="2"/>
  <c r="V760" i="2" s="1"/>
  <c r="W759" i="2"/>
  <c r="P759" i="2"/>
  <c r="Y759" i="2" s="1"/>
  <c r="Z759" i="2" s="1"/>
  <c r="N759" i="2"/>
  <c r="L759" i="2"/>
  <c r="X759" i="2" s="1"/>
  <c r="J759" i="2"/>
  <c r="V759" i="2" s="1"/>
  <c r="W758" i="2"/>
  <c r="V758" i="2"/>
  <c r="P758" i="2"/>
  <c r="N758" i="2"/>
  <c r="L758" i="2"/>
  <c r="X758" i="2" s="1"/>
  <c r="J758" i="2"/>
  <c r="W757" i="2"/>
  <c r="P757" i="2"/>
  <c r="N757" i="2"/>
  <c r="L757" i="2"/>
  <c r="Y757" i="2" s="1"/>
  <c r="Z757" i="2" s="1"/>
  <c r="J757" i="2"/>
  <c r="V757" i="2" s="1"/>
  <c r="W756" i="2"/>
  <c r="P756" i="2"/>
  <c r="N756" i="2"/>
  <c r="L756" i="2"/>
  <c r="X756" i="2" s="1"/>
  <c r="J756" i="2"/>
  <c r="V756" i="2" s="1"/>
  <c r="W755" i="2"/>
  <c r="P755" i="2"/>
  <c r="Y755" i="2" s="1"/>
  <c r="Z755" i="2" s="1"/>
  <c r="N755" i="2"/>
  <c r="L755" i="2"/>
  <c r="X755" i="2" s="1"/>
  <c r="J755" i="2"/>
  <c r="V755" i="2" s="1"/>
  <c r="W754" i="2"/>
  <c r="V754" i="2"/>
  <c r="P754" i="2"/>
  <c r="N754" i="2"/>
  <c r="L754" i="2"/>
  <c r="X754" i="2" s="1"/>
  <c r="J754" i="2"/>
  <c r="W753" i="2"/>
  <c r="P753" i="2"/>
  <c r="N753" i="2"/>
  <c r="L753" i="2"/>
  <c r="X753" i="2" s="1"/>
  <c r="J753" i="2"/>
  <c r="V753" i="2" s="1"/>
  <c r="W752" i="2"/>
  <c r="P752" i="2"/>
  <c r="Y752" i="2" s="1"/>
  <c r="Z752" i="2" s="1"/>
  <c r="N752" i="2"/>
  <c r="L752" i="2"/>
  <c r="X752" i="2" s="1"/>
  <c r="J752" i="2"/>
  <c r="V752" i="2" s="1"/>
  <c r="X751" i="2"/>
  <c r="W751" i="2"/>
  <c r="P751" i="2"/>
  <c r="Y751" i="2" s="1"/>
  <c r="Z751" i="2" s="1"/>
  <c r="N751" i="2"/>
  <c r="L751" i="2"/>
  <c r="J751" i="2"/>
  <c r="V751" i="2" s="1"/>
  <c r="W750" i="2"/>
  <c r="P750" i="2"/>
  <c r="Y750" i="2" s="1"/>
  <c r="Z750" i="2" s="1"/>
  <c r="N750" i="2"/>
  <c r="L750" i="2"/>
  <c r="X750" i="2" s="1"/>
  <c r="J750" i="2"/>
  <c r="V750" i="2" s="1"/>
  <c r="W749" i="2"/>
  <c r="P749" i="2"/>
  <c r="N749" i="2"/>
  <c r="L749" i="2"/>
  <c r="J749" i="2"/>
  <c r="V749" i="2" s="1"/>
  <c r="W748" i="2"/>
  <c r="P748" i="2"/>
  <c r="N748" i="2"/>
  <c r="L748" i="2"/>
  <c r="J748" i="2"/>
  <c r="V748" i="2" s="1"/>
  <c r="W747" i="2"/>
  <c r="P747" i="2"/>
  <c r="N747" i="2"/>
  <c r="L747" i="2"/>
  <c r="X747" i="2" s="1"/>
  <c r="J747" i="2"/>
  <c r="V747" i="2" s="1"/>
  <c r="W746" i="2"/>
  <c r="P746" i="2"/>
  <c r="N746" i="2"/>
  <c r="L746" i="2"/>
  <c r="J746" i="2"/>
  <c r="V746" i="2" s="1"/>
  <c r="X745" i="2"/>
  <c r="W745" i="2"/>
  <c r="P745" i="2"/>
  <c r="Y745" i="2" s="1"/>
  <c r="Z745" i="2" s="1"/>
  <c r="N745" i="2"/>
  <c r="L745" i="2"/>
  <c r="J745" i="2"/>
  <c r="V745" i="2" s="1"/>
  <c r="Y744" i="2"/>
  <c r="Z744" i="2" s="1"/>
  <c r="W744" i="2"/>
  <c r="P744" i="2"/>
  <c r="N744" i="2"/>
  <c r="L744" i="2"/>
  <c r="X744" i="2" s="1"/>
  <c r="J744" i="2"/>
  <c r="V744" i="2" s="1"/>
  <c r="X743" i="2"/>
  <c r="W743" i="2"/>
  <c r="P743" i="2"/>
  <c r="Y743" i="2" s="1"/>
  <c r="Z743" i="2" s="1"/>
  <c r="N743" i="2"/>
  <c r="L743" i="2"/>
  <c r="J743" i="2"/>
  <c r="V743" i="2" s="1"/>
  <c r="W742" i="2"/>
  <c r="P742" i="2"/>
  <c r="N742" i="2"/>
  <c r="L742" i="2"/>
  <c r="Y742" i="2" s="1"/>
  <c r="Z742" i="2" s="1"/>
  <c r="J742" i="2"/>
  <c r="V742" i="2" s="1"/>
  <c r="W741" i="2"/>
  <c r="P741" i="2"/>
  <c r="N741" i="2"/>
  <c r="L741" i="2"/>
  <c r="J741" i="2"/>
  <c r="V741" i="2" s="1"/>
  <c r="W740" i="2"/>
  <c r="P740" i="2"/>
  <c r="N740" i="2"/>
  <c r="L740" i="2"/>
  <c r="X740" i="2" s="1"/>
  <c r="J740" i="2"/>
  <c r="V740" i="2" s="1"/>
  <c r="W739" i="2"/>
  <c r="P739" i="2"/>
  <c r="N739" i="2"/>
  <c r="L739" i="2"/>
  <c r="X739" i="2" s="1"/>
  <c r="J739" i="2"/>
  <c r="V739" i="2" s="1"/>
  <c r="X738" i="2"/>
  <c r="W738" i="2"/>
  <c r="P738" i="2"/>
  <c r="Y738" i="2" s="1"/>
  <c r="Z738" i="2" s="1"/>
  <c r="N738" i="2"/>
  <c r="L738" i="2"/>
  <c r="J738" i="2"/>
  <c r="V738" i="2" s="1"/>
  <c r="W737" i="2"/>
  <c r="P737" i="2"/>
  <c r="N737" i="2"/>
  <c r="L737" i="2"/>
  <c r="X737" i="2" s="1"/>
  <c r="J737" i="2"/>
  <c r="V737" i="2" s="1"/>
  <c r="W736" i="2"/>
  <c r="P736" i="2"/>
  <c r="Y736" i="2" s="1"/>
  <c r="Z736" i="2" s="1"/>
  <c r="N736" i="2"/>
  <c r="L736" i="2"/>
  <c r="X736" i="2" s="1"/>
  <c r="J736" i="2"/>
  <c r="V736" i="2" s="1"/>
  <c r="W735" i="2"/>
  <c r="P735" i="2"/>
  <c r="Y735" i="2" s="1"/>
  <c r="Z735" i="2" s="1"/>
  <c r="N735" i="2"/>
  <c r="L735" i="2"/>
  <c r="X735" i="2" s="1"/>
  <c r="J735" i="2"/>
  <c r="V735" i="2" s="1"/>
  <c r="W734" i="2"/>
  <c r="P734" i="2"/>
  <c r="N734" i="2"/>
  <c r="L734" i="2"/>
  <c r="X734" i="2" s="1"/>
  <c r="J734" i="2"/>
  <c r="V734" i="2" s="1"/>
  <c r="W733" i="2"/>
  <c r="P733" i="2"/>
  <c r="N733" i="2"/>
  <c r="L733" i="2"/>
  <c r="X733" i="2" s="1"/>
  <c r="J733" i="2"/>
  <c r="V733" i="2" s="1"/>
  <c r="Y732" i="2"/>
  <c r="Z732" i="2" s="1"/>
  <c r="W732" i="2"/>
  <c r="P732" i="2"/>
  <c r="N732" i="2"/>
  <c r="L732" i="2"/>
  <c r="X732" i="2" s="1"/>
  <c r="J732" i="2"/>
  <c r="V732" i="2" s="1"/>
  <c r="Y731" i="2"/>
  <c r="Z731" i="2" s="1"/>
  <c r="X731" i="2"/>
  <c r="W731" i="2"/>
  <c r="P731" i="2"/>
  <c r="N731" i="2"/>
  <c r="L731" i="2"/>
  <c r="J731" i="2"/>
  <c r="V731" i="2" s="1"/>
  <c r="W730" i="2"/>
  <c r="P730" i="2"/>
  <c r="N730" i="2"/>
  <c r="L730" i="2"/>
  <c r="J730" i="2"/>
  <c r="V730" i="2" s="1"/>
  <c r="W729" i="2"/>
  <c r="P729" i="2"/>
  <c r="Y729" i="2" s="1"/>
  <c r="Z729" i="2" s="1"/>
  <c r="N729" i="2"/>
  <c r="L729" i="2"/>
  <c r="X729" i="2" s="1"/>
  <c r="J729" i="2"/>
  <c r="V729" i="2" s="1"/>
  <c r="W728" i="2"/>
  <c r="P728" i="2"/>
  <c r="N728" i="2"/>
  <c r="L728" i="2"/>
  <c r="X728" i="2" s="1"/>
  <c r="J728" i="2"/>
  <c r="V728" i="2" s="1"/>
  <c r="W727" i="2"/>
  <c r="V727" i="2"/>
  <c r="P727" i="2"/>
  <c r="N727" i="2"/>
  <c r="L727" i="2"/>
  <c r="X727" i="2" s="1"/>
  <c r="J727" i="2"/>
  <c r="X726" i="2"/>
  <c r="W726" i="2"/>
  <c r="V726" i="2"/>
  <c r="P726" i="2"/>
  <c r="N726" i="2"/>
  <c r="L726" i="2"/>
  <c r="J726" i="2"/>
  <c r="Y725" i="2"/>
  <c r="Z725" i="2" s="1"/>
  <c r="W725" i="2"/>
  <c r="P725" i="2"/>
  <c r="N725" i="2"/>
  <c r="L725" i="2"/>
  <c r="X725" i="2" s="1"/>
  <c r="J725" i="2"/>
  <c r="V725" i="2" s="1"/>
  <c r="W724" i="2"/>
  <c r="P724" i="2"/>
  <c r="N724" i="2"/>
  <c r="L724" i="2"/>
  <c r="J724" i="2"/>
  <c r="V724" i="2" s="1"/>
  <c r="W723" i="2"/>
  <c r="V723" i="2"/>
  <c r="P723" i="2"/>
  <c r="N723" i="2"/>
  <c r="L723" i="2"/>
  <c r="X723" i="2" s="1"/>
  <c r="J723" i="2"/>
  <c r="W722" i="2"/>
  <c r="P722" i="2"/>
  <c r="N722" i="2"/>
  <c r="L722" i="2"/>
  <c r="Y722" i="2" s="1"/>
  <c r="Z722" i="2" s="1"/>
  <c r="J722" i="2"/>
  <c r="V722" i="2" s="1"/>
  <c r="W721" i="2"/>
  <c r="P721" i="2"/>
  <c r="N721" i="2"/>
  <c r="L721" i="2"/>
  <c r="J721" i="2"/>
  <c r="V721" i="2" s="1"/>
  <c r="W720" i="2"/>
  <c r="P720" i="2"/>
  <c r="N720" i="2"/>
  <c r="L720" i="2"/>
  <c r="X720" i="2" s="1"/>
  <c r="J720" i="2"/>
  <c r="V720" i="2" s="1"/>
  <c r="W719" i="2"/>
  <c r="P719" i="2"/>
  <c r="N719" i="2"/>
  <c r="L719" i="2"/>
  <c r="X719" i="2" s="1"/>
  <c r="J719" i="2"/>
  <c r="V719" i="2" s="1"/>
  <c r="X718" i="2"/>
  <c r="W718" i="2"/>
  <c r="P718" i="2"/>
  <c r="N718" i="2"/>
  <c r="L718" i="2"/>
  <c r="J718" i="2"/>
  <c r="V718" i="2" s="1"/>
  <c r="Y717" i="2"/>
  <c r="Z717" i="2" s="1"/>
  <c r="W717" i="2"/>
  <c r="P717" i="2"/>
  <c r="N717" i="2"/>
  <c r="L717" i="2"/>
  <c r="X717" i="2" s="1"/>
  <c r="J717" i="2"/>
  <c r="V717" i="2" s="1"/>
  <c r="W716" i="2"/>
  <c r="P716" i="2"/>
  <c r="N716" i="2"/>
  <c r="L716" i="2"/>
  <c r="J716" i="2"/>
  <c r="V716" i="2" s="1"/>
  <c r="W715" i="2"/>
  <c r="V715" i="2"/>
  <c r="P715" i="2"/>
  <c r="N715" i="2"/>
  <c r="L715" i="2"/>
  <c r="X715" i="2" s="1"/>
  <c r="J715" i="2"/>
  <c r="X714" i="2"/>
  <c r="W714" i="2"/>
  <c r="V714" i="2"/>
  <c r="P714" i="2"/>
  <c r="Y714" i="2" s="1"/>
  <c r="Z714" i="2" s="1"/>
  <c r="N714" i="2"/>
  <c r="L714" i="2"/>
  <c r="J714" i="2"/>
  <c r="X713" i="2"/>
  <c r="W713" i="2"/>
  <c r="P713" i="2"/>
  <c r="Y713" i="2" s="1"/>
  <c r="Z713" i="2" s="1"/>
  <c r="N713" i="2"/>
  <c r="L713" i="2"/>
  <c r="J713" i="2"/>
  <c r="V713" i="2" s="1"/>
  <c r="W712" i="2"/>
  <c r="P712" i="2"/>
  <c r="N712" i="2"/>
  <c r="L712" i="2"/>
  <c r="X712" i="2" s="1"/>
  <c r="J712" i="2"/>
  <c r="V712" i="2" s="1"/>
  <c r="W711" i="2"/>
  <c r="P711" i="2"/>
  <c r="N711" i="2"/>
  <c r="L711" i="2"/>
  <c r="X711" i="2" s="1"/>
  <c r="J711" i="2"/>
  <c r="V711" i="2" s="1"/>
  <c r="W710" i="2"/>
  <c r="P710" i="2"/>
  <c r="Y710" i="2" s="1"/>
  <c r="Z710" i="2" s="1"/>
  <c r="N710" i="2"/>
  <c r="L710" i="2"/>
  <c r="X710" i="2" s="1"/>
  <c r="J710" i="2"/>
  <c r="V710" i="2" s="1"/>
  <c r="W709" i="2"/>
  <c r="V709" i="2"/>
  <c r="P709" i="2"/>
  <c r="Y709" i="2" s="1"/>
  <c r="Z709" i="2" s="1"/>
  <c r="N709" i="2"/>
  <c r="L709" i="2"/>
  <c r="X709" i="2" s="1"/>
  <c r="J709" i="2"/>
  <c r="W708" i="2"/>
  <c r="P708" i="2"/>
  <c r="N708" i="2"/>
  <c r="L708" i="2"/>
  <c r="Y708" i="2" s="1"/>
  <c r="Z708" i="2" s="1"/>
  <c r="J708" i="2"/>
  <c r="V708" i="2" s="1"/>
  <c r="W707" i="2"/>
  <c r="P707" i="2"/>
  <c r="N707" i="2"/>
  <c r="L707" i="2"/>
  <c r="X707" i="2" s="1"/>
  <c r="J707" i="2"/>
  <c r="V707" i="2" s="1"/>
  <c r="W706" i="2"/>
  <c r="P706" i="2"/>
  <c r="N706" i="2"/>
  <c r="L706" i="2"/>
  <c r="X706" i="2" s="1"/>
  <c r="J706" i="2"/>
  <c r="V706" i="2" s="1"/>
  <c r="W705" i="2"/>
  <c r="P705" i="2"/>
  <c r="N705" i="2"/>
  <c r="L705" i="2"/>
  <c r="J705" i="2"/>
  <c r="V705" i="2" s="1"/>
  <c r="W704" i="2"/>
  <c r="P704" i="2"/>
  <c r="N704" i="2"/>
  <c r="L704" i="2"/>
  <c r="X704" i="2" s="1"/>
  <c r="J704" i="2"/>
  <c r="V704" i="2" s="1"/>
  <c r="W703" i="2"/>
  <c r="P703" i="2"/>
  <c r="Y703" i="2" s="1"/>
  <c r="Z703" i="2" s="1"/>
  <c r="N703" i="2"/>
  <c r="L703" i="2"/>
  <c r="X703" i="2" s="1"/>
  <c r="J703" i="2"/>
  <c r="V703" i="2" s="1"/>
  <c r="X702" i="2"/>
  <c r="W702" i="2"/>
  <c r="P702" i="2"/>
  <c r="Y702" i="2" s="1"/>
  <c r="Z702" i="2" s="1"/>
  <c r="N702" i="2"/>
  <c r="L702" i="2"/>
  <c r="J702" i="2"/>
  <c r="V702" i="2" s="1"/>
  <c r="Y701" i="2"/>
  <c r="Z701" i="2" s="1"/>
  <c r="X701" i="2"/>
  <c r="W701" i="2"/>
  <c r="P701" i="2"/>
  <c r="N701" i="2"/>
  <c r="L701" i="2"/>
  <c r="J701" i="2"/>
  <c r="V701" i="2" s="1"/>
  <c r="W700" i="2"/>
  <c r="P700" i="2"/>
  <c r="N700" i="2"/>
  <c r="L700" i="2"/>
  <c r="J700" i="2"/>
  <c r="V700" i="2" s="1"/>
  <c r="W699" i="2"/>
  <c r="P699" i="2"/>
  <c r="N699" i="2"/>
  <c r="L699" i="2"/>
  <c r="X699" i="2" s="1"/>
  <c r="J699" i="2"/>
  <c r="V699" i="2" s="1"/>
  <c r="W698" i="2"/>
  <c r="P698" i="2"/>
  <c r="N698" i="2"/>
  <c r="L698" i="2"/>
  <c r="X698" i="2" s="1"/>
  <c r="J698" i="2"/>
  <c r="V698" i="2" s="1"/>
  <c r="W697" i="2"/>
  <c r="P697" i="2"/>
  <c r="Y697" i="2" s="1"/>
  <c r="Z697" i="2" s="1"/>
  <c r="N697" i="2"/>
  <c r="L697" i="2"/>
  <c r="X697" i="2" s="1"/>
  <c r="J697" i="2"/>
  <c r="V697" i="2" s="1"/>
  <c r="W696" i="2"/>
  <c r="P696" i="2"/>
  <c r="N696" i="2"/>
  <c r="L696" i="2"/>
  <c r="X696" i="2" s="1"/>
  <c r="J696" i="2"/>
  <c r="V696" i="2" s="1"/>
  <c r="W695" i="2"/>
  <c r="P695" i="2"/>
  <c r="N695" i="2"/>
  <c r="L695" i="2"/>
  <c r="X695" i="2" s="1"/>
  <c r="J695" i="2"/>
  <c r="V695" i="2" s="1"/>
  <c r="X694" i="2"/>
  <c r="W694" i="2"/>
  <c r="P694" i="2"/>
  <c r="N694" i="2"/>
  <c r="L694" i="2"/>
  <c r="J694" i="2"/>
  <c r="V694" i="2" s="1"/>
  <c r="Y693" i="2"/>
  <c r="Z693" i="2" s="1"/>
  <c r="W693" i="2"/>
  <c r="P693" i="2"/>
  <c r="N693" i="2"/>
  <c r="L693" i="2"/>
  <c r="X693" i="2" s="1"/>
  <c r="J693" i="2"/>
  <c r="V693" i="2" s="1"/>
  <c r="W692" i="2"/>
  <c r="P692" i="2"/>
  <c r="N692" i="2"/>
  <c r="L692" i="2"/>
  <c r="J692" i="2"/>
  <c r="V692" i="2" s="1"/>
  <c r="W691" i="2"/>
  <c r="V691" i="2"/>
  <c r="P691" i="2"/>
  <c r="N691" i="2"/>
  <c r="L691" i="2"/>
  <c r="X691" i="2" s="1"/>
  <c r="J691" i="2"/>
  <c r="W690" i="2"/>
  <c r="P690" i="2"/>
  <c r="N690" i="2"/>
  <c r="L690" i="2"/>
  <c r="J690" i="2"/>
  <c r="V690" i="2" s="1"/>
  <c r="W689" i="2"/>
  <c r="P689" i="2"/>
  <c r="N689" i="2"/>
  <c r="L689" i="2"/>
  <c r="J689" i="2"/>
  <c r="V689" i="2" s="1"/>
  <c r="W688" i="2"/>
  <c r="P688" i="2"/>
  <c r="N688" i="2"/>
  <c r="L688" i="2"/>
  <c r="X688" i="2" s="1"/>
  <c r="J688" i="2"/>
  <c r="V688" i="2" s="1"/>
  <c r="W687" i="2"/>
  <c r="V687" i="2"/>
  <c r="P687" i="2"/>
  <c r="N687" i="2"/>
  <c r="L687" i="2"/>
  <c r="X687" i="2" s="1"/>
  <c r="J687" i="2"/>
  <c r="X686" i="2"/>
  <c r="W686" i="2"/>
  <c r="V686" i="2"/>
  <c r="P686" i="2"/>
  <c r="N686" i="2"/>
  <c r="L686" i="2"/>
  <c r="J686" i="2"/>
  <c r="Y685" i="2"/>
  <c r="Z685" i="2" s="1"/>
  <c r="W685" i="2"/>
  <c r="P685" i="2"/>
  <c r="N685" i="2"/>
  <c r="L685" i="2"/>
  <c r="X685" i="2" s="1"/>
  <c r="J685" i="2"/>
  <c r="V685" i="2" s="1"/>
  <c r="W684" i="2"/>
  <c r="P684" i="2"/>
  <c r="N684" i="2"/>
  <c r="L684" i="2"/>
  <c r="J684" i="2"/>
  <c r="V684" i="2" s="1"/>
  <c r="W683" i="2"/>
  <c r="V683" i="2"/>
  <c r="P683" i="2"/>
  <c r="N683" i="2"/>
  <c r="L683" i="2"/>
  <c r="X683" i="2" s="1"/>
  <c r="J683" i="2"/>
  <c r="X682" i="2"/>
  <c r="W682" i="2"/>
  <c r="V682" i="2"/>
  <c r="P682" i="2"/>
  <c r="Y682" i="2" s="1"/>
  <c r="Z682" i="2" s="1"/>
  <c r="N682" i="2"/>
  <c r="L682" i="2"/>
  <c r="J682" i="2"/>
  <c r="X681" i="2"/>
  <c r="W681" i="2"/>
  <c r="P681" i="2"/>
  <c r="Y681" i="2" s="1"/>
  <c r="Z681" i="2" s="1"/>
  <c r="N681" i="2"/>
  <c r="L681" i="2"/>
  <c r="J681" i="2"/>
  <c r="V681" i="2" s="1"/>
  <c r="W680" i="2"/>
  <c r="P680" i="2"/>
  <c r="N680" i="2"/>
  <c r="L680" i="2"/>
  <c r="X680" i="2" s="1"/>
  <c r="J680" i="2"/>
  <c r="V680" i="2" s="1"/>
  <c r="W679" i="2"/>
  <c r="P679" i="2"/>
  <c r="Y679" i="2" s="1"/>
  <c r="Z679" i="2" s="1"/>
  <c r="N679" i="2"/>
  <c r="L679" i="2"/>
  <c r="X679" i="2" s="1"/>
  <c r="J679" i="2"/>
  <c r="V679" i="2" s="1"/>
  <c r="W678" i="2"/>
  <c r="P678" i="2"/>
  <c r="N678" i="2"/>
  <c r="L678" i="2"/>
  <c r="X678" i="2" s="1"/>
  <c r="J678" i="2"/>
  <c r="V678" i="2" s="1"/>
  <c r="W677" i="2"/>
  <c r="V677" i="2"/>
  <c r="P677" i="2"/>
  <c r="Y677" i="2" s="1"/>
  <c r="Z677" i="2" s="1"/>
  <c r="N677" i="2"/>
  <c r="L677" i="2"/>
  <c r="X677" i="2" s="1"/>
  <c r="J677" i="2"/>
  <c r="W676" i="2"/>
  <c r="P676" i="2"/>
  <c r="N676" i="2"/>
  <c r="L676" i="2"/>
  <c r="J676" i="2"/>
  <c r="V676" i="2" s="1"/>
  <c r="W675" i="2"/>
  <c r="P675" i="2"/>
  <c r="N675" i="2"/>
  <c r="L675" i="2"/>
  <c r="X675" i="2" s="1"/>
  <c r="J675" i="2"/>
  <c r="V675" i="2" s="1"/>
  <c r="W674" i="2"/>
  <c r="P674" i="2"/>
  <c r="Y674" i="2" s="1"/>
  <c r="Z674" i="2" s="1"/>
  <c r="N674" i="2"/>
  <c r="L674" i="2"/>
  <c r="X674" i="2" s="1"/>
  <c r="J674" i="2"/>
  <c r="V674" i="2" s="1"/>
  <c r="W673" i="2"/>
  <c r="P673" i="2"/>
  <c r="N673" i="2"/>
  <c r="L673" i="2"/>
  <c r="J673" i="2"/>
  <c r="V673" i="2" s="1"/>
  <c r="W672" i="2"/>
  <c r="P672" i="2"/>
  <c r="N672" i="2"/>
  <c r="L672" i="2"/>
  <c r="X672" i="2" s="1"/>
  <c r="J672" i="2"/>
  <c r="V672" i="2" s="1"/>
  <c r="W671" i="2"/>
  <c r="P671" i="2"/>
  <c r="Y671" i="2" s="1"/>
  <c r="Z671" i="2" s="1"/>
  <c r="N671" i="2"/>
  <c r="L671" i="2"/>
  <c r="X671" i="2" s="1"/>
  <c r="J671" i="2"/>
  <c r="V671" i="2" s="1"/>
  <c r="X670" i="2"/>
  <c r="W670" i="2"/>
  <c r="P670" i="2"/>
  <c r="Y670" i="2" s="1"/>
  <c r="Z670" i="2" s="1"/>
  <c r="N670" i="2"/>
  <c r="L670" i="2"/>
  <c r="J670" i="2"/>
  <c r="V670" i="2" s="1"/>
  <c r="X669" i="2"/>
  <c r="W669" i="2"/>
  <c r="P669" i="2"/>
  <c r="Y669" i="2" s="1"/>
  <c r="Z669" i="2" s="1"/>
  <c r="N669" i="2"/>
  <c r="L669" i="2"/>
  <c r="J669" i="2"/>
  <c r="V669" i="2" s="1"/>
  <c r="W668" i="2"/>
  <c r="P668" i="2"/>
  <c r="N668" i="2"/>
  <c r="L668" i="2"/>
  <c r="J668" i="2"/>
  <c r="V668" i="2" s="1"/>
  <c r="W667" i="2"/>
  <c r="P667" i="2"/>
  <c r="N667" i="2"/>
  <c r="L667" i="2"/>
  <c r="X667" i="2" s="1"/>
  <c r="J667" i="2"/>
  <c r="V667" i="2" s="1"/>
  <c r="W666" i="2"/>
  <c r="P666" i="2"/>
  <c r="N666" i="2"/>
  <c r="L666" i="2"/>
  <c r="X666" i="2" s="1"/>
  <c r="J666" i="2"/>
  <c r="V666" i="2" s="1"/>
  <c r="W665" i="2"/>
  <c r="P665" i="2"/>
  <c r="N665" i="2"/>
  <c r="L665" i="2"/>
  <c r="J665" i="2"/>
  <c r="V665" i="2" s="1"/>
  <c r="W664" i="2"/>
  <c r="P664" i="2"/>
  <c r="N664" i="2"/>
  <c r="L664" i="2"/>
  <c r="X664" i="2" s="1"/>
  <c r="J664" i="2"/>
  <c r="V664" i="2" s="1"/>
  <c r="W663" i="2"/>
  <c r="P663" i="2"/>
  <c r="N663" i="2"/>
  <c r="L663" i="2"/>
  <c r="X663" i="2" s="1"/>
  <c r="J663" i="2"/>
  <c r="V663" i="2" s="1"/>
  <c r="X662" i="2"/>
  <c r="W662" i="2"/>
  <c r="P662" i="2"/>
  <c r="Y662" i="2" s="1"/>
  <c r="Z662" i="2" s="1"/>
  <c r="N662" i="2"/>
  <c r="L662" i="2"/>
  <c r="J662" i="2"/>
  <c r="V662" i="2" s="1"/>
  <c r="Y661" i="2"/>
  <c r="Z661" i="2" s="1"/>
  <c r="X661" i="2"/>
  <c r="W661" i="2"/>
  <c r="P661" i="2"/>
  <c r="N661" i="2"/>
  <c r="L661" i="2"/>
  <c r="J661" i="2"/>
  <c r="V661" i="2" s="1"/>
  <c r="Y660" i="2"/>
  <c r="Z660" i="2" s="1"/>
  <c r="W660" i="2"/>
  <c r="P660" i="2"/>
  <c r="N660" i="2"/>
  <c r="L660" i="2"/>
  <c r="X660" i="2" s="1"/>
  <c r="J660" i="2"/>
  <c r="V660" i="2" s="1"/>
  <c r="W659" i="2"/>
  <c r="V659" i="2"/>
  <c r="P659" i="2"/>
  <c r="N659" i="2"/>
  <c r="L659" i="2"/>
  <c r="X659" i="2" s="1"/>
  <c r="J659" i="2"/>
  <c r="W658" i="2"/>
  <c r="P658" i="2"/>
  <c r="N658" i="2"/>
  <c r="L658" i="2"/>
  <c r="J658" i="2"/>
  <c r="V658" i="2" s="1"/>
  <c r="W657" i="2"/>
  <c r="P657" i="2"/>
  <c r="N657" i="2"/>
  <c r="L657" i="2"/>
  <c r="J657" i="2"/>
  <c r="V657" i="2" s="1"/>
  <c r="W656" i="2"/>
  <c r="P656" i="2"/>
  <c r="N656" i="2"/>
  <c r="L656" i="2"/>
  <c r="X656" i="2" s="1"/>
  <c r="J656" i="2"/>
  <c r="V656" i="2" s="1"/>
  <c r="W655" i="2"/>
  <c r="V655" i="2"/>
  <c r="P655" i="2"/>
  <c r="N655" i="2"/>
  <c r="L655" i="2"/>
  <c r="X655" i="2" s="1"/>
  <c r="J655" i="2"/>
  <c r="X654" i="2"/>
  <c r="W654" i="2"/>
  <c r="V654" i="2"/>
  <c r="P654" i="2"/>
  <c r="N654" i="2"/>
  <c r="L654" i="2"/>
  <c r="J654" i="2"/>
  <c r="Y653" i="2"/>
  <c r="Z653" i="2" s="1"/>
  <c r="W653" i="2"/>
  <c r="P653" i="2"/>
  <c r="N653" i="2"/>
  <c r="L653" i="2"/>
  <c r="X653" i="2" s="1"/>
  <c r="J653" i="2"/>
  <c r="V653" i="2" s="1"/>
  <c r="W652" i="2"/>
  <c r="P652" i="2"/>
  <c r="N652" i="2"/>
  <c r="L652" i="2"/>
  <c r="J652" i="2"/>
  <c r="V652" i="2" s="1"/>
  <c r="W651" i="2"/>
  <c r="V651" i="2"/>
  <c r="P651" i="2"/>
  <c r="N651" i="2"/>
  <c r="L651" i="2"/>
  <c r="X651" i="2" s="1"/>
  <c r="J651" i="2"/>
  <c r="X650" i="2"/>
  <c r="W650" i="2"/>
  <c r="V650" i="2"/>
  <c r="P650" i="2"/>
  <c r="Y650" i="2" s="1"/>
  <c r="Z650" i="2" s="1"/>
  <c r="N650" i="2"/>
  <c r="L650" i="2"/>
  <c r="J650" i="2"/>
  <c r="X649" i="2"/>
  <c r="W649" i="2"/>
  <c r="P649" i="2"/>
  <c r="Y649" i="2" s="1"/>
  <c r="Z649" i="2" s="1"/>
  <c r="N649" i="2"/>
  <c r="L649" i="2"/>
  <c r="J649" i="2"/>
  <c r="V649" i="2" s="1"/>
  <c r="W648" i="2"/>
  <c r="P648" i="2"/>
  <c r="N648" i="2"/>
  <c r="L648" i="2"/>
  <c r="X648" i="2" s="1"/>
  <c r="J648" i="2"/>
  <c r="V648" i="2" s="1"/>
  <c r="W647" i="2"/>
  <c r="P647" i="2"/>
  <c r="N647" i="2"/>
  <c r="L647" i="2"/>
  <c r="X647" i="2" s="1"/>
  <c r="J647" i="2"/>
  <c r="V647" i="2" s="1"/>
  <c r="W646" i="2"/>
  <c r="P646" i="2"/>
  <c r="Y646" i="2" s="1"/>
  <c r="Z646" i="2" s="1"/>
  <c r="N646" i="2"/>
  <c r="L646" i="2"/>
  <c r="X646" i="2" s="1"/>
  <c r="J646" i="2"/>
  <c r="V646" i="2" s="1"/>
  <c r="W645" i="2"/>
  <c r="V645" i="2"/>
  <c r="P645" i="2"/>
  <c r="N645" i="2"/>
  <c r="L645" i="2"/>
  <c r="J645" i="2"/>
  <c r="W644" i="2"/>
  <c r="P644" i="2"/>
  <c r="N644" i="2"/>
  <c r="L644" i="2"/>
  <c r="J644" i="2"/>
  <c r="V644" i="2" s="1"/>
  <c r="W643" i="2"/>
  <c r="P643" i="2"/>
  <c r="N643" i="2"/>
  <c r="L643" i="2"/>
  <c r="X643" i="2" s="1"/>
  <c r="J643" i="2"/>
  <c r="V643" i="2" s="1"/>
  <c r="W642" i="2"/>
  <c r="P642" i="2"/>
  <c r="Y642" i="2" s="1"/>
  <c r="Z642" i="2" s="1"/>
  <c r="N642" i="2"/>
  <c r="L642" i="2"/>
  <c r="X642" i="2" s="1"/>
  <c r="J642" i="2"/>
  <c r="V642" i="2" s="1"/>
  <c r="W641" i="2"/>
  <c r="P641" i="2"/>
  <c r="N641" i="2"/>
  <c r="L641" i="2"/>
  <c r="J641" i="2"/>
  <c r="V641" i="2" s="1"/>
  <c r="W640" i="2"/>
  <c r="P640" i="2"/>
  <c r="N640" i="2"/>
  <c r="L640" i="2"/>
  <c r="X640" i="2" s="1"/>
  <c r="J640" i="2"/>
  <c r="V640" i="2" s="1"/>
  <c r="W639" i="2"/>
  <c r="P639" i="2"/>
  <c r="Y639" i="2" s="1"/>
  <c r="Z639" i="2" s="1"/>
  <c r="N639" i="2"/>
  <c r="L639" i="2"/>
  <c r="X639" i="2" s="1"/>
  <c r="J639" i="2"/>
  <c r="V639" i="2" s="1"/>
  <c r="X638" i="2"/>
  <c r="W638" i="2"/>
  <c r="P638" i="2"/>
  <c r="Y638" i="2" s="1"/>
  <c r="Z638" i="2" s="1"/>
  <c r="N638" i="2"/>
  <c r="L638" i="2"/>
  <c r="J638" i="2"/>
  <c r="V638" i="2" s="1"/>
  <c r="Y637" i="2"/>
  <c r="Z637" i="2" s="1"/>
  <c r="X637" i="2"/>
  <c r="W637" i="2"/>
  <c r="P637" i="2"/>
  <c r="N637" i="2"/>
  <c r="L637" i="2"/>
  <c r="J637" i="2"/>
  <c r="V637" i="2" s="1"/>
  <c r="W636" i="2"/>
  <c r="P636" i="2"/>
  <c r="N636" i="2"/>
  <c r="L636" i="2"/>
  <c r="J636" i="2"/>
  <c r="V636" i="2" s="1"/>
  <c r="W635" i="2"/>
  <c r="P635" i="2"/>
  <c r="N635" i="2"/>
  <c r="L635" i="2"/>
  <c r="X635" i="2" s="1"/>
  <c r="J635" i="2"/>
  <c r="V635" i="2" s="1"/>
  <c r="W634" i="2"/>
  <c r="P634" i="2"/>
  <c r="N634" i="2"/>
  <c r="L634" i="2"/>
  <c r="X634" i="2" s="1"/>
  <c r="J634" i="2"/>
  <c r="V634" i="2" s="1"/>
  <c r="W633" i="2"/>
  <c r="P633" i="2"/>
  <c r="Y633" i="2" s="1"/>
  <c r="Z633" i="2" s="1"/>
  <c r="N633" i="2"/>
  <c r="L633" i="2"/>
  <c r="X633" i="2" s="1"/>
  <c r="J633" i="2"/>
  <c r="V633" i="2" s="1"/>
  <c r="W632" i="2"/>
  <c r="P632" i="2"/>
  <c r="N632" i="2"/>
  <c r="L632" i="2"/>
  <c r="X632" i="2" s="1"/>
  <c r="J632" i="2"/>
  <c r="V632" i="2" s="1"/>
  <c r="W631" i="2"/>
  <c r="P631" i="2"/>
  <c r="N631" i="2"/>
  <c r="L631" i="2"/>
  <c r="X631" i="2" s="1"/>
  <c r="J631" i="2"/>
  <c r="V631" i="2" s="1"/>
  <c r="X630" i="2"/>
  <c r="W630" i="2"/>
  <c r="P630" i="2"/>
  <c r="N630" i="2"/>
  <c r="L630" i="2"/>
  <c r="J630" i="2"/>
  <c r="V630" i="2" s="1"/>
  <c r="Y629" i="2"/>
  <c r="Z629" i="2" s="1"/>
  <c r="W629" i="2"/>
  <c r="P629" i="2"/>
  <c r="N629" i="2"/>
  <c r="L629" i="2"/>
  <c r="X629" i="2" s="1"/>
  <c r="J629" i="2"/>
  <c r="V629" i="2" s="1"/>
  <c r="W628" i="2"/>
  <c r="P628" i="2"/>
  <c r="N628" i="2"/>
  <c r="L628" i="2"/>
  <c r="J628" i="2"/>
  <c r="V628" i="2" s="1"/>
  <c r="W627" i="2"/>
  <c r="V627" i="2"/>
  <c r="P627" i="2"/>
  <c r="N627" i="2"/>
  <c r="L627" i="2"/>
  <c r="X627" i="2" s="1"/>
  <c r="J627" i="2"/>
  <c r="X626" i="2"/>
  <c r="W626" i="2"/>
  <c r="V626" i="2"/>
  <c r="P626" i="2"/>
  <c r="Y626" i="2" s="1"/>
  <c r="Z626" i="2" s="1"/>
  <c r="N626" i="2"/>
  <c r="L626" i="2"/>
  <c r="J626" i="2"/>
  <c r="W625" i="2"/>
  <c r="P625" i="2"/>
  <c r="N625" i="2"/>
  <c r="L625" i="2"/>
  <c r="J625" i="2"/>
  <c r="V625" i="2" s="1"/>
  <c r="W624" i="2"/>
  <c r="P624" i="2"/>
  <c r="N624" i="2"/>
  <c r="L624" i="2"/>
  <c r="X624" i="2" s="1"/>
  <c r="J624" i="2"/>
  <c r="V624" i="2" s="1"/>
  <c r="W623" i="2"/>
  <c r="P623" i="2"/>
  <c r="N623" i="2"/>
  <c r="L623" i="2"/>
  <c r="X623" i="2" s="1"/>
  <c r="J623" i="2"/>
  <c r="V623" i="2" s="1"/>
  <c r="W622" i="2"/>
  <c r="P622" i="2"/>
  <c r="Y622" i="2" s="1"/>
  <c r="Z622" i="2" s="1"/>
  <c r="N622" i="2"/>
  <c r="L622" i="2"/>
  <c r="X622" i="2" s="1"/>
  <c r="J622" i="2"/>
  <c r="V622" i="2" s="1"/>
  <c r="X621" i="2"/>
  <c r="W621" i="2"/>
  <c r="P621" i="2"/>
  <c r="N621" i="2"/>
  <c r="L621" i="2"/>
  <c r="J621" i="2"/>
  <c r="V621" i="2" s="1"/>
  <c r="W620" i="2"/>
  <c r="P620" i="2"/>
  <c r="N620" i="2"/>
  <c r="L620" i="2"/>
  <c r="J620" i="2"/>
  <c r="V620" i="2" s="1"/>
  <c r="W619" i="2"/>
  <c r="P619" i="2"/>
  <c r="N619" i="2"/>
  <c r="L619" i="2"/>
  <c r="X619" i="2" s="1"/>
  <c r="J619" i="2"/>
  <c r="V619" i="2" s="1"/>
  <c r="Y618" i="2"/>
  <c r="Z618" i="2" s="1"/>
  <c r="X618" i="2"/>
  <c r="W618" i="2"/>
  <c r="V618" i="2"/>
  <c r="P618" i="2"/>
  <c r="N618" i="2"/>
  <c r="L618" i="2"/>
  <c r="J618" i="2"/>
  <c r="Y617" i="2"/>
  <c r="Z617" i="2" s="1"/>
  <c r="W617" i="2"/>
  <c r="P617" i="2"/>
  <c r="N617" i="2"/>
  <c r="L617" i="2"/>
  <c r="X617" i="2" s="1"/>
  <c r="J617" i="2"/>
  <c r="V617" i="2" s="1"/>
  <c r="W616" i="2"/>
  <c r="P616" i="2"/>
  <c r="N616" i="2"/>
  <c r="L616" i="2"/>
  <c r="X616" i="2" s="1"/>
  <c r="J616" i="2"/>
  <c r="V616" i="2" s="1"/>
  <c r="W615" i="2"/>
  <c r="P615" i="2"/>
  <c r="N615" i="2"/>
  <c r="L615" i="2"/>
  <c r="X615" i="2" s="1"/>
  <c r="J615" i="2"/>
  <c r="V615" i="2" s="1"/>
  <c r="X614" i="2"/>
  <c r="W614" i="2"/>
  <c r="P614" i="2"/>
  <c r="Y614" i="2" s="1"/>
  <c r="Z614" i="2" s="1"/>
  <c r="N614" i="2"/>
  <c r="L614" i="2"/>
  <c r="J614" i="2"/>
  <c r="V614" i="2" s="1"/>
  <c r="W613" i="2"/>
  <c r="P613" i="2"/>
  <c r="Y613" i="2" s="1"/>
  <c r="Z613" i="2" s="1"/>
  <c r="N613" i="2"/>
  <c r="L613" i="2"/>
  <c r="X613" i="2" s="1"/>
  <c r="J613" i="2"/>
  <c r="V613" i="2" s="1"/>
  <c r="Y612" i="2"/>
  <c r="Z612" i="2" s="1"/>
  <c r="W612" i="2"/>
  <c r="P612" i="2"/>
  <c r="N612" i="2"/>
  <c r="L612" i="2"/>
  <c r="X612" i="2" s="1"/>
  <c r="J612" i="2"/>
  <c r="V612" i="2" s="1"/>
  <c r="W611" i="2"/>
  <c r="P611" i="2"/>
  <c r="N611" i="2"/>
  <c r="L611" i="2"/>
  <c r="X611" i="2" s="1"/>
  <c r="J611" i="2"/>
  <c r="V611" i="2" s="1"/>
  <c r="X610" i="2"/>
  <c r="W610" i="2"/>
  <c r="P610" i="2"/>
  <c r="Y610" i="2" s="1"/>
  <c r="Z610" i="2" s="1"/>
  <c r="N610" i="2"/>
  <c r="L610" i="2"/>
  <c r="J610" i="2"/>
  <c r="V610" i="2" s="1"/>
  <c r="W609" i="2"/>
  <c r="P609" i="2"/>
  <c r="N609" i="2"/>
  <c r="L609" i="2"/>
  <c r="J609" i="2"/>
  <c r="V609" i="2" s="1"/>
  <c r="W608" i="2"/>
  <c r="P608" i="2"/>
  <c r="N608" i="2"/>
  <c r="L608" i="2"/>
  <c r="X608" i="2" s="1"/>
  <c r="J608" i="2"/>
  <c r="V608" i="2" s="1"/>
  <c r="W607" i="2"/>
  <c r="P607" i="2"/>
  <c r="N607" i="2"/>
  <c r="L607" i="2"/>
  <c r="X607" i="2" s="1"/>
  <c r="J607" i="2"/>
  <c r="V607" i="2" s="1"/>
  <c r="W606" i="2"/>
  <c r="P606" i="2"/>
  <c r="Y606" i="2" s="1"/>
  <c r="Z606" i="2" s="1"/>
  <c r="N606" i="2"/>
  <c r="L606" i="2"/>
  <c r="X606" i="2" s="1"/>
  <c r="J606" i="2"/>
  <c r="V606" i="2" s="1"/>
  <c r="X605" i="2"/>
  <c r="W605" i="2"/>
  <c r="P605" i="2"/>
  <c r="N605" i="2"/>
  <c r="L605" i="2"/>
  <c r="J605" i="2"/>
  <c r="V605" i="2" s="1"/>
  <c r="W604" i="2"/>
  <c r="P604" i="2"/>
  <c r="N604" i="2"/>
  <c r="L604" i="2"/>
  <c r="J604" i="2"/>
  <c r="V604" i="2" s="1"/>
  <c r="W603" i="2"/>
  <c r="V603" i="2"/>
  <c r="P603" i="2"/>
  <c r="N603" i="2"/>
  <c r="L603" i="2"/>
  <c r="X603" i="2" s="1"/>
  <c r="J603" i="2"/>
  <c r="X602" i="2"/>
  <c r="W602" i="2"/>
  <c r="P602" i="2"/>
  <c r="Y602" i="2" s="1"/>
  <c r="Z602" i="2" s="1"/>
  <c r="N602" i="2"/>
  <c r="L602" i="2"/>
  <c r="J602" i="2"/>
  <c r="V602" i="2" s="1"/>
  <c r="Y601" i="2"/>
  <c r="Z601" i="2" s="1"/>
  <c r="W601" i="2"/>
  <c r="P601" i="2"/>
  <c r="N601" i="2"/>
  <c r="L601" i="2"/>
  <c r="X601" i="2" s="1"/>
  <c r="J601" i="2"/>
  <c r="V601" i="2" s="1"/>
  <c r="W600" i="2"/>
  <c r="P600" i="2"/>
  <c r="Y600" i="2" s="1"/>
  <c r="Z600" i="2" s="1"/>
  <c r="N600" i="2"/>
  <c r="L600" i="2"/>
  <c r="X600" i="2" s="1"/>
  <c r="J600" i="2"/>
  <c r="V600" i="2" s="1"/>
  <c r="W599" i="2"/>
  <c r="V599" i="2"/>
  <c r="P599" i="2"/>
  <c r="N599" i="2"/>
  <c r="L599" i="2"/>
  <c r="X599" i="2" s="1"/>
  <c r="J599" i="2"/>
  <c r="X598" i="2"/>
  <c r="W598" i="2"/>
  <c r="V598" i="2"/>
  <c r="P598" i="2"/>
  <c r="Y598" i="2" s="1"/>
  <c r="Z598" i="2" s="1"/>
  <c r="N598" i="2"/>
  <c r="L598" i="2"/>
  <c r="J598" i="2"/>
  <c r="Y597" i="2"/>
  <c r="Z597" i="2" s="1"/>
  <c r="W597" i="2"/>
  <c r="P597" i="2"/>
  <c r="N597" i="2"/>
  <c r="L597" i="2"/>
  <c r="X597" i="2" s="1"/>
  <c r="J597" i="2"/>
  <c r="V597" i="2" s="1"/>
  <c r="W596" i="2"/>
  <c r="P596" i="2"/>
  <c r="N596" i="2"/>
  <c r="L596" i="2"/>
  <c r="J596" i="2"/>
  <c r="V596" i="2" s="1"/>
  <c r="W595" i="2"/>
  <c r="P595" i="2"/>
  <c r="N595" i="2"/>
  <c r="L595" i="2"/>
  <c r="X595" i="2" s="1"/>
  <c r="J595" i="2"/>
  <c r="V595" i="2" s="1"/>
  <c r="Y594" i="2"/>
  <c r="Z594" i="2" s="1"/>
  <c r="X594" i="2"/>
  <c r="W594" i="2"/>
  <c r="V594" i="2"/>
  <c r="P594" i="2"/>
  <c r="N594" i="2"/>
  <c r="L594" i="2"/>
  <c r="J594" i="2"/>
  <c r="W593" i="2"/>
  <c r="P593" i="2"/>
  <c r="N593" i="2"/>
  <c r="L593" i="2"/>
  <c r="J593" i="2"/>
  <c r="V593" i="2" s="1"/>
  <c r="W592" i="2"/>
  <c r="P592" i="2"/>
  <c r="N592" i="2"/>
  <c r="L592" i="2"/>
  <c r="X592" i="2" s="1"/>
  <c r="J592" i="2"/>
  <c r="V592" i="2" s="1"/>
  <c r="W591" i="2"/>
  <c r="P591" i="2"/>
  <c r="N591" i="2"/>
  <c r="L591" i="2"/>
  <c r="X591" i="2" s="1"/>
  <c r="J591" i="2"/>
  <c r="V591" i="2" s="1"/>
  <c r="X590" i="2"/>
  <c r="W590" i="2"/>
  <c r="P590" i="2"/>
  <c r="Y590" i="2" s="1"/>
  <c r="Z590" i="2" s="1"/>
  <c r="N590" i="2"/>
  <c r="L590" i="2"/>
  <c r="J590" i="2"/>
  <c r="V590" i="2" s="1"/>
  <c r="Y589" i="2"/>
  <c r="Z589" i="2" s="1"/>
  <c r="W589" i="2"/>
  <c r="P589" i="2"/>
  <c r="N589" i="2"/>
  <c r="L589" i="2"/>
  <c r="X589" i="2" s="1"/>
  <c r="J589" i="2"/>
  <c r="V589" i="2" s="1"/>
  <c r="W588" i="2"/>
  <c r="P588" i="2"/>
  <c r="N588" i="2"/>
  <c r="L588" i="2"/>
  <c r="J588" i="2"/>
  <c r="V588" i="2" s="1"/>
  <c r="W587" i="2"/>
  <c r="V587" i="2"/>
  <c r="P587" i="2"/>
  <c r="N587" i="2"/>
  <c r="L587" i="2"/>
  <c r="X587" i="2" s="1"/>
  <c r="J587" i="2"/>
  <c r="X586" i="2"/>
  <c r="W586" i="2"/>
  <c r="V586" i="2"/>
  <c r="P586" i="2"/>
  <c r="N586" i="2"/>
  <c r="L586" i="2"/>
  <c r="J586" i="2"/>
  <c r="Y585" i="2"/>
  <c r="Z585" i="2" s="1"/>
  <c r="X585" i="2"/>
  <c r="W585" i="2"/>
  <c r="P585" i="2"/>
  <c r="N585" i="2"/>
  <c r="L585" i="2"/>
  <c r="J585" i="2"/>
  <c r="V585" i="2" s="1"/>
  <c r="W584" i="2"/>
  <c r="P584" i="2"/>
  <c r="Y584" i="2" s="1"/>
  <c r="Z584" i="2" s="1"/>
  <c r="N584" i="2"/>
  <c r="L584" i="2"/>
  <c r="X584" i="2" s="1"/>
  <c r="J584" i="2"/>
  <c r="V584" i="2" s="1"/>
  <c r="W583" i="2"/>
  <c r="P583" i="2"/>
  <c r="N583" i="2"/>
  <c r="L583" i="2"/>
  <c r="X583" i="2" s="1"/>
  <c r="J583" i="2"/>
  <c r="V583" i="2" s="1"/>
  <c r="X582" i="2"/>
  <c r="W582" i="2"/>
  <c r="P582" i="2"/>
  <c r="N582" i="2"/>
  <c r="L582" i="2"/>
  <c r="J582" i="2"/>
  <c r="V582" i="2" s="1"/>
  <c r="W581" i="2"/>
  <c r="P581" i="2"/>
  <c r="Y581" i="2" s="1"/>
  <c r="Z581" i="2" s="1"/>
  <c r="N581" i="2"/>
  <c r="L581" i="2"/>
  <c r="X581" i="2" s="1"/>
  <c r="J581" i="2"/>
  <c r="V581" i="2" s="1"/>
  <c r="W580" i="2"/>
  <c r="P580" i="2"/>
  <c r="N580" i="2"/>
  <c r="L580" i="2"/>
  <c r="X580" i="2" s="1"/>
  <c r="J580" i="2"/>
  <c r="V580" i="2" s="1"/>
  <c r="W579" i="2"/>
  <c r="P579" i="2"/>
  <c r="N579" i="2"/>
  <c r="L579" i="2"/>
  <c r="X579" i="2" s="1"/>
  <c r="J579" i="2"/>
  <c r="V579" i="2" s="1"/>
  <c r="W578" i="2"/>
  <c r="P578" i="2"/>
  <c r="N578" i="2"/>
  <c r="L578" i="2"/>
  <c r="X578" i="2" s="1"/>
  <c r="J578" i="2"/>
  <c r="V578" i="2" s="1"/>
  <c r="W577" i="2"/>
  <c r="P577" i="2"/>
  <c r="N577" i="2"/>
  <c r="L577" i="2"/>
  <c r="J577" i="2"/>
  <c r="V577" i="2" s="1"/>
  <c r="W576" i="2"/>
  <c r="P576" i="2"/>
  <c r="N576" i="2"/>
  <c r="L576" i="2"/>
  <c r="X576" i="2" s="1"/>
  <c r="J576" i="2"/>
  <c r="V576" i="2" s="1"/>
  <c r="W575" i="2"/>
  <c r="P575" i="2"/>
  <c r="Y575" i="2" s="1"/>
  <c r="Z575" i="2" s="1"/>
  <c r="N575" i="2"/>
  <c r="L575" i="2"/>
  <c r="X575" i="2" s="1"/>
  <c r="J575" i="2"/>
  <c r="V575" i="2" s="1"/>
  <c r="X574" i="2"/>
  <c r="W574" i="2"/>
  <c r="P574" i="2"/>
  <c r="Y574" i="2" s="1"/>
  <c r="Z574" i="2" s="1"/>
  <c r="N574" i="2"/>
  <c r="L574" i="2"/>
  <c r="J574" i="2"/>
  <c r="V574" i="2" s="1"/>
  <c r="X573" i="2"/>
  <c r="W573" i="2"/>
  <c r="V573" i="2"/>
  <c r="P573" i="2"/>
  <c r="N573" i="2"/>
  <c r="L573" i="2"/>
  <c r="J573" i="2"/>
  <c r="W572" i="2"/>
  <c r="P572" i="2"/>
  <c r="N572" i="2"/>
  <c r="L572" i="2"/>
  <c r="X572" i="2" s="1"/>
  <c r="J572" i="2"/>
  <c r="V572" i="2" s="1"/>
  <c r="W571" i="2"/>
  <c r="V571" i="2"/>
  <c r="P571" i="2"/>
  <c r="N571" i="2"/>
  <c r="L571" i="2"/>
  <c r="X571" i="2" s="1"/>
  <c r="J571" i="2"/>
  <c r="W570" i="2"/>
  <c r="P570" i="2"/>
  <c r="N570" i="2"/>
  <c r="L570" i="2"/>
  <c r="X570" i="2" s="1"/>
  <c r="J570" i="2"/>
  <c r="V570" i="2" s="1"/>
  <c r="W569" i="2"/>
  <c r="P569" i="2"/>
  <c r="Y569" i="2" s="1"/>
  <c r="Z569" i="2" s="1"/>
  <c r="N569" i="2"/>
  <c r="L569" i="2"/>
  <c r="X569" i="2" s="1"/>
  <c r="J569" i="2"/>
  <c r="V569" i="2" s="1"/>
  <c r="W568" i="2"/>
  <c r="P568" i="2"/>
  <c r="N568" i="2"/>
  <c r="L568" i="2"/>
  <c r="J568" i="2"/>
  <c r="V568" i="2" s="1"/>
  <c r="W567" i="2"/>
  <c r="V567" i="2"/>
  <c r="P567" i="2"/>
  <c r="N567" i="2"/>
  <c r="L567" i="2"/>
  <c r="X567" i="2" s="1"/>
  <c r="J567" i="2"/>
  <c r="W566" i="2"/>
  <c r="P566" i="2"/>
  <c r="N566" i="2"/>
  <c r="L566" i="2"/>
  <c r="J566" i="2"/>
  <c r="V566" i="2" s="1"/>
  <c r="X565" i="2"/>
  <c r="W565" i="2"/>
  <c r="P565" i="2"/>
  <c r="Y565" i="2" s="1"/>
  <c r="Z565" i="2" s="1"/>
  <c r="N565" i="2"/>
  <c r="L565" i="2"/>
  <c r="J565" i="2"/>
  <c r="V565" i="2" s="1"/>
  <c r="W564" i="2"/>
  <c r="P564" i="2"/>
  <c r="N564" i="2"/>
  <c r="L564" i="2"/>
  <c r="J564" i="2"/>
  <c r="V564" i="2" s="1"/>
  <c r="W563" i="2"/>
  <c r="P563" i="2"/>
  <c r="N563" i="2"/>
  <c r="L563" i="2"/>
  <c r="X563" i="2" s="1"/>
  <c r="J563" i="2"/>
  <c r="V563" i="2" s="1"/>
  <c r="W562" i="2"/>
  <c r="P562" i="2"/>
  <c r="N562" i="2"/>
  <c r="L562" i="2"/>
  <c r="X562" i="2" s="1"/>
  <c r="J562" i="2"/>
  <c r="V562" i="2" s="1"/>
  <c r="W561" i="2"/>
  <c r="V561" i="2"/>
  <c r="P561" i="2"/>
  <c r="N561" i="2"/>
  <c r="L561" i="2"/>
  <c r="X561" i="2" s="1"/>
  <c r="J561" i="2"/>
  <c r="W560" i="2"/>
  <c r="V560" i="2"/>
  <c r="P560" i="2"/>
  <c r="Y560" i="2" s="1"/>
  <c r="Z560" i="2" s="1"/>
  <c r="N560" i="2"/>
  <c r="L560" i="2"/>
  <c r="X560" i="2" s="1"/>
  <c r="J560" i="2"/>
  <c r="W559" i="2"/>
  <c r="P559" i="2"/>
  <c r="N559" i="2"/>
  <c r="L559" i="2"/>
  <c r="X559" i="2" s="1"/>
  <c r="J559" i="2"/>
  <c r="V559" i="2" s="1"/>
  <c r="W558" i="2"/>
  <c r="P558" i="2"/>
  <c r="N558" i="2"/>
  <c r="L558" i="2"/>
  <c r="X558" i="2" s="1"/>
  <c r="J558" i="2"/>
  <c r="V558" i="2" s="1"/>
  <c r="W557" i="2"/>
  <c r="P557" i="2"/>
  <c r="Y557" i="2" s="1"/>
  <c r="Z557" i="2" s="1"/>
  <c r="N557" i="2"/>
  <c r="L557" i="2"/>
  <c r="X557" i="2" s="1"/>
  <c r="J557" i="2"/>
  <c r="V557" i="2" s="1"/>
  <c r="X556" i="2"/>
  <c r="W556" i="2"/>
  <c r="P556" i="2"/>
  <c r="Y556" i="2" s="1"/>
  <c r="Z556" i="2" s="1"/>
  <c r="N556" i="2"/>
  <c r="L556" i="2"/>
  <c r="J556" i="2"/>
  <c r="V556" i="2" s="1"/>
  <c r="W555" i="2"/>
  <c r="P555" i="2"/>
  <c r="N555" i="2"/>
  <c r="L555" i="2"/>
  <c r="X555" i="2" s="1"/>
  <c r="J555" i="2"/>
  <c r="V555" i="2" s="1"/>
  <c r="W554" i="2"/>
  <c r="P554" i="2"/>
  <c r="N554" i="2"/>
  <c r="L554" i="2"/>
  <c r="J554" i="2"/>
  <c r="V554" i="2" s="1"/>
  <c r="W553" i="2"/>
  <c r="P553" i="2"/>
  <c r="N553" i="2"/>
  <c r="L553" i="2"/>
  <c r="X553" i="2" s="1"/>
  <c r="J553" i="2"/>
  <c r="V553" i="2" s="1"/>
  <c r="W552" i="2"/>
  <c r="V552" i="2"/>
  <c r="P552" i="2"/>
  <c r="Y552" i="2" s="1"/>
  <c r="Z552" i="2" s="1"/>
  <c r="N552" i="2"/>
  <c r="L552" i="2"/>
  <c r="X552" i="2" s="1"/>
  <c r="J552" i="2"/>
  <c r="X551" i="2"/>
  <c r="W551" i="2"/>
  <c r="V551" i="2"/>
  <c r="P551" i="2"/>
  <c r="Y551" i="2" s="1"/>
  <c r="Z551" i="2" s="1"/>
  <c r="N551" i="2"/>
  <c r="L551" i="2"/>
  <c r="J551" i="2"/>
  <c r="X550" i="2"/>
  <c r="W550" i="2"/>
  <c r="V550" i="2"/>
  <c r="P550" i="2"/>
  <c r="N550" i="2"/>
  <c r="L550" i="2"/>
  <c r="J550" i="2"/>
  <c r="X549" i="2"/>
  <c r="W549" i="2"/>
  <c r="P549" i="2"/>
  <c r="Y549" i="2" s="1"/>
  <c r="Z549" i="2" s="1"/>
  <c r="N549" i="2"/>
  <c r="L549" i="2"/>
  <c r="J549" i="2"/>
  <c r="V549" i="2" s="1"/>
  <c r="W548" i="2"/>
  <c r="P548" i="2"/>
  <c r="Y548" i="2" s="1"/>
  <c r="Z548" i="2" s="1"/>
  <c r="N548" i="2"/>
  <c r="L548" i="2"/>
  <c r="X548" i="2" s="1"/>
  <c r="J548" i="2"/>
  <c r="V548" i="2" s="1"/>
  <c r="W547" i="2"/>
  <c r="P547" i="2"/>
  <c r="N547" i="2"/>
  <c r="L547" i="2"/>
  <c r="X547" i="2" s="1"/>
  <c r="J547" i="2"/>
  <c r="V547" i="2" s="1"/>
  <c r="W546" i="2"/>
  <c r="P546" i="2"/>
  <c r="N546" i="2"/>
  <c r="L546" i="2"/>
  <c r="X546" i="2" s="1"/>
  <c r="J546" i="2"/>
  <c r="V546" i="2" s="1"/>
  <c r="W545" i="2"/>
  <c r="P545" i="2"/>
  <c r="N545" i="2"/>
  <c r="L545" i="2"/>
  <c r="J545" i="2"/>
  <c r="V545" i="2" s="1"/>
  <c r="Y544" i="2"/>
  <c r="Z544" i="2" s="1"/>
  <c r="W544" i="2"/>
  <c r="P544" i="2"/>
  <c r="N544" i="2"/>
  <c r="L544" i="2"/>
  <c r="X544" i="2" s="1"/>
  <c r="J544" i="2"/>
  <c r="V544" i="2" s="1"/>
  <c r="W543" i="2"/>
  <c r="V543" i="2"/>
  <c r="P543" i="2"/>
  <c r="N543" i="2"/>
  <c r="L543" i="2"/>
  <c r="X543" i="2" s="1"/>
  <c r="J543" i="2"/>
  <c r="W542" i="2"/>
  <c r="V542" i="2"/>
  <c r="P542" i="2"/>
  <c r="N542" i="2"/>
  <c r="L542" i="2"/>
  <c r="X542" i="2" s="1"/>
  <c r="J542" i="2"/>
  <c r="W541" i="2"/>
  <c r="V541" i="2"/>
  <c r="P541" i="2"/>
  <c r="N541" i="2"/>
  <c r="L541" i="2"/>
  <c r="J541" i="2"/>
  <c r="W540" i="2"/>
  <c r="P540" i="2"/>
  <c r="Y540" i="2" s="1"/>
  <c r="Z540" i="2" s="1"/>
  <c r="N540" i="2"/>
  <c r="L540" i="2"/>
  <c r="X540" i="2" s="1"/>
  <c r="J540" i="2"/>
  <c r="V540" i="2" s="1"/>
  <c r="X539" i="2"/>
  <c r="W539" i="2"/>
  <c r="V539" i="2"/>
  <c r="P539" i="2"/>
  <c r="Y539" i="2" s="1"/>
  <c r="Z539" i="2" s="1"/>
  <c r="N539" i="2"/>
  <c r="L539" i="2"/>
  <c r="J539" i="2"/>
  <c r="W538" i="2"/>
  <c r="P538" i="2"/>
  <c r="Y538" i="2" s="1"/>
  <c r="Z538" i="2" s="1"/>
  <c r="N538" i="2"/>
  <c r="L538" i="2"/>
  <c r="X538" i="2" s="1"/>
  <c r="J538" i="2"/>
  <c r="V538" i="2" s="1"/>
  <c r="X537" i="2"/>
  <c r="W537" i="2"/>
  <c r="P537" i="2"/>
  <c r="Y537" i="2" s="1"/>
  <c r="Z537" i="2" s="1"/>
  <c r="N537" i="2"/>
  <c r="L537" i="2"/>
  <c r="J537" i="2"/>
  <c r="V537" i="2" s="1"/>
  <c r="W536" i="2"/>
  <c r="P536" i="2"/>
  <c r="N536" i="2"/>
  <c r="L536" i="2"/>
  <c r="J536" i="2"/>
  <c r="V536" i="2" s="1"/>
  <c r="W535" i="2"/>
  <c r="P535" i="2"/>
  <c r="Y535" i="2" s="1"/>
  <c r="Z535" i="2" s="1"/>
  <c r="N535" i="2"/>
  <c r="L535" i="2"/>
  <c r="X535" i="2" s="1"/>
  <c r="J535" i="2"/>
  <c r="V535" i="2" s="1"/>
  <c r="W534" i="2"/>
  <c r="P534" i="2"/>
  <c r="Y534" i="2" s="1"/>
  <c r="Z534" i="2" s="1"/>
  <c r="N534" i="2"/>
  <c r="L534" i="2"/>
  <c r="X534" i="2" s="1"/>
  <c r="J534" i="2"/>
  <c r="V534" i="2" s="1"/>
  <c r="X533" i="2"/>
  <c r="W533" i="2"/>
  <c r="P533" i="2"/>
  <c r="Y533" i="2" s="1"/>
  <c r="Z533" i="2" s="1"/>
  <c r="N533" i="2"/>
  <c r="L533" i="2"/>
  <c r="J533" i="2"/>
  <c r="V533" i="2" s="1"/>
  <c r="X532" i="2"/>
  <c r="W532" i="2"/>
  <c r="P532" i="2"/>
  <c r="N532" i="2"/>
  <c r="L532" i="2"/>
  <c r="J532" i="2"/>
  <c r="V532" i="2" s="1"/>
  <c r="X531" i="2"/>
  <c r="W531" i="2"/>
  <c r="P531" i="2"/>
  <c r="N531" i="2"/>
  <c r="L531" i="2"/>
  <c r="J531" i="2"/>
  <c r="V531" i="2" s="1"/>
  <c r="W530" i="2"/>
  <c r="P530" i="2"/>
  <c r="N530" i="2"/>
  <c r="L530" i="2"/>
  <c r="J530" i="2"/>
  <c r="V530" i="2" s="1"/>
  <c r="W529" i="2"/>
  <c r="V529" i="2"/>
  <c r="P529" i="2"/>
  <c r="N529" i="2"/>
  <c r="L529" i="2"/>
  <c r="X529" i="2" s="1"/>
  <c r="J529" i="2"/>
  <c r="Y528" i="2"/>
  <c r="Z528" i="2" s="1"/>
  <c r="W528" i="2"/>
  <c r="V528" i="2"/>
  <c r="P528" i="2"/>
  <c r="N528" i="2"/>
  <c r="L528" i="2"/>
  <c r="X528" i="2" s="1"/>
  <c r="J528" i="2"/>
  <c r="W527" i="2"/>
  <c r="V527" i="2"/>
  <c r="P527" i="2"/>
  <c r="N527" i="2"/>
  <c r="L527" i="2"/>
  <c r="X527" i="2" s="1"/>
  <c r="J527" i="2"/>
  <c r="W526" i="2"/>
  <c r="P526" i="2"/>
  <c r="N526" i="2"/>
  <c r="L526" i="2"/>
  <c r="X526" i="2" s="1"/>
  <c r="J526" i="2"/>
  <c r="V526" i="2" s="1"/>
  <c r="W525" i="2"/>
  <c r="P525" i="2"/>
  <c r="N525" i="2"/>
  <c r="L525" i="2"/>
  <c r="X525" i="2" s="1"/>
  <c r="J525" i="2"/>
  <c r="V525" i="2" s="1"/>
  <c r="W524" i="2"/>
  <c r="P524" i="2"/>
  <c r="N524" i="2"/>
  <c r="L524" i="2"/>
  <c r="X524" i="2" s="1"/>
  <c r="J524" i="2"/>
  <c r="V524" i="2" s="1"/>
  <c r="W523" i="2"/>
  <c r="P523" i="2"/>
  <c r="N523" i="2"/>
  <c r="L523" i="2"/>
  <c r="X523" i="2" s="1"/>
  <c r="J523" i="2"/>
  <c r="V523" i="2" s="1"/>
  <c r="W522" i="2"/>
  <c r="V522" i="2"/>
  <c r="P522" i="2"/>
  <c r="Y522" i="2" s="1"/>
  <c r="Z522" i="2" s="1"/>
  <c r="N522" i="2"/>
  <c r="L522" i="2"/>
  <c r="X522" i="2" s="1"/>
  <c r="J522" i="2"/>
  <c r="W521" i="2"/>
  <c r="P521" i="2"/>
  <c r="Y521" i="2" s="1"/>
  <c r="Z521" i="2" s="1"/>
  <c r="N521" i="2"/>
  <c r="L521" i="2"/>
  <c r="X521" i="2" s="1"/>
  <c r="J521" i="2"/>
  <c r="V521" i="2" s="1"/>
  <c r="W520" i="2"/>
  <c r="P520" i="2"/>
  <c r="N520" i="2"/>
  <c r="L520" i="2"/>
  <c r="X520" i="2" s="1"/>
  <c r="J520" i="2"/>
  <c r="V520" i="2" s="1"/>
  <c r="W519" i="2"/>
  <c r="P519" i="2"/>
  <c r="N519" i="2"/>
  <c r="L519" i="2"/>
  <c r="X519" i="2" s="1"/>
  <c r="J519" i="2"/>
  <c r="V519" i="2" s="1"/>
  <c r="W518" i="2"/>
  <c r="P518" i="2"/>
  <c r="N518" i="2"/>
  <c r="L518" i="2"/>
  <c r="J518" i="2"/>
  <c r="V518" i="2" s="1"/>
  <c r="W517" i="2"/>
  <c r="P517" i="2"/>
  <c r="Y517" i="2" s="1"/>
  <c r="Z517" i="2" s="1"/>
  <c r="N517" i="2"/>
  <c r="L517" i="2"/>
  <c r="X517" i="2" s="1"/>
  <c r="J517" i="2"/>
  <c r="V517" i="2" s="1"/>
  <c r="W516" i="2"/>
  <c r="P516" i="2"/>
  <c r="N516" i="2"/>
  <c r="L516" i="2"/>
  <c r="X516" i="2" s="1"/>
  <c r="J516" i="2"/>
  <c r="V516" i="2" s="1"/>
  <c r="X515" i="2"/>
  <c r="W515" i="2"/>
  <c r="P515" i="2"/>
  <c r="Y515" i="2" s="1"/>
  <c r="Z515" i="2" s="1"/>
  <c r="N515" i="2"/>
  <c r="L515" i="2"/>
  <c r="J515" i="2"/>
  <c r="V515" i="2" s="1"/>
  <c r="Y514" i="2"/>
  <c r="Z514" i="2" s="1"/>
  <c r="X514" i="2"/>
  <c r="W514" i="2"/>
  <c r="P514" i="2"/>
  <c r="N514" i="2"/>
  <c r="L514" i="2"/>
  <c r="J514" i="2"/>
  <c r="V514" i="2" s="1"/>
  <c r="Y513" i="2"/>
  <c r="Z513" i="2" s="1"/>
  <c r="W513" i="2"/>
  <c r="P513" i="2"/>
  <c r="N513" i="2"/>
  <c r="L513" i="2"/>
  <c r="X513" i="2" s="1"/>
  <c r="J513" i="2"/>
  <c r="V513" i="2" s="1"/>
  <c r="W512" i="2"/>
  <c r="P512" i="2"/>
  <c r="N512" i="2"/>
  <c r="L512" i="2"/>
  <c r="X512" i="2" s="1"/>
  <c r="J512" i="2"/>
  <c r="V512" i="2" s="1"/>
  <c r="Y511" i="2"/>
  <c r="Z511" i="2" s="1"/>
  <c r="X511" i="2"/>
  <c r="W511" i="2"/>
  <c r="P511" i="2"/>
  <c r="N511" i="2"/>
  <c r="L511" i="2"/>
  <c r="J511" i="2"/>
  <c r="V511" i="2" s="1"/>
  <c r="W510" i="2"/>
  <c r="P510" i="2"/>
  <c r="N510" i="2"/>
  <c r="L510" i="2"/>
  <c r="J510" i="2"/>
  <c r="V510" i="2" s="1"/>
  <c r="W509" i="2"/>
  <c r="P509" i="2"/>
  <c r="Y509" i="2" s="1"/>
  <c r="Z509" i="2" s="1"/>
  <c r="N509" i="2"/>
  <c r="L509" i="2"/>
  <c r="X509" i="2" s="1"/>
  <c r="J509" i="2"/>
  <c r="V509" i="2" s="1"/>
  <c r="W508" i="2"/>
  <c r="V508" i="2"/>
  <c r="P508" i="2"/>
  <c r="Y508" i="2" s="1"/>
  <c r="Z508" i="2" s="1"/>
  <c r="N508" i="2"/>
  <c r="L508" i="2"/>
  <c r="X508" i="2" s="1"/>
  <c r="J508" i="2"/>
  <c r="X507" i="2"/>
  <c r="W507" i="2"/>
  <c r="V507" i="2"/>
  <c r="P507" i="2"/>
  <c r="Y507" i="2" s="1"/>
  <c r="Z507" i="2" s="1"/>
  <c r="N507" i="2"/>
  <c r="L507" i="2"/>
  <c r="J507" i="2"/>
  <c r="X506" i="2"/>
  <c r="W506" i="2"/>
  <c r="P506" i="2"/>
  <c r="Y506" i="2" s="1"/>
  <c r="Z506" i="2" s="1"/>
  <c r="N506" i="2"/>
  <c r="L506" i="2"/>
  <c r="J506" i="2"/>
  <c r="V506" i="2" s="1"/>
  <c r="W505" i="2"/>
  <c r="P505" i="2"/>
  <c r="Y505" i="2" s="1"/>
  <c r="Z505" i="2" s="1"/>
  <c r="N505" i="2"/>
  <c r="L505" i="2"/>
  <c r="X505" i="2" s="1"/>
  <c r="J505" i="2"/>
  <c r="V505" i="2" s="1"/>
  <c r="W504" i="2"/>
  <c r="P504" i="2"/>
  <c r="N504" i="2"/>
  <c r="L504" i="2"/>
  <c r="X504" i="2" s="1"/>
  <c r="J504" i="2"/>
  <c r="V504" i="2" s="1"/>
  <c r="W503" i="2"/>
  <c r="P503" i="2"/>
  <c r="N503" i="2"/>
  <c r="L503" i="2"/>
  <c r="X503" i="2" s="1"/>
  <c r="J503" i="2"/>
  <c r="V503" i="2" s="1"/>
  <c r="W502" i="2"/>
  <c r="P502" i="2"/>
  <c r="N502" i="2"/>
  <c r="L502" i="2"/>
  <c r="Y502" i="2" s="1"/>
  <c r="Z502" i="2" s="1"/>
  <c r="J502" i="2"/>
  <c r="V502" i="2" s="1"/>
  <c r="W501" i="2"/>
  <c r="P501" i="2"/>
  <c r="N501" i="2"/>
  <c r="L501" i="2"/>
  <c r="X501" i="2" s="1"/>
  <c r="J501" i="2"/>
  <c r="V501" i="2" s="1"/>
  <c r="W500" i="2"/>
  <c r="V500" i="2"/>
  <c r="P500" i="2"/>
  <c r="N500" i="2"/>
  <c r="L500" i="2"/>
  <c r="X500" i="2" s="1"/>
  <c r="J500" i="2"/>
  <c r="W499" i="2"/>
  <c r="V499" i="2"/>
  <c r="P499" i="2"/>
  <c r="N499" i="2"/>
  <c r="L499" i="2"/>
  <c r="X499" i="2" s="1"/>
  <c r="J499" i="2"/>
  <c r="X498" i="2"/>
  <c r="W498" i="2"/>
  <c r="P498" i="2"/>
  <c r="N498" i="2"/>
  <c r="L498" i="2"/>
  <c r="Y498" i="2" s="1"/>
  <c r="Z498" i="2" s="1"/>
  <c r="J498" i="2"/>
  <c r="V498" i="2" s="1"/>
  <c r="W497" i="2"/>
  <c r="P497" i="2"/>
  <c r="N497" i="2"/>
  <c r="L497" i="2"/>
  <c r="J497" i="2"/>
  <c r="V497" i="2" s="1"/>
  <c r="W496" i="2"/>
  <c r="V496" i="2"/>
  <c r="P496" i="2"/>
  <c r="N496" i="2"/>
  <c r="L496" i="2"/>
  <c r="X496" i="2" s="1"/>
  <c r="J496" i="2"/>
  <c r="X495" i="2"/>
  <c r="W495" i="2"/>
  <c r="P495" i="2"/>
  <c r="Y495" i="2" s="1"/>
  <c r="Z495" i="2" s="1"/>
  <c r="N495" i="2"/>
  <c r="L495" i="2"/>
  <c r="J495" i="2"/>
  <c r="V495" i="2" s="1"/>
  <c r="W494" i="2"/>
  <c r="P494" i="2"/>
  <c r="N494" i="2"/>
  <c r="L494" i="2"/>
  <c r="J494" i="2"/>
  <c r="V494" i="2" s="1"/>
  <c r="W493" i="2"/>
  <c r="P493" i="2"/>
  <c r="N493" i="2"/>
  <c r="L493" i="2"/>
  <c r="X493" i="2" s="1"/>
  <c r="J493" i="2"/>
  <c r="V493" i="2" s="1"/>
  <c r="W492" i="2"/>
  <c r="P492" i="2"/>
  <c r="Y492" i="2" s="1"/>
  <c r="Z492" i="2" s="1"/>
  <c r="N492" i="2"/>
  <c r="L492" i="2"/>
  <c r="X492" i="2" s="1"/>
  <c r="J492" i="2"/>
  <c r="V492" i="2" s="1"/>
  <c r="X491" i="2"/>
  <c r="W491" i="2"/>
  <c r="P491" i="2"/>
  <c r="Y491" i="2" s="1"/>
  <c r="Z491" i="2" s="1"/>
  <c r="N491" i="2"/>
  <c r="L491" i="2"/>
  <c r="J491" i="2"/>
  <c r="V491" i="2" s="1"/>
  <c r="Y490" i="2"/>
  <c r="Z490" i="2" s="1"/>
  <c r="X490" i="2"/>
  <c r="W490" i="2"/>
  <c r="P490" i="2"/>
  <c r="N490" i="2"/>
  <c r="L490" i="2"/>
  <c r="J490" i="2"/>
  <c r="V490" i="2" s="1"/>
  <c r="Y489" i="2"/>
  <c r="Z489" i="2" s="1"/>
  <c r="W489" i="2"/>
  <c r="P489" i="2"/>
  <c r="N489" i="2"/>
  <c r="L489" i="2"/>
  <c r="X489" i="2" s="1"/>
  <c r="J489" i="2"/>
  <c r="V489" i="2" s="1"/>
  <c r="W488" i="2"/>
  <c r="V488" i="2"/>
  <c r="P488" i="2"/>
  <c r="N488" i="2"/>
  <c r="L488" i="2"/>
  <c r="X488" i="2" s="1"/>
  <c r="J488" i="2"/>
  <c r="X487" i="2"/>
  <c r="W487" i="2"/>
  <c r="P487" i="2"/>
  <c r="Y487" i="2" s="1"/>
  <c r="Z487" i="2" s="1"/>
  <c r="N487" i="2"/>
  <c r="L487" i="2"/>
  <c r="J487" i="2"/>
  <c r="V487" i="2" s="1"/>
  <c r="W486" i="2"/>
  <c r="P486" i="2"/>
  <c r="N486" i="2"/>
  <c r="L486" i="2"/>
  <c r="X486" i="2" s="1"/>
  <c r="J486" i="2"/>
  <c r="V486" i="2" s="1"/>
  <c r="W485" i="2"/>
  <c r="P485" i="2"/>
  <c r="N485" i="2"/>
  <c r="L485" i="2"/>
  <c r="X485" i="2" s="1"/>
  <c r="J485" i="2"/>
  <c r="V485" i="2" s="1"/>
  <c r="W484" i="2"/>
  <c r="P484" i="2"/>
  <c r="N484" i="2"/>
  <c r="L484" i="2"/>
  <c r="X484" i="2" s="1"/>
  <c r="J484" i="2"/>
  <c r="V484" i="2" s="1"/>
  <c r="W483" i="2"/>
  <c r="P483" i="2"/>
  <c r="N483" i="2"/>
  <c r="L483" i="2"/>
  <c r="X483" i="2" s="1"/>
  <c r="J483" i="2"/>
  <c r="V483" i="2" s="1"/>
  <c r="W482" i="2"/>
  <c r="V482" i="2"/>
  <c r="P482" i="2"/>
  <c r="Y482" i="2" s="1"/>
  <c r="Z482" i="2" s="1"/>
  <c r="N482" i="2"/>
  <c r="L482" i="2"/>
  <c r="X482" i="2" s="1"/>
  <c r="J482" i="2"/>
  <c r="W481" i="2"/>
  <c r="P481" i="2"/>
  <c r="N481" i="2"/>
  <c r="L481" i="2"/>
  <c r="J481" i="2"/>
  <c r="V481" i="2" s="1"/>
  <c r="W480" i="2"/>
  <c r="P480" i="2"/>
  <c r="N480" i="2"/>
  <c r="L480" i="2"/>
  <c r="X480" i="2" s="1"/>
  <c r="J480" i="2"/>
  <c r="V480" i="2" s="1"/>
  <c r="W479" i="2"/>
  <c r="P479" i="2"/>
  <c r="N479" i="2"/>
  <c r="L479" i="2"/>
  <c r="J479" i="2"/>
  <c r="V479" i="2" s="1"/>
  <c r="W478" i="2"/>
  <c r="P478" i="2"/>
  <c r="N478" i="2"/>
  <c r="L478" i="2"/>
  <c r="J478" i="2"/>
  <c r="V478" i="2" s="1"/>
  <c r="W477" i="2"/>
  <c r="P477" i="2"/>
  <c r="N477" i="2"/>
  <c r="L477" i="2"/>
  <c r="X477" i="2" s="1"/>
  <c r="J477" i="2"/>
  <c r="V477" i="2" s="1"/>
  <c r="W476" i="2"/>
  <c r="V476" i="2"/>
  <c r="P476" i="2"/>
  <c r="Y476" i="2" s="1"/>
  <c r="Z476" i="2" s="1"/>
  <c r="N476" i="2"/>
  <c r="L476" i="2"/>
  <c r="X476" i="2" s="1"/>
  <c r="J476" i="2"/>
  <c r="X475" i="2"/>
  <c r="W475" i="2"/>
  <c r="V475" i="2"/>
  <c r="P475" i="2"/>
  <c r="Y475" i="2" s="1"/>
  <c r="Z475" i="2" s="1"/>
  <c r="N475" i="2"/>
  <c r="L475" i="2"/>
  <c r="J475" i="2"/>
  <c r="W474" i="2"/>
  <c r="P474" i="2"/>
  <c r="Y474" i="2" s="1"/>
  <c r="Z474" i="2" s="1"/>
  <c r="N474" i="2"/>
  <c r="L474" i="2"/>
  <c r="X474" i="2" s="1"/>
  <c r="J474" i="2"/>
  <c r="V474" i="2" s="1"/>
  <c r="W473" i="2"/>
  <c r="P473" i="2"/>
  <c r="N473" i="2"/>
  <c r="L473" i="2"/>
  <c r="J473" i="2"/>
  <c r="V473" i="2" s="1"/>
  <c r="W472" i="2"/>
  <c r="P472" i="2"/>
  <c r="N472" i="2"/>
  <c r="L472" i="2"/>
  <c r="X472" i="2" s="1"/>
  <c r="J472" i="2"/>
  <c r="V472" i="2" s="1"/>
  <c r="W471" i="2"/>
  <c r="V471" i="2"/>
  <c r="P471" i="2"/>
  <c r="Y471" i="2" s="1"/>
  <c r="Z471" i="2" s="1"/>
  <c r="N471" i="2"/>
  <c r="L471" i="2"/>
  <c r="X471" i="2" s="1"/>
  <c r="J471" i="2"/>
  <c r="W470" i="2"/>
  <c r="P470" i="2"/>
  <c r="N470" i="2"/>
  <c r="L470" i="2"/>
  <c r="Y470" i="2" s="1"/>
  <c r="Z470" i="2" s="1"/>
  <c r="J470" i="2"/>
  <c r="V470" i="2" s="1"/>
  <c r="W469" i="2"/>
  <c r="P469" i="2"/>
  <c r="N469" i="2"/>
  <c r="L469" i="2"/>
  <c r="X469" i="2" s="1"/>
  <c r="J469" i="2"/>
  <c r="V469" i="2" s="1"/>
  <c r="W468" i="2"/>
  <c r="P468" i="2"/>
  <c r="Y468" i="2" s="1"/>
  <c r="Z468" i="2" s="1"/>
  <c r="N468" i="2"/>
  <c r="L468" i="2"/>
  <c r="X468" i="2" s="1"/>
  <c r="J468" i="2"/>
  <c r="V468" i="2" s="1"/>
  <c r="X467" i="2"/>
  <c r="W467" i="2"/>
  <c r="P467" i="2"/>
  <c r="Y467" i="2" s="1"/>
  <c r="Z467" i="2" s="1"/>
  <c r="N467" i="2"/>
  <c r="L467" i="2"/>
  <c r="J467" i="2"/>
  <c r="V467" i="2" s="1"/>
  <c r="Y466" i="2"/>
  <c r="Z466" i="2" s="1"/>
  <c r="X466" i="2"/>
  <c r="W466" i="2"/>
  <c r="P466" i="2"/>
  <c r="N466" i="2"/>
  <c r="L466" i="2"/>
  <c r="J466" i="2"/>
  <c r="V466" i="2" s="1"/>
  <c r="W465" i="2"/>
  <c r="P465" i="2"/>
  <c r="Y465" i="2" s="1"/>
  <c r="Z465" i="2" s="1"/>
  <c r="N465" i="2"/>
  <c r="L465" i="2"/>
  <c r="X465" i="2" s="1"/>
  <c r="J465" i="2"/>
  <c r="V465" i="2" s="1"/>
  <c r="W464" i="2"/>
  <c r="P464" i="2"/>
  <c r="N464" i="2"/>
  <c r="L464" i="2"/>
  <c r="X464" i="2" s="1"/>
  <c r="J464" i="2"/>
  <c r="V464" i="2" s="1"/>
  <c r="W463" i="2"/>
  <c r="P463" i="2"/>
  <c r="N463" i="2"/>
  <c r="L463" i="2"/>
  <c r="X463" i="2" s="1"/>
  <c r="J463" i="2"/>
  <c r="V463" i="2" s="1"/>
  <c r="Y462" i="2"/>
  <c r="Z462" i="2" s="1"/>
  <c r="W462" i="2"/>
  <c r="P462" i="2"/>
  <c r="N462" i="2"/>
  <c r="L462" i="2"/>
  <c r="X462" i="2" s="1"/>
  <c r="J462" i="2"/>
  <c r="V462" i="2" s="1"/>
  <c r="X461" i="2"/>
  <c r="W461" i="2"/>
  <c r="P461" i="2"/>
  <c r="Y461" i="2" s="1"/>
  <c r="Z461" i="2" s="1"/>
  <c r="N461" i="2"/>
  <c r="L461" i="2"/>
  <c r="J461" i="2"/>
  <c r="V461" i="2" s="1"/>
  <c r="Y460" i="2"/>
  <c r="Z460" i="2" s="1"/>
  <c r="W460" i="2"/>
  <c r="P460" i="2"/>
  <c r="N460" i="2"/>
  <c r="L460" i="2"/>
  <c r="X460" i="2" s="1"/>
  <c r="J460" i="2"/>
  <c r="V460" i="2" s="1"/>
  <c r="X459" i="2"/>
  <c r="W459" i="2"/>
  <c r="P459" i="2"/>
  <c r="Y459" i="2" s="1"/>
  <c r="Z459" i="2" s="1"/>
  <c r="N459" i="2"/>
  <c r="L459" i="2"/>
  <c r="J459" i="2"/>
  <c r="V459" i="2" s="1"/>
  <c r="Y458" i="2"/>
  <c r="Z458" i="2" s="1"/>
  <c r="X458" i="2"/>
  <c r="W458" i="2"/>
  <c r="P458" i="2"/>
  <c r="N458" i="2"/>
  <c r="L458" i="2"/>
  <c r="J458" i="2"/>
  <c r="V458" i="2" s="1"/>
  <c r="W457" i="2"/>
  <c r="P457" i="2"/>
  <c r="N457" i="2"/>
  <c r="L457" i="2"/>
  <c r="X457" i="2" s="1"/>
  <c r="J457" i="2"/>
  <c r="V457" i="2" s="1"/>
  <c r="Y456" i="2"/>
  <c r="Z456" i="2" s="1"/>
  <c r="W456" i="2"/>
  <c r="P456" i="2"/>
  <c r="N456" i="2"/>
  <c r="L456" i="2"/>
  <c r="X456" i="2" s="1"/>
  <c r="J456" i="2"/>
  <c r="V456" i="2" s="1"/>
  <c r="X455" i="2"/>
  <c r="W455" i="2"/>
  <c r="V455" i="2"/>
  <c r="P455" i="2"/>
  <c r="N455" i="2"/>
  <c r="L455" i="2"/>
  <c r="Y455" i="2" s="1"/>
  <c r="Z455" i="2" s="1"/>
  <c r="J455" i="2"/>
  <c r="X454" i="2"/>
  <c r="W454" i="2"/>
  <c r="V454" i="2"/>
  <c r="P454" i="2"/>
  <c r="N454" i="2"/>
  <c r="L454" i="2"/>
  <c r="Y454" i="2" s="1"/>
  <c r="Z454" i="2" s="1"/>
  <c r="J454" i="2"/>
  <c r="X453" i="2"/>
  <c r="W453" i="2"/>
  <c r="P453" i="2"/>
  <c r="N453" i="2"/>
  <c r="L453" i="2"/>
  <c r="J453" i="2"/>
  <c r="V453" i="2" s="1"/>
  <c r="W452" i="2"/>
  <c r="V452" i="2"/>
  <c r="P452" i="2"/>
  <c r="Y452" i="2" s="1"/>
  <c r="Z452" i="2" s="1"/>
  <c r="N452" i="2"/>
  <c r="L452" i="2"/>
  <c r="X452" i="2" s="1"/>
  <c r="J452" i="2"/>
  <c r="X451" i="2"/>
  <c r="W451" i="2"/>
  <c r="P451" i="2"/>
  <c r="Y451" i="2" s="1"/>
  <c r="Z451" i="2" s="1"/>
  <c r="N451" i="2"/>
  <c r="L451" i="2"/>
  <c r="J451" i="2"/>
  <c r="V451" i="2" s="1"/>
  <c r="W450" i="2"/>
  <c r="P450" i="2"/>
  <c r="N450" i="2"/>
  <c r="L450" i="2"/>
  <c r="J450" i="2"/>
  <c r="V450" i="2" s="1"/>
  <c r="W449" i="2"/>
  <c r="P449" i="2"/>
  <c r="N449" i="2"/>
  <c r="L449" i="2"/>
  <c r="X449" i="2" s="1"/>
  <c r="J449" i="2"/>
  <c r="V449" i="2" s="1"/>
  <c r="W448" i="2"/>
  <c r="P448" i="2"/>
  <c r="N448" i="2"/>
  <c r="L448" i="2"/>
  <c r="X448" i="2" s="1"/>
  <c r="J448" i="2"/>
  <c r="V448" i="2" s="1"/>
  <c r="X447" i="2"/>
  <c r="W447" i="2"/>
  <c r="P447" i="2"/>
  <c r="Y447" i="2" s="1"/>
  <c r="Z447" i="2" s="1"/>
  <c r="N447" i="2"/>
  <c r="L447" i="2"/>
  <c r="J447" i="2"/>
  <c r="V447" i="2" s="1"/>
  <c r="X446" i="2"/>
  <c r="W446" i="2"/>
  <c r="P446" i="2"/>
  <c r="N446" i="2"/>
  <c r="L446" i="2"/>
  <c r="J446" i="2"/>
  <c r="V446" i="2" s="1"/>
  <c r="Z445" i="2"/>
  <c r="Y445" i="2"/>
  <c r="W445" i="2"/>
  <c r="P445" i="2"/>
  <c r="N445" i="2"/>
  <c r="L445" i="2"/>
  <c r="X445" i="2" s="1"/>
  <c r="J445" i="2"/>
  <c r="V445" i="2" s="1"/>
  <c r="W444" i="2"/>
  <c r="P444" i="2"/>
  <c r="N444" i="2"/>
  <c r="L444" i="2"/>
  <c r="X444" i="2" s="1"/>
  <c r="J444" i="2"/>
  <c r="V444" i="2" s="1"/>
  <c r="X443" i="2"/>
  <c r="W443" i="2"/>
  <c r="P443" i="2"/>
  <c r="N443" i="2"/>
  <c r="L443" i="2"/>
  <c r="Y443" i="2" s="1"/>
  <c r="Z443" i="2" s="1"/>
  <c r="J443" i="2"/>
  <c r="V443" i="2" s="1"/>
  <c r="W442" i="2"/>
  <c r="P442" i="2"/>
  <c r="N442" i="2"/>
  <c r="L442" i="2"/>
  <c r="J442" i="2"/>
  <c r="V442" i="2" s="1"/>
  <c r="X441" i="2"/>
  <c r="W441" i="2"/>
  <c r="P441" i="2"/>
  <c r="N441" i="2"/>
  <c r="L441" i="2"/>
  <c r="J441" i="2"/>
  <c r="V441" i="2" s="1"/>
  <c r="W440" i="2"/>
  <c r="V440" i="2"/>
  <c r="P440" i="2"/>
  <c r="Y440" i="2" s="1"/>
  <c r="Z440" i="2" s="1"/>
  <c r="N440" i="2"/>
  <c r="L440" i="2"/>
  <c r="X440" i="2" s="1"/>
  <c r="J440" i="2"/>
  <c r="X439" i="2"/>
  <c r="W439" i="2"/>
  <c r="P439" i="2"/>
  <c r="Y439" i="2" s="1"/>
  <c r="Z439" i="2" s="1"/>
  <c r="N439" i="2"/>
  <c r="L439" i="2"/>
  <c r="J439" i="2"/>
  <c r="V439" i="2" s="1"/>
  <c r="X438" i="2"/>
  <c r="W438" i="2"/>
  <c r="V438" i="2"/>
  <c r="P438" i="2"/>
  <c r="Y438" i="2" s="1"/>
  <c r="Z438" i="2" s="1"/>
  <c r="N438" i="2"/>
  <c r="L438" i="2"/>
  <c r="J438" i="2"/>
  <c r="X437" i="2"/>
  <c r="W437" i="2"/>
  <c r="P437" i="2"/>
  <c r="Y437" i="2" s="1"/>
  <c r="Z437" i="2" s="1"/>
  <c r="N437" i="2"/>
  <c r="L437" i="2"/>
  <c r="J437" i="2"/>
  <c r="V437" i="2" s="1"/>
  <c r="W436" i="2"/>
  <c r="P436" i="2"/>
  <c r="Y436" i="2" s="1"/>
  <c r="Z436" i="2" s="1"/>
  <c r="N436" i="2"/>
  <c r="L436" i="2"/>
  <c r="X436" i="2" s="1"/>
  <c r="J436" i="2"/>
  <c r="V436" i="2" s="1"/>
  <c r="X435" i="2"/>
  <c r="W435" i="2"/>
  <c r="P435" i="2"/>
  <c r="Y435" i="2" s="1"/>
  <c r="Z435" i="2" s="1"/>
  <c r="N435" i="2"/>
  <c r="L435" i="2"/>
  <c r="J435" i="2"/>
  <c r="V435" i="2" s="1"/>
  <c r="W434" i="2"/>
  <c r="P434" i="2"/>
  <c r="Y434" i="2" s="1"/>
  <c r="Z434" i="2" s="1"/>
  <c r="N434" i="2"/>
  <c r="L434" i="2"/>
  <c r="X434" i="2" s="1"/>
  <c r="J434" i="2"/>
  <c r="V434" i="2" s="1"/>
  <c r="W433" i="2"/>
  <c r="P433" i="2"/>
  <c r="Y433" i="2" s="1"/>
  <c r="Z433" i="2" s="1"/>
  <c r="N433" i="2"/>
  <c r="L433" i="2"/>
  <c r="X433" i="2" s="1"/>
  <c r="J433" i="2"/>
  <c r="V433" i="2" s="1"/>
  <c r="W432" i="2"/>
  <c r="P432" i="2"/>
  <c r="N432" i="2"/>
  <c r="L432" i="2"/>
  <c r="X432" i="2" s="1"/>
  <c r="J432" i="2"/>
  <c r="V432" i="2" s="1"/>
  <c r="W431" i="2"/>
  <c r="P431" i="2"/>
  <c r="N431" i="2"/>
  <c r="L431" i="2"/>
  <c r="X431" i="2" s="1"/>
  <c r="J431" i="2"/>
  <c r="V431" i="2" s="1"/>
  <c r="W430" i="2"/>
  <c r="P430" i="2"/>
  <c r="N430" i="2"/>
  <c r="L430" i="2"/>
  <c r="J430" i="2"/>
  <c r="V430" i="2" s="1"/>
  <c r="W429" i="2"/>
  <c r="P429" i="2"/>
  <c r="N429" i="2"/>
  <c r="L429" i="2"/>
  <c r="X429" i="2" s="1"/>
  <c r="J429" i="2"/>
  <c r="V429" i="2" s="1"/>
  <c r="W428" i="2"/>
  <c r="P428" i="2"/>
  <c r="Y428" i="2" s="1"/>
  <c r="Z428" i="2" s="1"/>
  <c r="N428" i="2"/>
  <c r="L428" i="2"/>
  <c r="X428" i="2" s="1"/>
  <c r="J428" i="2"/>
  <c r="V428" i="2" s="1"/>
  <c r="W427" i="2"/>
  <c r="P427" i="2"/>
  <c r="N427" i="2"/>
  <c r="L427" i="2"/>
  <c r="X427" i="2" s="1"/>
  <c r="J427" i="2"/>
  <c r="V427" i="2" s="1"/>
  <c r="W426" i="2"/>
  <c r="P426" i="2"/>
  <c r="Y426" i="2" s="1"/>
  <c r="Z426" i="2" s="1"/>
  <c r="N426" i="2"/>
  <c r="L426" i="2"/>
  <c r="X426" i="2" s="1"/>
  <c r="J426" i="2"/>
  <c r="V426" i="2" s="1"/>
  <c r="W425" i="2"/>
  <c r="P425" i="2"/>
  <c r="Y425" i="2" s="1"/>
  <c r="Z425" i="2" s="1"/>
  <c r="N425" i="2"/>
  <c r="L425" i="2"/>
  <c r="X425" i="2" s="1"/>
  <c r="J425" i="2"/>
  <c r="V425" i="2" s="1"/>
  <c r="W424" i="2"/>
  <c r="P424" i="2"/>
  <c r="N424" i="2"/>
  <c r="L424" i="2"/>
  <c r="X424" i="2" s="1"/>
  <c r="J424" i="2"/>
  <c r="V424" i="2" s="1"/>
  <c r="X423" i="2"/>
  <c r="W423" i="2"/>
  <c r="P423" i="2"/>
  <c r="N423" i="2"/>
  <c r="L423" i="2"/>
  <c r="J423" i="2"/>
  <c r="V423" i="2" s="1"/>
  <c r="W422" i="2"/>
  <c r="V422" i="2"/>
  <c r="P422" i="2"/>
  <c r="N422" i="2"/>
  <c r="L422" i="2"/>
  <c r="J422" i="2"/>
  <c r="X421" i="2"/>
  <c r="W421" i="2"/>
  <c r="P421" i="2"/>
  <c r="N421" i="2"/>
  <c r="L421" i="2"/>
  <c r="Y421" i="2" s="1"/>
  <c r="Z421" i="2" s="1"/>
  <c r="J421" i="2"/>
  <c r="V421" i="2" s="1"/>
  <c r="W420" i="2"/>
  <c r="V420" i="2"/>
  <c r="P420" i="2"/>
  <c r="Y420" i="2" s="1"/>
  <c r="Z420" i="2" s="1"/>
  <c r="N420" i="2"/>
  <c r="L420" i="2"/>
  <c r="X420" i="2" s="1"/>
  <c r="J420" i="2"/>
  <c r="W419" i="2"/>
  <c r="P419" i="2"/>
  <c r="Y419" i="2" s="1"/>
  <c r="Z419" i="2" s="1"/>
  <c r="N419" i="2"/>
  <c r="L419" i="2"/>
  <c r="X419" i="2" s="1"/>
  <c r="J419" i="2"/>
  <c r="V419" i="2" s="1"/>
  <c r="W418" i="2"/>
  <c r="P418" i="2"/>
  <c r="Y418" i="2" s="1"/>
  <c r="Z418" i="2" s="1"/>
  <c r="N418" i="2"/>
  <c r="L418" i="2"/>
  <c r="X418" i="2" s="1"/>
  <c r="J418" i="2"/>
  <c r="V418" i="2" s="1"/>
  <c r="W417" i="2"/>
  <c r="P417" i="2"/>
  <c r="N417" i="2"/>
  <c r="L417" i="2"/>
  <c r="X417" i="2" s="1"/>
  <c r="J417" i="2"/>
  <c r="V417" i="2" s="1"/>
  <c r="W416" i="2"/>
  <c r="P416" i="2"/>
  <c r="N416" i="2"/>
  <c r="L416" i="2"/>
  <c r="X416" i="2" s="1"/>
  <c r="J416" i="2"/>
  <c r="V416" i="2" s="1"/>
  <c r="X415" i="2"/>
  <c r="W415" i="2"/>
  <c r="P415" i="2"/>
  <c r="N415" i="2"/>
  <c r="L415" i="2"/>
  <c r="J415" i="2"/>
  <c r="V415" i="2" s="1"/>
  <c r="W414" i="2"/>
  <c r="P414" i="2"/>
  <c r="N414" i="2"/>
  <c r="L414" i="2"/>
  <c r="J414" i="2"/>
  <c r="V414" i="2" s="1"/>
  <c r="W413" i="2"/>
  <c r="P413" i="2"/>
  <c r="N413" i="2"/>
  <c r="L413" i="2"/>
  <c r="J413" i="2"/>
  <c r="V413" i="2" s="1"/>
  <c r="W412" i="2"/>
  <c r="P412" i="2"/>
  <c r="N412" i="2"/>
  <c r="L412" i="2"/>
  <c r="X412" i="2" s="1"/>
  <c r="J412" i="2"/>
  <c r="V412" i="2" s="1"/>
  <c r="W411" i="2"/>
  <c r="P411" i="2"/>
  <c r="N411" i="2"/>
  <c r="L411" i="2"/>
  <c r="J411" i="2"/>
  <c r="V411" i="2" s="1"/>
  <c r="W410" i="2"/>
  <c r="P410" i="2"/>
  <c r="N410" i="2"/>
  <c r="L410" i="2"/>
  <c r="X410" i="2" s="1"/>
  <c r="J410" i="2"/>
  <c r="V410" i="2" s="1"/>
  <c r="W409" i="2"/>
  <c r="P409" i="2"/>
  <c r="Y409" i="2" s="1"/>
  <c r="Z409" i="2" s="1"/>
  <c r="N409" i="2"/>
  <c r="L409" i="2"/>
  <c r="X409" i="2" s="1"/>
  <c r="J409" i="2"/>
  <c r="V409" i="2" s="1"/>
  <c r="W408" i="2"/>
  <c r="P408" i="2"/>
  <c r="N408" i="2"/>
  <c r="L408" i="2"/>
  <c r="X408" i="2" s="1"/>
  <c r="J408" i="2"/>
  <c r="V408" i="2" s="1"/>
  <c r="X407" i="2"/>
  <c r="W407" i="2"/>
  <c r="V407" i="2"/>
  <c r="P407" i="2"/>
  <c r="N407" i="2"/>
  <c r="L407" i="2"/>
  <c r="J407" i="2"/>
  <c r="W406" i="2"/>
  <c r="V406" i="2"/>
  <c r="P406" i="2"/>
  <c r="N406" i="2"/>
  <c r="L406" i="2"/>
  <c r="J406" i="2"/>
  <c r="Y405" i="2"/>
  <c r="Z405" i="2" s="1"/>
  <c r="X405" i="2"/>
  <c r="W405" i="2"/>
  <c r="P405" i="2"/>
  <c r="N405" i="2"/>
  <c r="L405" i="2"/>
  <c r="J405" i="2"/>
  <c r="V405" i="2" s="1"/>
  <c r="W404" i="2"/>
  <c r="V404" i="2"/>
  <c r="P404" i="2"/>
  <c r="N404" i="2"/>
  <c r="L404" i="2"/>
  <c r="X404" i="2" s="1"/>
  <c r="J404" i="2"/>
  <c r="Y403" i="2"/>
  <c r="Z403" i="2" s="1"/>
  <c r="X403" i="2"/>
  <c r="W403" i="2"/>
  <c r="P403" i="2"/>
  <c r="N403" i="2"/>
  <c r="L403" i="2"/>
  <c r="J403" i="2"/>
  <c r="V403" i="2" s="1"/>
  <c r="W402" i="2"/>
  <c r="P402" i="2"/>
  <c r="Y402" i="2" s="1"/>
  <c r="Z402" i="2" s="1"/>
  <c r="N402" i="2"/>
  <c r="L402" i="2"/>
  <c r="X402" i="2" s="1"/>
  <c r="J402" i="2"/>
  <c r="V402" i="2" s="1"/>
  <c r="W401" i="2"/>
  <c r="P401" i="2"/>
  <c r="N401" i="2"/>
  <c r="L401" i="2"/>
  <c r="X401" i="2" s="1"/>
  <c r="J401" i="2"/>
  <c r="V401" i="2" s="1"/>
  <c r="W400" i="2"/>
  <c r="P400" i="2"/>
  <c r="N400" i="2"/>
  <c r="L400" i="2"/>
  <c r="X400" i="2" s="1"/>
  <c r="J400" i="2"/>
  <c r="V400" i="2" s="1"/>
  <c r="X399" i="2"/>
  <c r="W399" i="2"/>
  <c r="P399" i="2"/>
  <c r="N399" i="2"/>
  <c r="L399" i="2"/>
  <c r="J399" i="2"/>
  <c r="V399" i="2" s="1"/>
  <c r="X398" i="2"/>
  <c r="W398" i="2"/>
  <c r="P398" i="2"/>
  <c r="N398" i="2"/>
  <c r="L398" i="2"/>
  <c r="Y398" i="2" s="1"/>
  <c r="Z398" i="2" s="1"/>
  <c r="J398" i="2"/>
  <c r="V398" i="2" s="1"/>
  <c r="Y397" i="2"/>
  <c r="Z397" i="2" s="1"/>
  <c r="W397" i="2"/>
  <c r="P397" i="2"/>
  <c r="N397" i="2"/>
  <c r="L397" i="2"/>
  <c r="X397" i="2" s="1"/>
  <c r="J397" i="2"/>
  <c r="V397" i="2" s="1"/>
  <c r="W396" i="2"/>
  <c r="P396" i="2"/>
  <c r="N396" i="2"/>
  <c r="L396" i="2"/>
  <c r="X396" i="2" s="1"/>
  <c r="J396" i="2"/>
  <c r="V396" i="2" s="1"/>
  <c r="Y395" i="2"/>
  <c r="Z395" i="2" s="1"/>
  <c r="X395" i="2"/>
  <c r="W395" i="2"/>
  <c r="P395" i="2"/>
  <c r="N395" i="2"/>
  <c r="L395" i="2"/>
  <c r="J395" i="2"/>
  <c r="V395" i="2" s="1"/>
  <c r="Y394" i="2"/>
  <c r="Z394" i="2" s="1"/>
  <c r="W394" i="2"/>
  <c r="P394" i="2"/>
  <c r="N394" i="2"/>
  <c r="L394" i="2"/>
  <c r="X394" i="2" s="1"/>
  <c r="J394" i="2"/>
  <c r="V394" i="2" s="1"/>
  <c r="W393" i="2"/>
  <c r="P393" i="2"/>
  <c r="N393" i="2"/>
  <c r="L393" i="2"/>
  <c r="X393" i="2" s="1"/>
  <c r="J393" i="2"/>
  <c r="V393" i="2" s="1"/>
  <c r="W392" i="2"/>
  <c r="V392" i="2"/>
  <c r="P392" i="2"/>
  <c r="N392" i="2"/>
  <c r="L392" i="2"/>
  <c r="X392" i="2" s="1"/>
  <c r="J392" i="2"/>
  <c r="W391" i="2"/>
  <c r="V391" i="2"/>
  <c r="P391" i="2"/>
  <c r="N391" i="2"/>
  <c r="L391" i="2"/>
  <c r="X391" i="2" s="1"/>
  <c r="J391" i="2"/>
  <c r="W390" i="2"/>
  <c r="V390" i="2"/>
  <c r="P390" i="2"/>
  <c r="N390" i="2"/>
  <c r="L390" i="2"/>
  <c r="X390" i="2" s="1"/>
  <c r="J390" i="2"/>
  <c r="W389" i="2"/>
  <c r="P389" i="2"/>
  <c r="Y389" i="2" s="1"/>
  <c r="Z389" i="2" s="1"/>
  <c r="N389" i="2"/>
  <c r="L389" i="2"/>
  <c r="X389" i="2" s="1"/>
  <c r="J389" i="2"/>
  <c r="V389" i="2" s="1"/>
  <c r="W388" i="2"/>
  <c r="P388" i="2"/>
  <c r="Y388" i="2" s="1"/>
  <c r="Z388" i="2" s="1"/>
  <c r="N388" i="2"/>
  <c r="L388" i="2"/>
  <c r="X388" i="2" s="1"/>
  <c r="J388" i="2"/>
  <c r="V388" i="2" s="1"/>
  <c r="W387" i="2"/>
  <c r="P387" i="2"/>
  <c r="N387" i="2"/>
  <c r="L387" i="2"/>
  <c r="X387" i="2" s="1"/>
  <c r="J387" i="2"/>
  <c r="V387" i="2" s="1"/>
  <c r="X386" i="2"/>
  <c r="W386" i="2"/>
  <c r="P386" i="2"/>
  <c r="Y386" i="2" s="1"/>
  <c r="Z386" i="2" s="1"/>
  <c r="N386" i="2"/>
  <c r="L386" i="2"/>
  <c r="J386" i="2"/>
  <c r="V386" i="2" s="1"/>
  <c r="W385" i="2"/>
  <c r="P385" i="2"/>
  <c r="N385" i="2"/>
  <c r="L385" i="2"/>
  <c r="X385" i="2" s="1"/>
  <c r="J385" i="2"/>
  <c r="V385" i="2" s="1"/>
  <c r="W384" i="2"/>
  <c r="P384" i="2"/>
  <c r="N384" i="2"/>
  <c r="L384" i="2"/>
  <c r="J384" i="2"/>
  <c r="V384" i="2" s="1"/>
  <c r="W383" i="2"/>
  <c r="V383" i="2"/>
  <c r="P383" i="2"/>
  <c r="N383" i="2"/>
  <c r="L383" i="2"/>
  <c r="X383" i="2" s="1"/>
  <c r="J383" i="2"/>
  <c r="X382" i="2"/>
  <c r="W382" i="2"/>
  <c r="P382" i="2"/>
  <c r="N382" i="2"/>
  <c r="L382" i="2"/>
  <c r="J382" i="2"/>
  <c r="V382" i="2" s="1"/>
  <c r="X381" i="2"/>
  <c r="W381" i="2"/>
  <c r="P381" i="2"/>
  <c r="Y381" i="2" s="1"/>
  <c r="Z381" i="2" s="1"/>
  <c r="N381" i="2"/>
  <c r="L381" i="2"/>
  <c r="J381" i="2"/>
  <c r="V381" i="2" s="1"/>
  <c r="W380" i="2"/>
  <c r="V380" i="2"/>
  <c r="P380" i="2"/>
  <c r="N380" i="2"/>
  <c r="L380" i="2"/>
  <c r="X380" i="2" s="1"/>
  <c r="J380" i="2"/>
  <c r="X379" i="2"/>
  <c r="W379" i="2"/>
  <c r="P379" i="2"/>
  <c r="Y379" i="2" s="1"/>
  <c r="Z379" i="2" s="1"/>
  <c r="N379" i="2"/>
  <c r="L379" i="2"/>
  <c r="J379" i="2"/>
  <c r="V379" i="2" s="1"/>
  <c r="X378" i="2"/>
  <c r="W378" i="2"/>
  <c r="P378" i="2"/>
  <c r="Y378" i="2" s="1"/>
  <c r="Z378" i="2" s="1"/>
  <c r="N378" i="2"/>
  <c r="L378" i="2"/>
  <c r="J378" i="2"/>
  <c r="V378" i="2" s="1"/>
  <c r="W377" i="2"/>
  <c r="P377" i="2"/>
  <c r="Y377" i="2" s="1"/>
  <c r="Z377" i="2" s="1"/>
  <c r="N377" i="2"/>
  <c r="L377" i="2"/>
  <c r="X377" i="2" s="1"/>
  <c r="J377" i="2"/>
  <c r="V377" i="2" s="1"/>
  <c r="W376" i="2"/>
  <c r="P376" i="2"/>
  <c r="Y376" i="2" s="1"/>
  <c r="Z376" i="2" s="1"/>
  <c r="N376" i="2"/>
  <c r="L376" i="2"/>
  <c r="X376" i="2" s="1"/>
  <c r="J376" i="2"/>
  <c r="V376" i="2" s="1"/>
  <c r="W375" i="2"/>
  <c r="V375" i="2"/>
  <c r="P375" i="2"/>
  <c r="Y375" i="2" s="1"/>
  <c r="Z375" i="2" s="1"/>
  <c r="N375" i="2"/>
  <c r="L375" i="2"/>
  <c r="X375" i="2" s="1"/>
  <c r="J375" i="2"/>
  <c r="W374" i="2"/>
  <c r="P374" i="2"/>
  <c r="N374" i="2"/>
  <c r="L374" i="2"/>
  <c r="J374" i="2"/>
  <c r="V374" i="2" s="1"/>
  <c r="W373" i="2"/>
  <c r="P373" i="2"/>
  <c r="Y373" i="2" s="1"/>
  <c r="Z373" i="2" s="1"/>
  <c r="N373" i="2"/>
  <c r="L373" i="2"/>
  <c r="X373" i="2" s="1"/>
  <c r="J373" i="2"/>
  <c r="V373" i="2" s="1"/>
  <c r="W372" i="2"/>
  <c r="V372" i="2"/>
  <c r="P372" i="2"/>
  <c r="N372" i="2"/>
  <c r="L372" i="2"/>
  <c r="X372" i="2" s="1"/>
  <c r="J372" i="2"/>
  <c r="W371" i="2"/>
  <c r="P371" i="2"/>
  <c r="Y371" i="2" s="1"/>
  <c r="Z371" i="2" s="1"/>
  <c r="N371" i="2"/>
  <c r="L371" i="2"/>
  <c r="X371" i="2" s="1"/>
  <c r="J371" i="2"/>
  <c r="V371" i="2" s="1"/>
  <c r="W370" i="2"/>
  <c r="P370" i="2"/>
  <c r="N370" i="2"/>
  <c r="L370" i="2"/>
  <c r="X370" i="2" s="1"/>
  <c r="J370" i="2"/>
  <c r="V370" i="2" s="1"/>
  <c r="W369" i="2"/>
  <c r="P369" i="2"/>
  <c r="N369" i="2"/>
  <c r="L369" i="2"/>
  <c r="X369" i="2" s="1"/>
  <c r="J369" i="2"/>
  <c r="V369" i="2" s="1"/>
  <c r="W368" i="2"/>
  <c r="P368" i="2"/>
  <c r="N368" i="2"/>
  <c r="L368" i="2"/>
  <c r="X368" i="2" s="1"/>
  <c r="J368" i="2"/>
  <c r="V368" i="2" s="1"/>
  <c r="X367" i="2"/>
  <c r="W367" i="2"/>
  <c r="P367" i="2"/>
  <c r="N367" i="2"/>
  <c r="L367" i="2"/>
  <c r="J367" i="2"/>
  <c r="V367" i="2" s="1"/>
  <c r="X366" i="2"/>
  <c r="W366" i="2"/>
  <c r="P366" i="2"/>
  <c r="N366" i="2"/>
  <c r="L366" i="2"/>
  <c r="J366" i="2"/>
  <c r="V366" i="2" s="1"/>
  <c r="W365" i="2"/>
  <c r="P365" i="2"/>
  <c r="Y365" i="2" s="1"/>
  <c r="Z365" i="2" s="1"/>
  <c r="N365" i="2"/>
  <c r="L365" i="2"/>
  <c r="X365" i="2" s="1"/>
  <c r="J365" i="2"/>
  <c r="V365" i="2" s="1"/>
  <c r="W364" i="2"/>
  <c r="P364" i="2"/>
  <c r="N364" i="2"/>
  <c r="L364" i="2"/>
  <c r="X364" i="2" s="1"/>
  <c r="J364" i="2"/>
  <c r="V364" i="2" s="1"/>
  <c r="W363" i="2"/>
  <c r="P363" i="2"/>
  <c r="Y363" i="2" s="1"/>
  <c r="Z363" i="2" s="1"/>
  <c r="N363" i="2"/>
  <c r="L363" i="2"/>
  <c r="X363" i="2" s="1"/>
  <c r="J363" i="2"/>
  <c r="V363" i="2" s="1"/>
  <c r="Y362" i="2"/>
  <c r="Z362" i="2" s="1"/>
  <c r="W362" i="2"/>
  <c r="P362" i="2"/>
  <c r="N362" i="2"/>
  <c r="L362" i="2"/>
  <c r="X362" i="2" s="1"/>
  <c r="J362" i="2"/>
  <c r="V362" i="2" s="1"/>
  <c r="W361" i="2"/>
  <c r="P361" i="2"/>
  <c r="N361" i="2"/>
  <c r="L361" i="2"/>
  <c r="X361" i="2" s="1"/>
  <c r="J361" i="2"/>
  <c r="V361" i="2" s="1"/>
  <c r="Y360" i="2"/>
  <c r="Z360" i="2" s="1"/>
  <c r="W360" i="2"/>
  <c r="V360" i="2"/>
  <c r="P360" i="2"/>
  <c r="N360" i="2"/>
  <c r="L360" i="2"/>
  <c r="X360" i="2" s="1"/>
  <c r="J360" i="2"/>
  <c r="X359" i="2"/>
  <c r="W359" i="2"/>
  <c r="V359" i="2"/>
  <c r="P359" i="2"/>
  <c r="N359" i="2"/>
  <c r="L359" i="2"/>
  <c r="J359" i="2"/>
  <c r="Y358" i="2"/>
  <c r="Z358" i="2" s="1"/>
  <c r="X358" i="2"/>
  <c r="W358" i="2"/>
  <c r="P358" i="2"/>
  <c r="N358" i="2"/>
  <c r="L358" i="2"/>
  <c r="J358" i="2"/>
  <c r="V358" i="2" s="1"/>
  <c r="X357" i="2"/>
  <c r="W357" i="2"/>
  <c r="P357" i="2"/>
  <c r="N357" i="2"/>
  <c r="L357" i="2"/>
  <c r="J357" i="2"/>
  <c r="V357" i="2" s="1"/>
  <c r="W356" i="2"/>
  <c r="V356" i="2"/>
  <c r="P356" i="2"/>
  <c r="N356" i="2"/>
  <c r="L356" i="2"/>
  <c r="X356" i="2" s="1"/>
  <c r="J356" i="2"/>
  <c r="X355" i="2"/>
  <c r="W355" i="2"/>
  <c r="P355" i="2"/>
  <c r="Y355" i="2" s="1"/>
  <c r="Z355" i="2" s="1"/>
  <c r="N355" i="2"/>
  <c r="L355" i="2"/>
  <c r="J355" i="2"/>
  <c r="V355" i="2" s="1"/>
  <c r="X354" i="2"/>
  <c r="W354" i="2"/>
  <c r="V354" i="2"/>
  <c r="P354" i="2"/>
  <c r="Y354" i="2" s="1"/>
  <c r="Z354" i="2" s="1"/>
  <c r="N354" i="2"/>
  <c r="L354" i="2"/>
  <c r="J354" i="2"/>
  <c r="Y353" i="2"/>
  <c r="Z353" i="2" s="1"/>
  <c r="X353" i="2"/>
  <c r="W353" i="2"/>
  <c r="P353" i="2"/>
  <c r="N353" i="2"/>
  <c r="L353" i="2"/>
  <c r="J353" i="2"/>
  <c r="V353" i="2" s="1"/>
  <c r="Y352" i="2"/>
  <c r="Z352" i="2" s="1"/>
  <c r="W352" i="2"/>
  <c r="P352" i="2"/>
  <c r="N352" i="2"/>
  <c r="L352" i="2"/>
  <c r="X352" i="2" s="1"/>
  <c r="J352" i="2"/>
  <c r="V352" i="2" s="1"/>
  <c r="X351" i="2"/>
  <c r="W351" i="2"/>
  <c r="P351" i="2"/>
  <c r="Y351" i="2" s="1"/>
  <c r="Z351" i="2" s="1"/>
  <c r="N351" i="2"/>
  <c r="L351" i="2"/>
  <c r="J351" i="2"/>
  <c r="V351" i="2" s="1"/>
  <c r="W350" i="2"/>
  <c r="V350" i="2"/>
  <c r="P350" i="2"/>
  <c r="N350" i="2"/>
  <c r="L350" i="2"/>
  <c r="J350" i="2"/>
  <c r="X349" i="2"/>
  <c r="W349" i="2"/>
  <c r="P349" i="2"/>
  <c r="Y349" i="2" s="1"/>
  <c r="Z349" i="2" s="1"/>
  <c r="N349" i="2"/>
  <c r="L349" i="2"/>
  <c r="J349" i="2"/>
  <c r="V349" i="2" s="1"/>
  <c r="W348" i="2"/>
  <c r="V348" i="2"/>
  <c r="P348" i="2"/>
  <c r="N348" i="2"/>
  <c r="L348" i="2"/>
  <c r="X348" i="2" s="1"/>
  <c r="J348" i="2"/>
  <c r="X347" i="2"/>
  <c r="W347" i="2"/>
  <c r="P347" i="2"/>
  <c r="Y347" i="2" s="1"/>
  <c r="Z347" i="2" s="1"/>
  <c r="N347" i="2"/>
  <c r="L347" i="2"/>
  <c r="J347" i="2"/>
  <c r="V347" i="2" s="1"/>
  <c r="X346" i="2"/>
  <c r="W346" i="2"/>
  <c r="P346" i="2"/>
  <c r="Y346" i="2" s="1"/>
  <c r="Z346" i="2" s="1"/>
  <c r="N346" i="2"/>
  <c r="L346" i="2"/>
  <c r="J346" i="2"/>
  <c r="V346" i="2" s="1"/>
  <c r="W345" i="2"/>
  <c r="P345" i="2"/>
  <c r="N345" i="2"/>
  <c r="L345" i="2"/>
  <c r="J345" i="2"/>
  <c r="V345" i="2" s="1"/>
  <c r="W344" i="2"/>
  <c r="P344" i="2"/>
  <c r="N344" i="2"/>
  <c r="L344" i="2"/>
  <c r="X344" i="2" s="1"/>
  <c r="J344" i="2"/>
  <c r="V344" i="2" s="1"/>
  <c r="X343" i="2"/>
  <c r="W343" i="2"/>
  <c r="P343" i="2"/>
  <c r="Y343" i="2" s="1"/>
  <c r="Z343" i="2" s="1"/>
  <c r="N343" i="2"/>
  <c r="L343" i="2"/>
  <c r="J343" i="2"/>
  <c r="V343" i="2" s="1"/>
  <c r="W342" i="2"/>
  <c r="V342" i="2"/>
  <c r="P342" i="2"/>
  <c r="N342" i="2"/>
  <c r="L342" i="2"/>
  <c r="J342" i="2"/>
  <c r="Y341" i="2"/>
  <c r="Z341" i="2" s="1"/>
  <c r="X341" i="2"/>
  <c r="W341" i="2"/>
  <c r="P341" i="2"/>
  <c r="N341" i="2"/>
  <c r="L341" i="2"/>
  <c r="J341" i="2"/>
  <c r="V341" i="2" s="1"/>
  <c r="W340" i="2"/>
  <c r="V340" i="2"/>
  <c r="P340" i="2"/>
  <c r="N340" i="2"/>
  <c r="L340" i="2"/>
  <c r="X340" i="2" s="1"/>
  <c r="J340" i="2"/>
  <c r="Y339" i="2"/>
  <c r="Z339" i="2" s="1"/>
  <c r="X339" i="2"/>
  <c r="W339" i="2"/>
  <c r="P339" i="2"/>
  <c r="N339" i="2"/>
  <c r="L339" i="2"/>
  <c r="J339" i="2"/>
  <c r="V339" i="2" s="1"/>
  <c r="W338" i="2"/>
  <c r="P338" i="2"/>
  <c r="N338" i="2"/>
  <c r="L338" i="2"/>
  <c r="J338" i="2"/>
  <c r="V338" i="2" s="1"/>
  <c r="W337" i="2"/>
  <c r="P337" i="2"/>
  <c r="N337" i="2"/>
  <c r="L337" i="2"/>
  <c r="X337" i="2" s="1"/>
  <c r="J337" i="2"/>
  <c r="V337" i="2" s="1"/>
  <c r="W336" i="2"/>
  <c r="P336" i="2"/>
  <c r="N336" i="2"/>
  <c r="L336" i="2"/>
  <c r="X336" i="2" s="1"/>
  <c r="J336" i="2"/>
  <c r="V336" i="2" s="1"/>
  <c r="W335" i="2"/>
  <c r="P335" i="2"/>
  <c r="N335" i="2"/>
  <c r="L335" i="2"/>
  <c r="X335" i="2" s="1"/>
  <c r="J335" i="2"/>
  <c r="V335" i="2" s="1"/>
  <c r="W334" i="2"/>
  <c r="P334" i="2"/>
  <c r="N334" i="2"/>
  <c r="L334" i="2"/>
  <c r="J334" i="2"/>
  <c r="V334" i="2" s="1"/>
  <c r="X333" i="2"/>
  <c r="W333" i="2"/>
  <c r="P333" i="2"/>
  <c r="N333" i="2"/>
  <c r="L333" i="2"/>
  <c r="J333" i="2"/>
  <c r="V333" i="2" s="1"/>
  <c r="W332" i="2"/>
  <c r="P332" i="2"/>
  <c r="N332" i="2"/>
  <c r="L332" i="2"/>
  <c r="J332" i="2"/>
  <c r="V332" i="2" s="1"/>
  <c r="W331" i="2"/>
  <c r="P331" i="2"/>
  <c r="Y331" i="2" s="1"/>
  <c r="Z331" i="2" s="1"/>
  <c r="N331" i="2"/>
  <c r="L331" i="2"/>
  <c r="X331" i="2" s="1"/>
  <c r="J331" i="2"/>
  <c r="V331" i="2" s="1"/>
  <c r="W330" i="2"/>
  <c r="P330" i="2"/>
  <c r="Y330" i="2" s="1"/>
  <c r="Z330" i="2" s="1"/>
  <c r="N330" i="2"/>
  <c r="L330" i="2"/>
  <c r="X330" i="2" s="1"/>
  <c r="J330" i="2"/>
  <c r="V330" i="2" s="1"/>
  <c r="W329" i="2"/>
  <c r="P329" i="2"/>
  <c r="N329" i="2"/>
  <c r="L329" i="2"/>
  <c r="X329" i="2" s="1"/>
  <c r="J329" i="2"/>
  <c r="V329" i="2" s="1"/>
  <c r="W328" i="2"/>
  <c r="V328" i="2"/>
  <c r="P328" i="2"/>
  <c r="Y328" i="2" s="1"/>
  <c r="Z328" i="2" s="1"/>
  <c r="N328" i="2"/>
  <c r="L328" i="2"/>
  <c r="X328" i="2" s="1"/>
  <c r="J328" i="2"/>
  <c r="W327" i="2"/>
  <c r="V327" i="2"/>
  <c r="P327" i="2"/>
  <c r="N327" i="2"/>
  <c r="L327" i="2"/>
  <c r="X327" i="2" s="1"/>
  <c r="J327" i="2"/>
  <c r="W326" i="2"/>
  <c r="P326" i="2"/>
  <c r="Y326" i="2" s="1"/>
  <c r="Z326" i="2" s="1"/>
  <c r="N326" i="2"/>
  <c r="L326" i="2"/>
  <c r="X326" i="2" s="1"/>
  <c r="J326" i="2"/>
  <c r="V326" i="2" s="1"/>
  <c r="W325" i="2"/>
  <c r="P325" i="2"/>
  <c r="Y325" i="2" s="1"/>
  <c r="Z325" i="2" s="1"/>
  <c r="N325" i="2"/>
  <c r="L325" i="2"/>
  <c r="X325" i="2" s="1"/>
  <c r="J325" i="2"/>
  <c r="V325" i="2" s="1"/>
  <c r="W324" i="2"/>
  <c r="V324" i="2"/>
  <c r="P324" i="2"/>
  <c r="N324" i="2"/>
  <c r="L324" i="2"/>
  <c r="X324" i="2" s="1"/>
  <c r="J324" i="2"/>
  <c r="X323" i="2"/>
  <c r="W323" i="2"/>
  <c r="P323" i="2"/>
  <c r="N323" i="2"/>
  <c r="L323" i="2"/>
  <c r="J323" i="2"/>
  <c r="V323" i="2" s="1"/>
  <c r="X322" i="2"/>
  <c r="W322" i="2"/>
  <c r="V322" i="2"/>
  <c r="P322" i="2"/>
  <c r="N322" i="2"/>
  <c r="L322" i="2"/>
  <c r="Y322" i="2" s="1"/>
  <c r="Z322" i="2" s="1"/>
  <c r="J322" i="2"/>
  <c r="X321" i="2"/>
  <c r="W321" i="2"/>
  <c r="P321" i="2"/>
  <c r="N321" i="2"/>
  <c r="L321" i="2"/>
  <c r="J321" i="2"/>
  <c r="V321" i="2" s="1"/>
  <c r="Y320" i="2"/>
  <c r="Z320" i="2" s="1"/>
  <c r="W320" i="2"/>
  <c r="P320" i="2"/>
  <c r="N320" i="2"/>
  <c r="L320" i="2"/>
  <c r="X320" i="2" s="1"/>
  <c r="J320" i="2"/>
  <c r="V320" i="2" s="1"/>
  <c r="X319" i="2"/>
  <c r="W319" i="2"/>
  <c r="V319" i="2"/>
  <c r="P319" i="2"/>
  <c r="Y319" i="2" s="1"/>
  <c r="Z319" i="2" s="1"/>
  <c r="N319" i="2"/>
  <c r="L319" i="2"/>
  <c r="J319" i="2"/>
  <c r="X318" i="2"/>
  <c r="W318" i="2"/>
  <c r="V318" i="2"/>
  <c r="P318" i="2"/>
  <c r="N318" i="2"/>
  <c r="L318" i="2"/>
  <c r="Y318" i="2" s="1"/>
  <c r="Z318" i="2" s="1"/>
  <c r="J318" i="2"/>
  <c r="X317" i="2"/>
  <c r="W317" i="2"/>
  <c r="P317" i="2"/>
  <c r="N317" i="2"/>
  <c r="L317" i="2"/>
  <c r="J317" i="2"/>
  <c r="V317" i="2" s="1"/>
  <c r="W316" i="2"/>
  <c r="V316" i="2"/>
  <c r="P316" i="2"/>
  <c r="Y316" i="2" s="1"/>
  <c r="Z316" i="2" s="1"/>
  <c r="N316" i="2"/>
  <c r="L316" i="2"/>
  <c r="X316" i="2" s="1"/>
  <c r="J316" i="2"/>
  <c r="W315" i="2"/>
  <c r="V315" i="2"/>
  <c r="P315" i="2"/>
  <c r="N315" i="2"/>
  <c r="L315" i="2"/>
  <c r="Y315" i="2" s="1"/>
  <c r="Z315" i="2" s="1"/>
  <c r="J315" i="2"/>
  <c r="X314" i="2"/>
  <c r="W314" i="2"/>
  <c r="P314" i="2"/>
  <c r="N314" i="2"/>
  <c r="L314" i="2"/>
  <c r="Y314" i="2" s="1"/>
  <c r="Z314" i="2" s="1"/>
  <c r="J314" i="2"/>
  <c r="V314" i="2" s="1"/>
  <c r="W313" i="2"/>
  <c r="P313" i="2"/>
  <c r="Y313" i="2" s="1"/>
  <c r="Z313" i="2" s="1"/>
  <c r="N313" i="2"/>
  <c r="L313" i="2"/>
  <c r="X313" i="2" s="1"/>
  <c r="J313" i="2"/>
  <c r="V313" i="2" s="1"/>
  <c r="W312" i="2"/>
  <c r="P312" i="2"/>
  <c r="N312" i="2"/>
  <c r="L312" i="2"/>
  <c r="X312" i="2" s="1"/>
  <c r="J312" i="2"/>
  <c r="V312" i="2" s="1"/>
  <c r="W311" i="2"/>
  <c r="V311" i="2"/>
  <c r="P311" i="2"/>
  <c r="N311" i="2"/>
  <c r="L311" i="2"/>
  <c r="X311" i="2" s="1"/>
  <c r="J311" i="2"/>
  <c r="W310" i="2"/>
  <c r="P310" i="2"/>
  <c r="N310" i="2"/>
  <c r="L310" i="2"/>
  <c r="J310" i="2"/>
  <c r="V310" i="2" s="1"/>
  <c r="W309" i="2"/>
  <c r="P309" i="2"/>
  <c r="Y309" i="2" s="1"/>
  <c r="Z309" i="2" s="1"/>
  <c r="N309" i="2"/>
  <c r="L309" i="2"/>
  <c r="X309" i="2" s="1"/>
  <c r="J309" i="2"/>
  <c r="V309" i="2" s="1"/>
  <c r="W308" i="2"/>
  <c r="P308" i="2"/>
  <c r="N308" i="2"/>
  <c r="L308" i="2"/>
  <c r="X308" i="2" s="1"/>
  <c r="J308" i="2"/>
  <c r="V308" i="2" s="1"/>
  <c r="W307" i="2"/>
  <c r="P307" i="2"/>
  <c r="Y307" i="2" s="1"/>
  <c r="Z307" i="2" s="1"/>
  <c r="N307" i="2"/>
  <c r="L307" i="2"/>
  <c r="X307" i="2" s="1"/>
  <c r="J307" i="2"/>
  <c r="V307" i="2" s="1"/>
  <c r="W306" i="2"/>
  <c r="P306" i="2"/>
  <c r="Y306" i="2" s="1"/>
  <c r="Z306" i="2" s="1"/>
  <c r="N306" i="2"/>
  <c r="L306" i="2"/>
  <c r="X306" i="2" s="1"/>
  <c r="J306" i="2"/>
  <c r="V306" i="2" s="1"/>
  <c r="W305" i="2"/>
  <c r="P305" i="2"/>
  <c r="N305" i="2"/>
  <c r="L305" i="2"/>
  <c r="X305" i="2" s="1"/>
  <c r="J305" i="2"/>
  <c r="V305" i="2" s="1"/>
  <c r="W304" i="2"/>
  <c r="P304" i="2"/>
  <c r="Y304" i="2" s="1"/>
  <c r="Z304" i="2" s="1"/>
  <c r="N304" i="2"/>
  <c r="L304" i="2"/>
  <c r="X304" i="2" s="1"/>
  <c r="J304" i="2"/>
  <c r="V304" i="2" s="1"/>
  <c r="W303" i="2"/>
  <c r="V303" i="2"/>
  <c r="P303" i="2"/>
  <c r="Y303" i="2" s="1"/>
  <c r="Z303" i="2" s="1"/>
  <c r="N303" i="2"/>
  <c r="L303" i="2"/>
  <c r="X303" i="2" s="1"/>
  <c r="J303" i="2"/>
  <c r="W302" i="2"/>
  <c r="V302" i="2"/>
  <c r="P302" i="2"/>
  <c r="N302" i="2"/>
  <c r="L302" i="2"/>
  <c r="X302" i="2" s="1"/>
  <c r="J302" i="2"/>
  <c r="X301" i="2"/>
  <c r="W301" i="2"/>
  <c r="P301" i="2"/>
  <c r="N301" i="2"/>
  <c r="L301" i="2"/>
  <c r="Y301" i="2" s="1"/>
  <c r="Z301" i="2" s="1"/>
  <c r="J301" i="2"/>
  <c r="V301" i="2" s="1"/>
  <c r="W300" i="2"/>
  <c r="V300" i="2"/>
  <c r="P300" i="2"/>
  <c r="Y300" i="2" s="1"/>
  <c r="Z300" i="2" s="1"/>
  <c r="N300" i="2"/>
  <c r="L300" i="2"/>
  <c r="X300" i="2" s="1"/>
  <c r="J300" i="2"/>
  <c r="X299" i="2"/>
  <c r="W299" i="2"/>
  <c r="P299" i="2"/>
  <c r="Y299" i="2" s="1"/>
  <c r="Z299" i="2" s="1"/>
  <c r="N299" i="2"/>
  <c r="L299" i="2"/>
  <c r="J299" i="2"/>
  <c r="V299" i="2" s="1"/>
  <c r="W298" i="2"/>
  <c r="P298" i="2"/>
  <c r="Y298" i="2" s="1"/>
  <c r="Z298" i="2" s="1"/>
  <c r="N298" i="2"/>
  <c r="L298" i="2"/>
  <c r="X298" i="2" s="1"/>
  <c r="J298" i="2"/>
  <c r="V298" i="2" s="1"/>
  <c r="W297" i="2"/>
  <c r="P297" i="2"/>
  <c r="N297" i="2"/>
  <c r="L297" i="2"/>
  <c r="X297" i="2" s="1"/>
  <c r="J297" i="2"/>
  <c r="V297" i="2" s="1"/>
  <c r="W296" i="2"/>
  <c r="P296" i="2"/>
  <c r="Y296" i="2" s="1"/>
  <c r="Z296" i="2" s="1"/>
  <c r="N296" i="2"/>
  <c r="L296" i="2"/>
  <c r="X296" i="2" s="1"/>
  <c r="J296" i="2"/>
  <c r="V296" i="2" s="1"/>
  <c r="X295" i="2"/>
  <c r="W295" i="2"/>
  <c r="P295" i="2"/>
  <c r="Y295" i="2" s="1"/>
  <c r="Z295" i="2" s="1"/>
  <c r="N295" i="2"/>
  <c r="L295" i="2"/>
  <c r="J295" i="2"/>
  <c r="V295" i="2" s="1"/>
  <c r="X294" i="2"/>
  <c r="W294" i="2"/>
  <c r="P294" i="2"/>
  <c r="N294" i="2"/>
  <c r="L294" i="2"/>
  <c r="J294" i="2"/>
  <c r="V294" i="2" s="1"/>
  <c r="W293" i="2"/>
  <c r="P293" i="2"/>
  <c r="N293" i="2"/>
  <c r="L293" i="2"/>
  <c r="X293" i="2" s="1"/>
  <c r="J293" i="2"/>
  <c r="V293" i="2" s="1"/>
  <c r="W292" i="2"/>
  <c r="P292" i="2"/>
  <c r="N292" i="2"/>
  <c r="L292" i="2"/>
  <c r="X292" i="2" s="1"/>
  <c r="J292" i="2"/>
  <c r="V292" i="2" s="1"/>
  <c r="W291" i="2"/>
  <c r="P291" i="2"/>
  <c r="N291" i="2"/>
  <c r="L291" i="2"/>
  <c r="X291" i="2" s="1"/>
  <c r="J291" i="2"/>
  <c r="V291" i="2" s="1"/>
  <c r="W290" i="2"/>
  <c r="P290" i="2"/>
  <c r="N290" i="2"/>
  <c r="L290" i="2"/>
  <c r="X290" i="2" s="1"/>
  <c r="J290" i="2"/>
  <c r="V290" i="2" s="1"/>
  <c r="W289" i="2"/>
  <c r="P289" i="2"/>
  <c r="N289" i="2"/>
  <c r="L289" i="2"/>
  <c r="Y289" i="2" s="1"/>
  <c r="Z289" i="2" s="1"/>
  <c r="J289" i="2"/>
  <c r="V289" i="2" s="1"/>
  <c r="W288" i="2"/>
  <c r="P288" i="2"/>
  <c r="N288" i="2"/>
  <c r="L288" i="2"/>
  <c r="X288" i="2" s="1"/>
  <c r="J288" i="2"/>
  <c r="V288" i="2" s="1"/>
  <c r="W287" i="2"/>
  <c r="P287" i="2"/>
  <c r="N287" i="2"/>
  <c r="L287" i="2"/>
  <c r="X287" i="2" s="1"/>
  <c r="J287" i="2"/>
  <c r="V287" i="2" s="1"/>
  <c r="W286" i="2"/>
  <c r="P286" i="2"/>
  <c r="N286" i="2"/>
  <c r="L286" i="2"/>
  <c r="Y286" i="2" s="1"/>
  <c r="Z286" i="2" s="1"/>
  <c r="J286" i="2"/>
  <c r="V286" i="2" s="1"/>
  <c r="W285" i="2"/>
  <c r="P285" i="2"/>
  <c r="N285" i="2"/>
  <c r="L285" i="2"/>
  <c r="X285" i="2" s="1"/>
  <c r="J285" i="2"/>
  <c r="V285" i="2" s="1"/>
  <c r="W284" i="2"/>
  <c r="P284" i="2"/>
  <c r="N284" i="2"/>
  <c r="L284" i="2"/>
  <c r="X284" i="2" s="1"/>
  <c r="J284" i="2"/>
  <c r="V284" i="2" s="1"/>
  <c r="W283" i="2"/>
  <c r="P283" i="2"/>
  <c r="Y283" i="2" s="1"/>
  <c r="Z283" i="2" s="1"/>
  <c r="N283" i="2"/>
  <c r="L283" i="2"/>
  <c r="X283" i="2" s="1"/>
  <c r="J283" i="2"/>
  <c r="V283" i="2" s="1"/>
  <c r="W282" i="2"/>
  <c r="P282" i="2"/>
  <c r="Y282" i="2" s="1"/>
  <c r="Z282" i="2" s="1"/>
  <c r="N282" i="2"/>
  <c r="L282" i="2"/>
  <c r="X282" i="2" s="1"/>
  <c r="J282" i="2"/>
  <c r="V282" i="2" s="1"/>
  <c r="W281" i="2"/>
  <c r="P281" i="2"/>
  <c r="N281" i="2"/>
  <c r="L281" i="2"/>
  <c r="X281" i="2" s="1"/>
  <c r="J281" i="2"/>
  <c r="V281" i="2" s="1"/>
  <c r="W280" i="2"/>
  <c r="P280" i="2"/>
  <c r="N280" i="2"/>
  <c r="L280" i="2"/>
  <c r="X280" i="2" s="1"/>
  <c r="J280" i="2"/>
  <c r="V280" i="2" s="1"/>
  <c r="X279" i="2"/>
  <c r="W279" i="2"/>
  <c r="P279" i="2"/>
  <c r="Y279" i="2" s="1"/>
  <c r="Z279" i="2" s="1"/>
  <c r="N279" i="2"/>
  <c r="L279" i="2"/>
  <c r="J279" i="2"/>
  <c r="V279" i="2" s="1"/>
  <c r="W278" i="2"/>
  <c r="V278" i="2"/>
  <c r="P278" i="2"/>
  <c r="N278" i="2"/>
  <c r="L278" i="2"/>
  <c r="J278" i="2"/>
  <c r="Y277" i="2"/>
  <c r="Z277" i="2" s="1"/>
  <c r="X277" i="2"/>
  <c r="W277" i="2"/>
  <c r="P277" i="2"/>
  <c r="N277" i="2"/>
  <c r="L277" i="2"/>
  <c r="J277" i="2"/>
  <c r="V277" i="2" s="1"/>
  <c r="Y276" i="2"/>
  <c r="Z276" i="2" s="1"/>
  <c r="W276" i="2"/>
  <c r="P276" i="2"/>
  <c r="N276" i="2"/>
  <c r="L276" i="2"/>
  <c r="X276" i="2" s="1"/>
  <c r="J276" i="2"/>
  <c r="V276" i="2" s="1"/>
  <c r="Y275" i="2"/>
  <c r="Z275" i="2" s="1"/>
  <c r="X275" i="2"/>
  <c r="W275" i="2"/>
  <c r="P275" i="2"/>
  <c r="N275" i="2"/>
  <c r="L275" i="2"/>
  <c r="J275" i="2"/>
  <c r="V275" i="2" s="1"/>
  <c r="Y274" i="2"/>
  <c r="Z274" i="2" s="1"/>
  <c r="W274" i="2"/>
  <c r="P274" i="2"/>
  <c r="N274" i="2"/>
  <c r="L274" i="2"/>
  <c r="X274" i="2" s="1"/>
  <c r="J274" i="2"/>
  <c r="V274" i="2" s="1"/>
  <c r="Y273" i="2"/>
  <c r="Z273" i="2" s="1"/>
  <c r="W273" i="2"/>
  <c r="P273" i="2"/>
  <c r="N273" i="2"/>
  <c r="L273" i="2"/>
  <c r="X273" i="2" s="1"/>
  <c r="J273" i="2"/>
  <c r="V273" i="2" s="1"/>
  <c r="W272" i="2"/>
  <c r="P272" i="2"/>
  <c r="Y272" i="2" s="1"/>
  <c r="Z272" i="2" s="1"/>
  <c r="N272" i="2"/>
  <c r="L272" i="2"/>
  <c r="X272" i="2" s="1"/>
  <c r="J272" i="2"/>
  <c r="V272" i="2" s="1"/>
  <c r="W271" i="2"/>
  <c r="V271" i="2"/>
  <c r="P271" i="2"/>
  <c r="Y271" i="2" s="1"/>
  <c r="Z271" i="2" s="1"/>
  <c r="N271" i="2"/>
  <c r="L271" i="2"/>
  <c r="X271" i="2" s="1"/>
  <c r="J271" i="2"/>
  <c r="W270" i="2"/>
  <c r="V270" i="2"/>
  <c r="P270" i="2"/>
  <c r="N270" i="2"/>
  <c r="L270" i="2"/>
  <c r="X270" i="2" s="1"/>
  <c r="J270" i="2"/>
  <c r="W269" i="2"/>
  <c r="P269" i="2"/>
  <c r="Y269" i="2" s="1"/>
  <c r="Z269" i="2" s="1"/>
  <c r="N269" i="2"/>
  <c r="L269" i="2"/>
  <c r="X269" i="2" s="1"/>
  <c r="J269" i="2"/>
  <c r="V269" i="2" s="1"/>
  <c r="W268" i="2"/>
  <c r="P268" i="2"/>
  <c r="Y268" i="2" s="1"/>
  <c r="Z268" i="2" s="1"/>
  <c r="N268" i="2"/>
  <c r="L268" i="2"/>
  <c r="X268" i="2" s="1"/>
  <c r="J268" i="2"/>
  <c r="V268" i="2" s="1"/>
  <c r="W267" i="2"/>
  <c r="P267" i="2"/>
  <c r="Y267" i="2" s="1"/>
  <c r="Z267" i="2" s="1"/>
  <c r="N267" i="2"/>
  <c r="L267" i="2"/>
  <c r="X267" i="2" s="1"/>
  <c r="J267" i="2"/>
  <c r="V267" i="2" s="1"/>
  <c r="W266" i="2"/>
  <c r="P266" i="2"/>
  <c r="Y266" i="2" s="1"/>
  <c r="Z266" i="2" s="1"/>
  <c r="N266" i="2"/>
  <c r="L266" i="2"/>
  <c r="X266" i="2" s="1"/>
  <c r="J266" i="2"/>
  <c r="V266" i="2" s="1"/>
  <c r="W265" i="2"/>
  <c r="P265" i="2"/>
  <c r="N265" i="2"/>
  <c r="L265" i="2"/>
  <c r="X265" i="2" s="1"/>
  <c r="J265" i="2"/>
  <c r="V265" i="2" s="1"/>
  <c r="W264" i="2"/>
  <c r="P264" i="2"/>
  <c r="Y264" i="2" s="1"/>
  <c r="Z264" i="2" s="1"/>
  <c r="N264" i="2"/>
  <c r="L264" i="2"/>
  <c r="X264" i="2" s="1"/>
  <c r="J264" i="2"/>
  <c r="V264" i="2" s="1"/>
  <c r="W263" i="2"/>
  <c r="P263" i="2"/>
  <c r="N263" i="2"/>
  <c r="L263" i="2"/>
  <c r="X263" i="2" s="1"/>
  <c r="J263" i="2"/>
  <c r="V263" i="2" s="1"/>
  <c r="W262" i="2"/>
  <c r="P262" i="2"/>
  <c r="N262" i="2"/>
  <c r="L262" i="2"/>
  <c r="Y262" i="2" s="1"/>
  <c r="Z262" i="2" s="1"/>
  <c r="J262" i="2"/>
  <c r="V262" i="2" s="1"/>
  <c r="X261" i="2"/>
  <c r="W261" i="2"/>
  <c r="P261" i="2"/>
  <c r="N261" i="2"/>
  <c r="L261" i="2"/>
  <c r="J261" i="2"/>
  <c r="V261" i="2" s="1"/>
  <c r="W260" i="2"/>
  <c r="V260" i="2"/>
  <c r="P260" i="2"/>
  <c r="N260" i="2"/>
  <c r="L260" i="2"/>
  <c r="X260" i="2" s="1"/>
  <c r="J260" i="2"/>
  <c r="Y259" i="2"/>
  <c r="Z259" i="2" s="1"/>
  <c r="X259" i="2"/>
  <c r="W259" i="2"/>
  <c r="P259" i="2"/>
  <c r="N259" i="2"/>
  <c r="L259" i="2"/>
  <c r="J259" i="2"/>
  <c r="V259" i="2" s="1"/>
  <c r="Y258" i="2"/>
  <c r="Z258" i="2" s="1"/>
  <c r="X258" i="2"/>
  <c r="W258" i="2"/>
  <c r="P258" i="2"/>
  <c r="N258" i="2"/>
  <c r="L258" i="2"/>
  <c r="J258" i="2"/>
  <c r="V258" i="2" s="1"/>
  <c r="Y257" i="2"/>
  <c r="Z257" i="2" s="1"/>
  <c r="X257" i="2"/>
  <c r="W257" i="2"/>
  <c r="P257" i="2"/>
  <c r="N257" i="2"/>
  <c r="L257" i="2"/>
  <c r="J257" i="2"/>
  <c r="V257" i="2" s="1"/>
  <c r="Z256" i="2"/>
  <c r="Y256" i="2"/>
  <c r="W256" i="2"/>
  <c r="P256" i="2"/>
  <c r="N256" i="2"/>
  <c r="L256" i="2"/>
  <c r="X256" i="2" s="1"/>
  <c r="J256" i="2"/>
  <c r="V256" i="2" s="1"/>
  <c r="Y255" i="2"/>
  <c r="Z255" i="2" s="1"/>
  <c r="X255" i="2"/>
  <c r="W255" i="2"/>
  <c r="P255" i="2"/>
  <c r="N255" i="2"/>
  <c r="L255" i="2"/>
  <c r="J255" i="2"/>
  <c r="V255" i="2" s="1"/>
  <c r="W254" i="2"/>
  <c r="V254" i="2"/>
  <c r="P254" i="2"/>
  <c r="N254" i="2"/>
  <c r="L254" i="2"/>
  <c r="J254" i="2"/>
  <c r="X253" i="2"/>
  <c r="W253" i="2"/>
  <c r="P253" i="2"/>
  <c r="N253" i="2"/>
  <c r="L253" i="2"/>
  <c r="J253" i="2"/>
  <c r="V253" i="2" s="1"/>
  <c r="W252" i="2"/>
  <c r="V252" i="2"/>
  <c r="P252" i="2"/>
  <c r="Y252" i="2" s="1"/>
  <c r="Z252" i="2" s="1"/>
  <c r="N252" i="2"/>
  <c r="L252" i="2"/>
  <c r="X252" i="2" s="1"/>
  <c r="J252" i="2"/>
  <c r="W251" i="2"/>
  <c r="V251" i="2"/>
  <c r="P251" i="2"/>
  <c r="N251" i="2"/>
  <c r="L251" i="2"/>
  <c r="Y251" i="2" s="1"/>
  <c r="Z251" i="2" s="1"/>
  <c r="J251" i="2"/>
  <c r="X250" i="2"/>
  <c r="W250" i="2"/>
  <c r="P250" i="2"/>
  <c r="N250" i="2"/>
  <c r="L250" i="2"/>
  <c r="Y250" i="2" s="1"/>
  <c r="Z250" i="2" s="1"/>
  <c r="J250" i="2"/>
  <c r="V250" i="2" s="1"/>
  <c r="W249" i="2"/>
  <c r="P249" i="2"/>
  <c r="N249" i="2"/>
  <c r="L249" i="2"/>
  <c r="J249" i="2"/>
  <c r="V249" i="2" s="1"/>
  <c r="W248" i="2"/>
  <c r="P248" i="2"/>
  <c r="N248" i="2"/>
  <c r="L248" i="2"/>
  <c r="X248" i="2" s="1"/>
  <c r="J248" i="2"/>
  <c r="V248" i="2" s="1"/>
  <c r="W247" i="2"/>
  <c r="P247" i="2"/>
  <c r="N247" i="2"/>
  <c r="L247" i="2"/>
  <c r="X247" i="2" s="1"/>
  <c r="J247" i="2"/>
  <c r="V247" i="2" s="1"/>
  <c r="W246" i="2"/>
  <c r="P246" i="2"/>
  <c r="N246" i="2"/>
  <c r="L246" i="2"/>
  <c r="J246" i="2"/>
  <c r="V246" i="2" s="1"/>
  <c r="W245" i="2"/>
  <c r="P245" i="2"/>
  <c r="Y245" i="2" s="1"/>
  <c r="Z245" i="2" s="1"/>
  <c r="N245" i="2"/>
  <c r="L245" i="2"/>
  <c r="X245" i="2" s="1"/>
  <c r="J245" i="2"/>
  <c r="V245" i="2" s="1"/>
  <c r="W244" i="2"/>
  <c r="P244" i="2"/>
  <c r="N244" i="2"/>
  <c r="L244" i="2"/>
  <c r="X244" i="2" s="1"/>
  <c r="J244" i="2"/>
  <c r="V244" i="2" s="1"/>
  <c r="Y243" i="2"/>
  <c r="Z243" i="2" s="1"/>
  <c r="W243" i="2"/>
  <c r="P243" i="2"/>
  <c r="N243" i="2"/>
  <c r="L243" i="2"/>
  <c r="X243" i="2" s="1"/>
  <c r="J243" i="2"/>
  <c r="V243" i="2" s="1"/>
  <c r="W242" i="2"/>
  <c r="P242" i="2"/>
  <c r="N242" i="2"/>
  <c r="L242" i="2"/>
  <c r="J242" i="2"/>
  <c r="V242" i="2" s="1"/>
  <c r="W241" i="2"/>
  <c r="P241" i="2"/>
  <c r="Y241" i="2" s="1"/>
  <c r="Z241" i="2" s="1"/>
  <c r="N241" i="2"/>
  <c r="L241" i="2"/>
  <c r="X241" i="2" s="1"/>
  <c r="J241" i="2"/>
  <c r="V241" i="2" s="1"/>
  <c r="W240" i="2"/>
  <c r="P240" i="2"/>
  <c r="N240" i="2"/>
  <c r="L240" i="2"/>
  <c r="X240" i="2" s="1"/>
  <c r="J240" i="2"/>
  <c r="V240" i="2" s="1"/>
  <c r="W239" i="2"/>
  <c r="V239" i="2"/>
  <c r="P239" i="2"/>
  <c r="N239" i="2"/>
  <c r="L239" i="2"/>
  <c r="X239" i="2" s="1"/>
  <c r="J239" i="2"/>
  <c r="W238" i="2"/>
  <c r="V238" i="2"/>
  <c r="P238" i="2"/>
  <c r="N238" i="2"/>
  <c r="L238" i="2"/>
  <c r="Y238" i="2" s="1"/>
  <c r="Z238" i="2" s="1"/>
  <c r="J238" i="2"/>
  <c r="W237" i="2"/>
  <c r="P237" i="2"/>
  <c r="Y237" i="2" s="1"/>
  <c r="Z237" i="2" s="1"/>
  <c r="N237" i="2"/>
  <c r="L237" i="2"/>
  <c r="X237" i="2" s="1"/>
  <c r="J237" i="2"/>
  <c r="V237" i="2" s="1"/>
  <c r="W236" i="2"/>
  <c r="P236" i="2"/>
  <c r="N236" i="2"/>
  <c r="L236" i="2"/>
  <c r="J236" i="2"/>
  <c r="V236" i="2" s="1"/>
  <c r="W235" i="2"/>
  <c r="P235" i="2"/>
  <c r="Y235" i="2" s="1"/>
  <c r="Z235" i="2" s="1"/>
  <c r="N235" i="2"/>
  <c r="L235" i="2"/>
  <c r="X235" i="2" s="1"/>
  <c r="J235" i="2"/>
  <c r="V235" i="2" s="1"/>
  <c r="W234" i="2"/>
  <c r="P234" i="2"/>
  <c r="Y234" i="2" s="1"/>
  <c r="Z234" i="2" s="1"/>
  <c r="N234" i="2"/>
  <c r="L234" i="2"/>
  <c r="X234" i="2" s="1"/>
  <c r="J234" i="2"/>
  <c r="V234" i="2" s="1"/>
  <c r="W233" i="2"/>
  <c r="P233" i="2"/>
  <c r="N233" i="2"/>
  <c r="L233" i="2"/>
  <c r="X233" i="2" s="1"/>
  <c r="J233" i="2"/>
  <c r="V233" i="2" s="1"/>
  <c r="W232" i="2"/>
  <c r="P232" i="2"/>
  <c r="Y232" i="2" s="1"/>
  <c r="Z232" i="2" s="1"/>
  <c r="N232" i="2"/>
  <c r="L232" i="2"/>
  <c r="X232" i="2" s="1"/>
  <c r="J232" i="2"/>
  <c r="V232" i="2" s="1"/>
  <c r="W231" i="2"/>
  <c r="P231" i="2"/>
  <c r="N231" i="2"/>
  <c r="L231" i="2"/>
  <c r="X231" i="2" s="1"/>
  <c r="J231" i="2"/>
  <c r="V231" i="2" s="1"/>
  <c r="W230" i="2"/>
  <c r="P230" i="2"/>
  <c r="Y230" i="2" s="1"/>
  <c r="Z230" i="2" s="1"/>
  <c r="N230" i="2"/>
  <c r="L230" i="2"/>
  <c r="X230" i="2" s="1"/>
  <c r="J230" i="2"/>
  <c r="V230" i="2" s="1"/>
  <c r="W229" i="2"/>
  <c r="P229" i="2"/>
  <c r="N229" i="2"/>
  <c r="L229" i="2"/>
  <c r="X229" i="2" s="1"/>
  <c r="J229" i="2"/>
  <c r="V229" i="2" s="1"/>
  <c r="W228" i="2"/>
  <c r="P228" i="2"/>
  <c r="N228" i="2"/>
  <c r="L228" i="2"/>
  <c r="X228" i="2" s="1"/>
  <c r="J228" i="2"/>
  <c r="V228" i="2" s="1"/>
  <c r="X227" i="2"/>
  <c r="W227" i="2"/>
  <c r="P227" i="2"/>
  <c r="Y227" i="2" s="1"/>
  <c r="Z227" i="2" s="1"/>
  <c r="N227" i="2"/>
  <c r="L227" i="2"/>
  <c r="J227" i="2"/>
  <c r="V227" i="2" s="1"/>
  <c r="Y226" i="2"/>
  <c r="Z226" i="2" s="1"/>
  <c r="X226" i="2"/>
  <c r="W226" i="2"/>
  <c r="P226" i="2"/>
  <c r="N226" i="2"/>
  <c r="L226" i="2"/>
  <c r="J226" i="2"/>
  <c r="V226" i="2" s="1"/>
  <c r="X225" i="2"/>
  <c r="W225" i="2"/>
  <c r="P225" i="2"/>
  <c r="Y225" i="2" s="1"/>
  <c r="Z225" i="2" s="1"/>
  <c r="N225" i="2"/>
  <c r="L225" i="2"/>
  <c r="J225" i="2"/>
  <c r="V225" i="2" s="1"/>
  <c r="Y224" i="2"/>
  <c r="Z224" i="2" s="1"/>
  <c r="W224" i="2"/>
  <c r="P224" i="2"/>
  <c r="N224" i="2"/>
  <c r="L224" i="2"/>
  <c r="X224" i="2" s="1"/>
  <c r="J224" i="2"/>
  <c r="V224" i="2" s="1"/>
  <c r="Y223" i="2"/>
  <c r="Z223" i="2" s="1"/>
  <c r="X223" i="2"/>
  <c r="W223" i="2"/>
  <c r="V223" i="2"/>
  <c r="P223" i="2"/>
  <c r="N223" i="2"/>
  <c r="L223" i="2"/>
  <c r="J223" i="2"/>
  <c r="Z222" i="2"/>
  <c r="X222" i="2"/>
  <c r="W222" i="2"/>
  <c r="P222" i="2"/>
  <c r="N222" i="2"/>
  <c r="L222" i="2"/>
  <c r="Y222" i="2" s="1"/>
  <c r="J222" i="2"/>
  <c r="V222" i="2" s="1"/>
  <c r="X221" i="2"/>
  <c r="W221" i="2"/>
  <c r="P221" i="2"/>
  <c r="N221" i="2"/>
  <c r="L221" i="2"/>
  <c r="J221" i="2"/>
  <c r="V221" i="2" s="1"/>
  <c r="W220" i="2"/>
  <c r="V220" i="2"/>
  <c r="P220" i="2"/>
  <c r="Y220" i="2" s="1"/>
  <c r="Z220" i="2" s="1"/>
  <c r="N220" i="2"/>
  <c r="L220" i="2"/>
  <c r="X220" i="2" s="1"/>
  <c r="J220" i="2"/>
  <c r="Y219" i="2"/>
  <c r="Z219" i="2" s="1"/>
  <c r="X219" i="2"/>
  <c r="W219" i="2"/>
  <c r="P219" i="2"/>
  <c r="N219" i="2"/>
  <c r="L219" i="2"/>
  <c r="J219" i="2"/>
  <c r="V219" i="2" s="1"/>
  <c r="Y218" i="2"/>
  <c r="Z218" i="2" s="1"/>
  <c r="X218" i="2"/>
  <c r="W218" i="2"/>
  <c r="P218" i="2"/>
  <c r="N218" i="2"/>
  <c r="L218" i="2"/>
  <c r="J218" i="2"/>
  <c r="V218" i="2" s="1"/>
  <c r="Y217" i="2"/>
  <c r="Z217" i="2" s="1"/>
  <c r="W217" i="2"/>
  <c r="P217" i="2"/>
  <c r="N217" i="2"/>
  <c r="L217" i="2"/>
  <c r="X217" i="2" s="1"/>
  <c r="J217" i="2"/>
  <c r="V217" i="2" s="1"/>
  <c r="W216" i="2"/>
  <c r="P216" i="2"/>
  <c r="N216" i="2"/>
  <c r="L216" i="2"/>
  <c r="X216" i="2" s="1"/>
  <c r="J216" i="2"/>
  <c r="V216" i="2" s="1"/>
  <c r="X215" i="2"/>
  <c r="W215" i="2"/>
  <c r="V215" i="2"/>
  <c r="P215" i="2"/>
  <c r="N215" i="2"/>
  <c r="L215" i="2"/>
  <c r="J215" i="2"/>
  <c r="W214" i="2"/>
  <c r="V214" i="2"/>
  <c r="P214" i="2"/>
  <c r="N214" i="2"/>
  <c r="L214" i="2"/>
  <c r="X214" i="2" s="1"/>
  <c r="J214" i="2"/>
  <c r="X213" i="2"/>
  <c r="W213" i="2"/>
  <c r="V213" i="2"/>
  <c r="P213" i="2"/>
  <c r="N213" i="2"/>
  <c r="L213" i="2"/>
  <c r="J213" i="2"/>
  <c r="Y212" i="2"/>
  <c r="Z212" i="2" s="1"/>
  <c r="X212" i="2"/>
  <c r="W212" i="2"/>
  <c r="P212" i="2"/>
  <c r="N212" i="2"/>
  <c r="L212" i="2"/>
  <c r="J212" i="2"/>
  <c r="V212" i="2" s="1"/>
  <c r="X211" i="2"/>
  <c r="W211" i="2"/>
  <c r="V211" i="2"/>
  <c r="P211" i="2"/>
  <c r="N211" i="2"/>
  <c r="L211" i="2"/>
  <c r="J211" i="2"/>
  <c r="W210" i="2"/>
  <c r="V210" i="2"/>
  <c r="P210" i="2"/>
  <c r="N210" i="2"/>
  <c r="L210" i="2"/>
  <c r="X210" i="2" s="1"/>
  <c r="J210" i="2"/>
  <c r="W209" i="2"/>
  <c r="V209" i="2"/>
  <c r="P209" i="2"/>
  <c r="Y209" i="2" s="1"/>
  <c r="Z209" i="2" s="1"/>
  <c r="N209" i="2"/>
  <c r="L209" i="2"/>
  <c r="X209" i="2" s="1"/>
  <c r="J209" i="2"/>
  <c r="W208" i="2"/>
  <c r="P208" i="2"/>
  <c r="N208" i="2"/>
  <c r="L208" i="2"/>
  <c r="J208" i="2"/>
  <c r="V208" i="2" s="1"/>
  <c r="W207" i="2"/>
  <c r="P207" i="2"/>
  <c r="N207" i="2"/>
  <c r="L207" i="2"/>
  <c r="X207" i="2" s="1"/>
  <c r="J207" i="2"/>
  <c r="V207" i="2" s="1"/>
  <c r="W206" i="2"/>
  <c r="P206" i="2"/>
  <c r="N206" i="2"/>
  <c r="L206" i="2"/>
  <c r="X206" i="2" s="1"/>
  <c r="J206" i="2"/>
  <c r="V206" i="2" s="1"/>
  <c r="W205" i="2"/>
  <c r="P205" i="2"/>
  <c r="N205" i="2"/>
  <c r="L205" i="2"/>
  <c r="X205" i="2" s="1"/>
  <c r="J205" i="2"/>
  <c r="V205" i="2" s="1"/>
  <c r="W204" i="2"/>
  <c r="P204" i="2"/>
  <c r="Y204" i="2" s="1"/>
  <c r="Z204" i="2" s="1"/>
  <c r="N204" i="2"/>
  <c r="L204" i="2"/>
  <c r="X204" i="2" s="1"/>
  <c r="J204" i="2"/>
  <c r="V204" i="2" s="1"/>
  <c r="W203" i="2"/>
  <c r="P203" i="2"/>
  <c r="N203" i="2"/>
  <c r="L203" i="2"/>
  <c r="X203" i="2" s="1"/>
  <c r="J203" i="2"/>
  <c r="V203" i="2" s="1"/>
  <c r="W202" i="2"/>
  <c r="P202" i="2"/>
  <c r="N202" i="2"/>
  <c r="L202" i="2"/>
  <c r="X202" i="2" s="1"/>
  <c r="J202" i="2"/>
  <c r="V202" i="2" s="1"/>
  <c r="W201" i="2"/>
  <c r="P201" i="2"/>
  <c r="N201" i="2"/>
  <c r="L201" i="2"/>
  <c r="X201" i="2" s="1"/>
  <c r="J201" i="2"/>
  <c r="V201" i="2" s="1"/>
  <c r="W200" i="2"/>
  <c r="P200" i="2"/>
  <c r="N200" i="2"/>
  <c r="L200" i="2"/>
  <c r="X200" i="2" s="1"/>
  <c r="J200" i="2"/>
  <c r="V200" i="2" s="1"/>
  <c r="W199" i="2"/>
  <c r="P199" i="2"/>
  <c r="N199" i="2"/>
  <c r="L199" i="2"/>
  <c r="X199" i="2" s="1"/>
  <c r="J199" i="2"/>
  <c r="V199" i="2" s="1"/>
  <c r="W198" i="2"/>
  <c r="V198" i="2"/>
  <c r="P198" i="2"/>
  <c r="Y198" i="2" s="1"/>
  <c r="Z198" i="2" s="1"/>
  <c r="N198" i="2"/>
  <c r="L198" i="2"/>
  <c r="X198" i="2" s="1"/>
  <c r="J198" i="2"/>
  <c r="X197" i="2"/>
  <c r="W197" i="2"/>
  <c r="V197" i="2"/>
  <c r="P197" i="2"/>
  <c r="Y197" i="2" s="1"/>
  <c r="Z197" i="2" s="1"/>
  <c r="N197" i="2"/>
  <c r="L197" i="2"/>
  <c r="J197" i="2"/>
  <c r="Y196" i="2"/>
  <c r="Z196" i="2" s="1"/>
  <c r="W196" i="2"/>
  <c r="V196" i="2"/>
  <c r="P196" i="2"/>
  <c r="N196" i="2"/>
  <c r="L196" i="2"/>
  <c r="X196" i="2" s="1"/>
  <c r="J196" i="2"/>
  <c r="X195" i="2"/>
  <c r="W195" i="2"/>
  <c r="V195" i="2"/>
  <c r="P195" i="2"/>
  <c r="Y195" i="2" s="1"/>
  <c r="Z195" i="2" s="1"/>
  <c r="N195" i="2"/>
  <c r="L195" i="2"/>
  <c r="J195" i="2"/>
  <c r="W194" i="2"/>
  <c r="V194" i="2"/>
  <c r="P194" i="2"/>
  <c r="N194" i="2"/>
  <c r="L194" i="2"/>
  <c r="X194" i="2" s="1"/>
  <c r="J194" i="2"/>
  <c r="X193" i="2"/>
  <c r="W193" i="2"/>
  <c r="V193" i="2"/>
  <c r="P193" i="2"/>
  <c r="N193" i="2"/>
  <c r="L193" i="2"/>
  <c r="J193" i="2"/>
  <c r="Y192" i="2"/>
  <c r="Z192" i="2" s="1"/>
  <c r="X192" i="2"/>
  <c r="W192" i="2"/>
  <c r="P192" i="2"/>
  <c r="N192" i="2"/>
  <c r="L192" i="2"/>
  <c r="J192" i="2"/>
  <c r="V192" i="2" s="1"/>
  <c r="W191" i="2"/>
  <c r="V191" i="2"/>
  <c r="P191" i="2"/>
  <c r="N191" i="2"/>
  <c r="L191" i="2"/>
  <c r="X191" i="2" s="1"/>
  <c r="J191" i="2"/>
  <c r="W190" i="2"/>
  <c r="V190" i="2"/>
  <c r="P190" i="2"/>
  <c r="N190" i="2"/>
  <c r="L190" i="2"/>
  <c r="X190" i="2" s="1"/>
  <c r="J190" i="2"/>
  <c r="W189" i="2"/>
  <c r="V189" i="2"/>
  <c r="P189" i="2"/>
  <c r="Y189" i="2" s="1"/>
  <c r="Z189" i="2" s="1"/>
  <c r="N189" i="2"/>
  <c r="L189" i="2"/>
  <c r="X189" i="2" s="1"/>
  <c r="J189" i="2"/>
  <c r="W188" i="2"/>
  <c r="P188" i="2"/>
  <c r="N188" i="2"/>
  <c r="L188" i="2"/>
  <c r="X188" i="2" s="1"/>
  <c r="J188" i="2"/>
  <c r="V188" i="2" s="1"/>
  <c r="W187" i="2"/>
  <c r="P187" i="2"/>
  <c r="N187" i="2"/>
  <c r="L187" i="2"/>
  <c r="X187" i="2" s="1"/>
  <c r="J187" i="2"/>
  <c r="V187" i="2" s="1"/>
  <c r="W186" i="2"/>
  <c r="P186" i="2"/>
  <c r="N186" i="2"/>
  <c r="L186" i="2"/>
  <c r="X186" i="2" s="1"/>
  <c r="J186" i="2"/>
  <c r="V186" i="2" s="1"/>
  <c r="X185" i="2"/>
  <c r="W185" i="2"/>
  <c r="P185" i="2"/>
  <c r="N185" i="2"/>
  <c r="L185" i="2"/>
  <c r="J185" i="2"/>
  <c r="V185" i="2" s="1"/>
  <c r="X184" i="2"/>
  <c r="W184" i="2"/>
  <c r="P184" i="2"/>
  <c r="N184" i="2"/>
  <c r="L184" i="2"/>
  <c r="Y184" i="2" s="1"/>
  <c r="Z184" i="2" s="1"/>
  <c r="J184" i="2"/>
  <c r="V184" i="2" s="1"/>
  <c r="W183" i="2"/>
  <c r="P183" i="2"/>
  <c r="N183" i="2"/>
  <c r="L183" i="2"/>
  <c r="X183" i="2" s="1"/>
  <c r="J183" i="2"/>
  <c r="V183" i="2" s="1"/>
  <c r="W182" i="2"/>
  <c r="P182" i="2"/>
  <c r="N182" i="2"/>
  <c r="L182" i="2"/>
  <c r="X182" i="2" s="1"/>
  <c r="J182" i="2"/>
  <c r="V182" i="2" s="1"/>
  <c r="W181" i="2"/>
  <c r="P181" i="2"/>
  <c r="N181" i="2"/>
  <c r="L181" i="2"/>
  <c r="X181" i="2" s="1"/>
  <c r="J181" i="2"/>
  <c r="V181" i="2" s="1"/>
  <c r="W180" i="2"/>
  <c r="P180" i="2"/>
  <c r="Y180" i="2" s="1"/>
  <c r="Z180" i="2" s="1"/>
  <c r="N180" i="2"/>
  <c r="L180" i="2"/>
  <c r="X180" i="2" s="1"/>
  <c r="J180" i="2"/>
  <c r="V180" i="2" s="1"/>
  <c r="W179" i="2"/>
  <c r="P179" i="2"/>
  <c r="N179" i="2"/>
  <c r="L179" i="2"/>
  <c r="X179" i="2" s="1"/>
  <c r="J179" i="2"/>
  <c r="V179" i="2" s="1"/>
  <c r="W178" i="2"/>
  <c r="V178" i="2"/>
  <c r="P178" i="2"/>
  <c r="N178" i="2"/>
  <c r="L178" i="2"/>
  <c r="X178" i="2" s="1"/>
  <c r="J178" i="2"/>
  <c r="X177" i="2"/>
  <c r="W177" i="2"/>
  <c r="V177" i="2"/>
  <c r="P177" i="2"/>
  <c r="Y177" i="2" s="1"/>
  <c r="Z177" i="2" s="1"/>
  <c r="N177" i="2"/>
  <c r="L177" i="2"/>
  <c r="J177" i="2"/>
  <c r="W176" i="2"/>
  <c r="V176" i="2"/>
  <c r="P176" i="2"/>
  <c r="N176" i="2"/>
  <c r="L176" i="2"/>
  <c r="J176" i="2"/>
  <c r="W175" i="2"/>
  <c r="V175" i="2"/>
  <c r="P175" i="2"/>
  <c r="Y175" i="2" s="1"/>
  <c r="Z175" i="2" s="1"/>
  <c r="N175" i="2"/>
  <c r="L175" i="2"/>
  <c r="X175" i="2" s="1"/>
  <c r="J175" i="2"/>
  <c r="W174" i="2"/>
  <c r="P174" i="2"/>
  <c r="Y174" i="2" s="1"/>
  <c r="Z174" i="2" s="1"/>
  <c r="N174" i="2"/>
  <c r="L174" i="2"/>
  <c r="X174" i="2" s="1"/>
  <c r="J174" i="2"/>
  <c r="V174" i="2" s="1"/>
  <c r="X173" i="2"/>
  <c r="W173" i="2"/>
  <c r="P173" i="2"/>
  <c r="Y173" i="2" s="1"/>
  <c r="Z173" i="2" s="1"/>
  <c r="N173" i="2"/>
  <c r="L173" i="2"/>
  <c r="J173" i="2"/>
  <c r="V173" i="2" s="1"/>
  <c r="W172" i="2"/>
  <c r="V172" i="2"/>
  <c r="P172" i="2"/>
  <c r="Y172" i="2" s="1"/>
  <c r="Z172" i="2" s="1"/>
  <c r="N172" i="2"/>
  <c r="L172" i="2"/>
  <c r="X172" i="2" s="1"/>
  <c r="J172" i="2"/>
  <c r="W171" i="2"/>
  <c r="V171" i="2"/>
  <c r="P171" i="2"/>
  <c r="N171" i="2"/>
  <c r="L171" i="2"/>
  <c r="X171" i="2" s="1"/>
  <c r="J171" i="2"/>
  <c r="W170" i="2"/>
  <c r="P170" i="2"/>
  <c r="N170" i="2"/>
  <c r="L170" i="2"/>
  <c r="X170" i="2" s="1"/>
  <c r="J170" i="2"/>
  <c r="V170" i="2" s="1"/>
  <c r="X169" i="2"/>
  <c r="W169" i="2"/>
  <c r="P169" i="2"/>
  <c r="Y169" i="2" s="1"/>
  <c r="Z169" i="2" s="1"/>
  <c r="N169" i="2"/>
  <c r="L169" i="2"/>
  <c r="J169" i="2"/>
  <c r="V169" i="2" s="1"/>
  <c r="W168" i="2"/>
  <c r="P168" i="2"/>
  <c r="N168" i="2"/>
  <c r="L168" i="2"/>
  <c r="X168" i="2" s="1"/>
  <c r="J168" i="2"/>
  <c r="V168" i="2" s="1"/>
  <c r="W167" i="2"/>
  <c r="P167" i="2"/>
  <c r="N167" i="2"/>
  <c r="L167" i="2"/>
  <c r="X167" i="2" s="1"/>
  <c r="J167" i="2"/>
  <c r="V167" i="2" s="1"/>
  <c r="W166" i="2"/>
  <c r="V166" i="2"/>
  <c r="P166" i="2"/>
  <c r="N166" i="2"/>
  <c r="L166" i="2"/>
  <c r="X166" i="2" s="1"/>
  <c r="J166" i="2"/>
  <c r="X165" i="2"/>
  <c r="W165" i="2"/>
  <c r="V165" i="2"/>
  <c r="P165" i="2"/>
  <c r="N165" i="2"/>
  <c r="L165" i="2"/>
  <c r="J165" i="2"/>
  <c r="W164" i="2"/>
  <c r="V164" i="2"/>
  <c r="P164" i="2"/>
  <c r="N164" i="2"/>
  <c r="L164" i="2"/>
  <c r="J164" i="2"/>
  <c r="X163" i="2"/>
  <c r="W163" i="2"/>
  <c r="V163" i="2"/>
  <c r="P163" i="2"/>
  <c r="Y163" i="2" s="1"/>
  <c r="Z163" i="2" s="1"/>
  <c r="N163" i="2"/>
  <c r="L163" i="2"/>
  <c r="J163" i="2"/>
  <c r="W162" i="2"/>
  <c r="V162" i="2"/>
  <c r="P162" i="2"/>
  <c r="Y162" i="2" s="1"/>
  <c r="Z162" i="2" s="1"/>
  <c r="N162" i="2"/>
  <c r="L162" i="2"/>
  <c r="X162" i="2" s="1"/>
  <c r="J162" i="2"/>
  <c r="X161" i="2"/>
  <c r="W161" i="2"/>
  <c r="V161" i="2"/>
  <c r="P161" i="2"/>
  <c r="Y161" i="2" s="1"/>
  <c r="Z161" i="2" s="1"/>
  <c r="N161" i="2"/>
  <c r="L161" i="2"/>
  <c r="J161" i="2"/>
  <c r="X160" i="2"/>
  <c r="W160" i="2"/>
  <c r="P160" i="2"/>
  <c r="Y160" i="2" s="1"/>
  <c r="Z160" i="2" s="1"/>
  <c r="N160" i="2"/>
  <c r="L160" i="2"/>
  <c r="J160" i="2"/>
  <c r="V160" i="2" s="1"/>
  <c r="W159" i="2"/>
  <c r="V159" i="2"/>
  <c r="P159" i="2"/>
  <c r="N159" i="2"/>
  <c r="L159" i="2"/>
  <c r="X159" i="2" s="1"/>
  <c r="J159" i="2"/>
  <c r="W158" i="2"/>
  <c r="P158" i="2"/>
  <c r="N158" i="2"/>
  <c r="L158" i="2"/>
  <c r="X158" i="2" s="1"/>
  <c r="J158" i="2"/>
  <c r="V158" i="2" s="1"/>
  <c r="W157" i="2"/>
  <c r="P157" i="2"/>
  <c r="Y157" i="2" s="1"/>
  <c r="Z157" i="2" s="1"/>
  <c r="N157" i="2"/>
  <c r="L157" i="2"/>
  <c r="X157" i="2" s="1"/>
  <c r="J157" i="2"/>
  <c r="V157" i="2" s="1"/>
  <c r="W156" i="2"/>
  <c r="P156" i="2"/>
  <c r="N156" i="2"/>
  <c r="L156" i="2"/>
  <c r="X156" i="2" s="1"/>
  <c r="J156" i="2"/>
  <c r="V156" i="2" s="1"/>
  <c r="W155" i="2"/>
  <c r="P155" i="2"/>
  <c r="N155" i="2"/>
  <c r="L155" i="2"/>
  <c r="X155" i="2" s="1"/>
  <c r="J155" i="2"/>
  <c r="V155" i="2" s="1"/>
  <c r="W154" i="2"/>
  <c r="V154" i="2"/>
  <c r="P154" i="2"/>
  <c r="N154" i="2"/>
  <c r="L154" i="2"/>
  <c r="X154" i="2" s="1"/>
  <c r="J154" i="2"/>
  <c r="X153" i="2"/>
  <c r="W153" i="2"/>
  <c r="V153" i="2"/>
  <c r="P153" i="2"/>
  <c r="N153" i="2"/>
  <c r="L153" i="2"/>
  <c r="J153" i="2"/>
  <c r="X152" i="2"/>
  <c r="W152" i="2"/>
  <c r="V152" i="2"/>
  <c r="P152" i="2"/>
  <c r="N152" i="2"/>
  <c r="L152" i="2"/>
  <c r="Y152" i="2" s="1"/>
  <c r="Z152" i="2" s="1"/>
  <c r="J152" i="2"/>
  <c r="Z151" i="2"/>
  <c r="X151" i="2"/>
  <c r="W151" i="2"/>
  <c r="P151" i="2"/>
  <c r="Y151" i="2" s="1"/>
  <c r="N151" i="2"/>
  <c r="L151" i="2"/>
  <c r="J151" i="2"/>
  <c r="V151" i="2" s="1"/>
  <c r="Z150" i="2"/>
  <c r="W150" i="2"/>
  <c r="P150" i="2"/>
  <c r="Y150" i="2" s="1"/>
  <c r="N150" i="2"/>
  <c r="L150" i="2"/>
  <c r="X150" i="2" s="1"/>
  <c r="J150" i="2"/>
  <c r="V150" i="2" s="1"/>
  <c r="X149" i="2"/>
  <c r="W149" i="2"/>
  <c r="P149" i="2"/>
  <c r="Y149" i="2" s="1"/>
  <c r="Z149" i="2" s="1"/>
  <c r="N149" i="2"/>
  <c r="L149" i="2"/>
  <c r="J149" i="2"/>
  <c r="V149" i="2" s="1"/>
  <c r="W148" i="2"/>
  <c r="P148" i="2"/>
  <c r="N148" i="2"/>
  <c r="L148" i="2"/>
  <c r="J148" i="2"/>
  <c r="V148" i="2" s="1"/>
  <c r="W147" i="2"/>
  <c r="V147" i="2"/>
  <c r="P147" i="2"/>
  <c r="N147" i="2"/>
  <c r="L147" i="2"/>
  <c r="X147" i="2" s="1"/>
  <c r="J147" i="2"/>
  <c r="W146" i="2"/>
  <c r="V146" i="2"/>
  <c r="P146" i="2"/>
  <c r="N146" i="2"/>
  <c r="L146" i="2"/>
  <c r="X146" i="2" s="1"/>
  <c r="J146" i="2"/>
  <c r="W145" i="2"/>
  <c r="V145" i="2"/>
  <c r="P145" i="2"/>
  <c r="Y145" i="2" s="1"/>
  <c r="Z145" i="2" s="1"/>
  <c r="N145" i="2"/>
  <c r="L145" i="2"/>
  <c r="X145" i="2" s="1"/>
  <c r="J145" i="2"/>
  <c r="W144" i="2"/>
  <c r="P144" i="2"/>
  <c r="N144" i="2"/>
  <c r="L144" i="2"/>
  <c r="J144" i="2"/>
  <c r="V144" i="2" s="1"/>
  <c r="W143" i="2"/>
  <c r="V143" i="2"/>
  <c r="P143" i="2"/>
  <c r="N143" i="2"/>
  <c r="L143" i="2"/>
  <c r="X143" i="2" s="1"/>
  <c r="J143" i="2"/>
  <c r="W142" i="2"/>
  <c r="P142" i="2"/>
  <c r="N142" i="2"/>
  <c r="L142" i="2"/>
  <c r="X142" i="2" s="1"/>
  <c r="J142" i="2"/>
  <c r="V142" i="2" s="1"/>
  <c r="W141" i="2"/>
  <c r="P141" i="2"/>
  <c r="N141" i="2"/>
  <c r="L141" i="2"/>
  <c r="X141" i="2" s="1"/>
  <c r="J141" i="2"/>
  <c r="V141" i="2" s="1"/>
  <c r="W140" i="2"/>
  <c r="V140" i="2"/>
  <c r="P140" i="2"/>
  <c r="N140" i="2"/>
  <c r="L140" i="2"/>
  <c r="Y140" i="2" s="1"/>
  <c r="Z140" i="2" s="1"/>
  <c r="J140" i="2"/>
  <c r="W139" i="2"/>
  <c r="V139" i="2"/>
  <c r="P139" i="2"/>
  <c r="N139" i="2"/>
  <c r="L139" i="2"/>
  <c r="X139" i="2" s="1"/>
  <c r="J139" i="2"/>
  <c r="W138" i="2"/>
  <c r="P138" i="2"/>
  <c r="N138" i="2"/>
  <c r="L138" i="2"/>
  <c r="X138" i="2" s="1"/>
  <c r="J138" i="2"/>
  <c r="V138" i="2" s="1"/>
  <c r="W137" i="2"/>
  <c r="P137" i="2"/>
  <c r="N137" i="2"/>
  <c r="L137" i="2"/>
  <c r="X137" i="2" s="1"/>
  <c r="J137" i="2"/>
  <c r="V137" i="2" s="1"/>
  <c r="W136" i="2"/>
  <c r="P136" i="2"/>
  <c r="N136" i="2"/>
  <c r="L136" i="2"/>
  <c r="X136" i="2" s="1"/>
  <c r="J136" i="2"/>
  <c r="V136" i="2" s="1"/>
  <c r="W135" i="2"/>
  <c r="P135" i="2"/>
  <c r="Y135" i="2" s="1"/>
  <c r="Z135" i="2" s="1"/>
  <c r="N135" i="2"/>
  <c r="L135" i="2"/>
  <c r="X135" i="2" s="1"/>
  <c r="J135" i="2"/>
  <c r="V135" i="2" s="1"/>
  <c r="W134" i="2"/>
  <c r="V134" i="2"/>
  <c r="P134" i="2"/>
  <c r="N134" i="2"/>
  <c r="L134" i="2"/>
  <c r="X134" i="2" s="1"/>
  <c r="J134" i="2"/>
  <c r="X133" i="2"/>
  <c r="W133" i="2"/>
  <c r="V133" i="2"/>
  <c r="P133" i="2"/>
  <c r="N133" i="2"/>
  <c r="L133" i="2"/>
  <c r="J133" i="2"/>
  <c r="W132" i="2"/>
  <c r="V132" i="2"/>
  <c r="P132" i="2"/>
  <c r="N132" i="2"/>
  <c r="L132" i="2"/>
  <c r="J132" i="2"/>
  <c r="W131" i="2"/>
  <c r="V131" i="2"/>
  <c r="P131" i="2"/>
  <c r="Y131" i="2" s="1"/>
  <c r="Z131" i="2" s="1"/>
  <c r="N131" i="2"/>
  <c r="L131" i="2"/>
  <c r="X131" i="2" s="1"/>
  <c r="J131" i="2"/>
  <c r="W130" i="2"/>
  <c r="V130" i="2"/>
  <c r="P130" i="2"/>
  <c r="Y130" i="2" s="1"/>
  <c r="Z130" i="2" s="1"/>
  <c r="N130" i="2"/>
  <c r="L130" i="2"/>
  <c r="X130" i="2" s="1"/>
  <c r="J130" i="2"/>
  <c r="X129" i="2"/>
  <c r="W129" i="2"/>
  <c r="V129" i="2"/>
  <c r="P129" i="2"/>
  <c r="Y129" i="2" s="1"/>
  <c r="Z129" i="2" s="1"/>
  <c r="N129" i="2"/>
  <c r="L129" i="2"/>
  <c r="J129" i="2"/>
  <c r="X128" i="2"/>
  <c r="W128" i="2"/>
  <c r="P128" i="2"/>
  <c r="Y128" i="2" s="1"/>
  <c r="Z128" i="2" s="1"/>
  <c r="N128" i="2"/>
  <c r="L128" i="2"/>
  <c r="J128" i="2"/>
  <c r="V128" i="2" s="1"/>
  <c r="W127" i="2"/>
  <c r="V127" i="2"/>
  <c r="P127" i="2"/>
  <c r="N127" i="2"/>
  <c r="L127" i="2"/>
  <c r="X127" i="2" s="1"/>
  <c r="J127" i="2"/>
  <c r="W126" i="2"/>
  <c r="P126" i="2"/>
  <c r="N126" i="2"/>
  <c r="L126" i="2"/>
  <c r="X126" i="2" s="1"/>
  <c r="J126" i="2"/>
  <c r="V126" i="2" s="1"/>
  <c r="W125" i="2"/>
  <c r="P125" i="2"/>
  <c r="Y125" i="2" s="1"/>
  <c r="Z125" i="2" s="1"/>
  <c r="N125" i="2"/>
  <c r="L125" i="2"/>
  <c r="X125" i="2" s="1"/>
  <c r="J125" i="2"/>
  <c r="V125" i="2" s="1"/>
  <c r="W124" i="2"/>
  <c r="P124" i="2"/>
  <c r="N124" i="2"/>
  <c r="L124" i="2"/>
  <c r="X124" i="2" s="1"/>
  <c r="J124" i="2"/>
  <c r="V124" i="2" s="1"/>
  <c r="W123" i="2"/>
  <c r="P123" i="2"/>
  <c r="N123" i="2"/>
  <c r="L123" i="2"/>
  <c r="X123" i="2" s="1"/>
  <c r="J123" i="2"/>
  <c r="V123" i="2" s="1"/>
  <c r="W122" i="2"/>
  <c r="V122" i="2"/>
  <c r="P122" i="2"/>
  <c r="N122" i="2"/>
  <c r="L122" i="2"/>
  <c r="X122" i="2" s="1"/>
  <c r="J122" i="2"/>
  <c r="X121" i="2"/>
  <c r="W121" i="2"/>
  <c r="V121" i="2"/>
  <c r="P121" i="2"/>
  <c r="N121" i="2"/>
  <c r="L121" i="2"/>
  <c r="J121" i="2"/>
  <c r="X120" i="2"/>
  <c r="W120" i="2"/>
  <c r="V120" i="2"/>
  <c r="P120" i="2"/>
  <c r="N120" i="2"/>
  <c r="L120" i="2"/>
  <c r="Y120" i="2" s="1"/>
  <c r="Z120" i="2" s="1"/>
  <c r="J120" i="2"/>
  <c r="Z119" i="2"/>
  <c r="X119" i="2"/>
  <c r="W119" i="2"/>
  <c r="P119" i="2"/>
  <c r="Y119" i="2" s="1"/>
  <c r="N119" i="2"/>
  <c r="L119" i="2"/>
  <c r="J119" i="2"/>
  <c r="V119" i="2" s="1"/>
  <c r="Z118" i="2"/>
  <c r="W118" i="2"/>
  <c r="P118" i="2"/>
  <c r="Y118" i="2" s="1"/>
  <c r="N118" i="2"/>
  <c r="L118" i="2"/>
  <c r="X118" i="2" s="1"/>
  <c r="J118" i="2"/>
  <c r="V118" i="2" s="1"/>
  <c r="X117" i="2"/>
  <c r="W117" i="2"/>
  <c r="P117" i="2"/>
  <c r="Y117" i="2" s="1"/>
  <c r="Z117" i="2" s="1"/>
  <c r="N117" i="2"/>
  <c r="L117" i="2"/>
  <c r="J117" i="2"/>
  <c r="V117" i="2" s="1"/>
  <c r="W116" i="2"/>
  <c r="P116" i="2"/>
  <c r="N116" i="2"/>
  <c r="L116" i="2"/>
  <c r="X116" i="2" s="1"/>
  <c r="J116" i="2"/>
  <c r="V116" i="2" s="1"/>
  <c r="W115" i="2"/>
  <c r="V115" i="2"/>
  <c r="P115" i="2"/>
  <c r="N115" i="2"/>
  <c r="L115" i="2"/>
  <c r="X115" i="2" s="1"/>
  <c r="J115" i="2"/>
  <c r="W114" i="2"/>
  <c r="V114" i="2"/>
  <c r="P114" i="2"/>
  <c r="N114" i="2"/>
  <c r="L114" i="2"/>
  <c r="X114" i="2" s="1"/>
  <c r="J114" i="2"/>
  <c r="X113" i="2"/>
  <c r="W113" i="2"/>
  <c r="V113" i="2"/>
  <c r="P113" i="2"/>
  <c r="Y113" i="2" s="1"/>
  <c r="Z113" i="2" s="1"/>
  <c r="N113" i="2"/>
  <c r="L113" i="2"/>
  <c r="J113" i="2"/>
  <c r="W112" i="2"/>
  <c r="P112" i="2"/>
  <c r="N112" i="2"/>
  <c r="L112" i="2"/>
  <c r="J112" i="2"/>
  <c r="V112" i="2" s="1"/>
  <c r="W111" i="2"/>
  <c r="V111" i="2"/>
  <c r="P111" i="2"/>
  <c r="N111" i="2"/>
  <c r="L111" i="2"/>
  <c r="X111" i="2" s="1"/>
  <c r="J111" i="2"/>
  <c r="W110" i="2"/>
  <c r="P110" i="2"/>
  <c r="N110" i="2"/>
  <c r="L110" i="2"/>
  <c r="X110" i="2" s="1"/>
  <c r="J110" i="2"/>
  <c r="V110" i="2" s="1"/>
  <c r="W109" i="2"/>
  <c r="P109" i="2"/>
  <c r="Y109" i="2" s="1"/>
  <c r="Z109" i="2" s="1"/>
  <c r="N109" i="2"/>
  <c r="L109" i="2"/>
  <c r="X109" i="2" s="1"/>
  <c r="J109" i="2"/>
  <c r="V109" i="2" s="1"/>
  <c r="X108" i="2"/>
  <c r="W108" i="2"/>
  <c r="P108" i="2"/>
  <c r="Y108" i="2" s="1"/>
  <c r="Z108" i="2" s="1"/>
  <c r="N108" i="2"/>
  <c r="L108" i="2"/>
  <c r="J108" i="2"/>
  <c r="V108" i="2" s="1"/>
  <c r="X107" i="2"/>
  <c r="W107" i="2"/>
  <c r="P107" i="2"/>
  <c r="N107" i="2"/>
  <c r="L107" i="2"/>
  <c r="J107" i="2"/>
  <c r="V107" i="2" s="1"/>
  <c r="W106" i="2"/>
  <c r="V106" i="2"/>
  <c r="P106" i="2"/>
  <c r="N106" i="2"/>
  <c r="L106" i="2"/>
  <c r="X106" i="2" s="1"/>
  <c r="J106" i="2"/>
  <c r="W105" i="2"/>
  <c r="V105" i="2"/>
  <c r="P105" i="2"/>
  <c r="N105" i="2"/>
  <c r="L105" i="2"/>
  <c r="X105" i="2" s="1"/>
  <c r="J105" i="2"/>
  <c r="W104" i="2"/>
  <c r="P104" i="2"/>
  <c r="N104" i="2"/>
  <c r="L104" i="2"/>
  <c r="X104" i="2" s="1"/>
  <c r="J104" i="2"/>
  <c r="V104" i="2" s="1"/>
  <c r="W103" i="2"/>
  <c r="P103" i="2"/>
  <c r="Y103" i="2" s="1"/>
  <c r="Z103" i="2" s="1"/>
  <c r="N103" i="2"/>
  <c r="L103" i="2"/>
  <c r="X103" i="2" s="1"/>
  <c r="J103" i="2"/>
  <c r="V103" i="2" s="1"/>
  <c r="W102" i="2"/>
  <c r="V102" i="2"/>
  <c r="P102" i="2"/>
  <c r="N102" i="2"/>
  <c r="L102" i="2"/>
  <c r="X102" i="2" s="1"/>
  <c r="J102" i="2"/>
  <c r="W101" i="2"/>
  <c r="V101" i="2"/>
  <c r="P101" i="2"/>
  <c r="N101" i="2"/>
  <c r="L101" i="2"/>
  <c r="X101" i="2" s="1"/>
  <c r="J101" i="2"/>
  <c r="W100" i="2"/>
  <c r="P100" i="2"/>
  <c r="N100" i="2"/>
  <c r="L100" i="2"/>
  <c r="X100" i="2" s="1"/>
  <c r="J100" i="2"/>
  <c r="V100" i="2" s="1"/>
  <c r="W99" i="2"/>
  <c r="P99" i="2"/>
  <c r="N99" i="2"/>
  <c r="L99" i="2"/>
  <c r="X99" i="2" s="1"/>
  <c r="J99" i="2"/>
  <c r="V99" i="2" s="1"/>
  <c r="W98" i="2"/>
  <c r="V98" i="2"/>
  <c r="P98" i="2"/>
  <c r="N98" i="2"/>
  <c r="L98" i="2"/>
  <c r="X98" i="2" s="1"/>
  <c r="J98" i="2"/>
  <c r="W97" i="2"/>
  <c r="V97" i="2"/>
  <c r="P97" i="2"/>
  <c r="N97" i="2"/>
  <c r="L97" i="2"/>
  <c r="X97" i="2" s="1"/>
  <c r="J97" i="2"/>
  <c r="W96" i="2"/>
  <c r="V96" i="2"/>
  <c r="P96" i="2"/>
  <c r="Y96" i="2" s="1"/>
  <c r="Z96" i="2" s="1"/>
  <c r="N96" i="2"/>
  <c r="L96" i="2"/>
  <c r="X96" i="2" s="1"/>
  <c r="J96" i="2"/>
  <c r="X95" i="2"/>
  <c r="W95" i="2"/>
  <c r="V95" i="2"/>
  <c r="P95" i="2"/>
  <c r="Y95" i="2" s="1"/>
  <c r="Z95" i="2" s="1"/>
  <c r="N95" i="2"/>
  <c r="L95" i="2"/>
  <c r="J95" i="2"/>
  <c r="W94" i="2"/>
  <c r="V94" i="2"/>
  <c r="P94" i="2"/>
  <c r="Y94" i="2" s="1"/>
  <c r="Z94" i="2" s="1"/>
  <c r="N94" i="2"/>
  <c r="L94" i="2"/>
  <c r="X94" i="2" s="1"/>
  <c r="J94" i="2"/>
  <c r="W93" i="2"/>
  <c r="V93" i="2"/>
  <c r="P93" i="2"/>
  <c r="N93" i="2"/>
  <c r="L93" i="2"/>
  <c r="X93" i="2" s="1"/>
  <c r="J93" i="2"/>
  <c r="W92" i="2"/>
  <c r="P92" i="2"/>
  <c r="N92" i="2"/>
  <c r="L92" i="2"/>
  <c r="X92" i="2" s="1"/>
  <c r="J92" i="2"/>
  <c r="V92" i="2" s="1"/>
  <c r="W91" i="2"/>
  <c r="V91" i="2"/>
  <c r="P91" i="2"/>
  <c r="N91" i="2"/>
  <c r="L91" i="2"/>
  <c r="X91" i="2" s="1"/>
  <c r="J91" i="2"/>
  <c r="W90" i="2"/>
  <c r="P90" i="2"/>
  <c r="N90" i="2"/>
  <c r="L90" i="2"/>
  <c r="X90" i="2" s="1"/>
  <c r="J90" i="2"/>
  <c r="V90" i="2" s="1"/>
  <c r="W89" i="2"/>
  <c r="P89" i="2"/>
  <c r="Y89" i="2" s="1"/>
  <c r="Z89" i="2" s="1"/>
  <c r="N89" i="2"/>
  <c r="L89" i="2"/>
  <c r="X89" i="2" s="1"/>
  <c r="J89" i="2"/>
  <c r="V89" i="2" s="1"/>
  <c r="Y88" i="2"/>
  <c r="Z88" i="2" s="1"/>
  <c r="X88" i="2"/>
  <c r="W88" i="2"/>
  <c r="P88" i="2"/>
  <c r="N88" i="2"/>
  <c r="L88" i="2"/>
  <c r="J88" i="2"/>
  <c r="V88" i="2" s="1"/>
  <c r="X87" i="2"/>
  <c r="W87" i="2"/>
  <c r="P87" i="2"/>
  <c r="N87" i="2"/>
  <c r="L87" i="2"/>
  <c r="J87" i="2"/>
  <c r="V87" i="2" s="1"/>
  <c r="W86" i="2"/>
  <c r="V86" i="2"/>
  <c r="P86" i="2"/>
  <c r="N86" i="2"/>
  <c r="L86" i="2"/>
  <c r="X86" i="2" s="1"/>
  <c r="J86" i="2"/>
  <c r="W85" i="2"/>
  <c r="V85" i="2"/>
  <c r="P85" i="2"/>
  <c r="N85" i="2"/>
  <c r="L85" i="2"/>
  <c r="X85" i="2" s="1"/>
  <c r="J85" i="2"/>
  <c r="W84" i="2"/>
  <c r="V84" i="2"/>
  <c r="P84" i="2"/>
  <c r="Y84" i="2" s="1"/>
  <c r="Z84" i="2" s="1"/>
  <c r="N84" i="2"/>
  <c r="L84" i="2"/>
  <c r="X84" i="2" s="1"/>
  <c r="J84" i="2"/>
  <c r="W83" i="2"/>
  <c r="V83" i="2"/>
  <c r="P83" i="2"/>
  <c r="Y83" i="2" s="1"/>
  <c r="Z83" i="2" s="1"/>
  <c r="N83" i="2"/>
  <c r="L83" i="2"/>
  <c r="X83" i="2" s="1"/>
  <c r="J83" i="2"/>
  <c r="W82" i="2"/>
  <c r="V82" i="2"/>
  <c r="P82" i="2"/>
  <c r="Y82" i="2" s="1"/>
  <c r="Z82" i="2" s="1"/>
  <c r="N82" i="2"/>
  <c r="L82" i="2"/>
  <c r="X82" i="2" s="1"/>
  <c r="J82" i="2"/>
  <c r="Z81" i="2"/>
  <c r="X81" i="2"/>
  <c r="W81" i="2"/>
  <c r="V81" i="2"/>
  <c r="P81" i="2"/>
  <c r="Y81" i="2" s="1"/>
  <c r="N81" i="2"/>
  <c r="L81" i="2"/>
  <c r="J81" i="2"/>
  <c r="W80" i="2"/>
  <c r="P80" i="2"/>
  <c r="N80" i="2"/>
  <c r="L80" i="2"/>
  <c r="J80" i="2"/>
  <c r="V80" i="2" s="1"/>
  <c r="W79" i="2"/>
  <c r="V79" i="2"/>
  <c r="P79" i="2"/>
  <c r="N79" i="2"/>
  <c r="L79" i="2"/>
  <c r="X79" i="2" s="1"/>
  <c r="J79" i="2"/>
  <c r="W78" i="2"/>
  <c r="P78" i="2"/>
  <c r="N78" i="2"/>
  <c r="L78" i="2"/>
  <c r="X78" i="2" s="1"/>
  <c r="J78" i="2"/>
  <c r="V78" i="2" s="1"/>
  <c r="W77" i="2"/>
  <c r="P77" i="2"/>
  <c r="Y77" i="2" s="1"/>
  <c r="Z77" i="2" s="1"/>
  <c r="N77" i="2"/>
  <c r="L77" i="2"/>
  <c r="X77" i="2" s="1"/>
  <c r="J77" i="2"/>
  <c r="V77" i="2" s="1"/>
  <c r="X76" i="2"/>
  <c r="W76" i="2"/>
  <c r="P76" i="2"/>
  <c r="Y76" i="2" s="1"/>
  <c r="Z76" i="2" s="1"/>
  <c r="N76" i="2"/>
  <c r="L76" i="2"/>
  <c r="J76" i="2"/>
  <c r="V76" i="2" s="1"/>
  <c r="W75" i="2"/>
  <c r="P75" i="2"/>
  <c r="N75" i="2"/>
  <c r="L75" i="2"/>
  <c r="X75" i="2" s="1"/>
  <c r="J75" i="2"/>
  <c r="V75" i="2" s="1"/>
  <c r="W74" i="2"/>
  <c r="P74" i="2"/>
  <c r="N74" i="2"/>
  <c r="L74" i="2"/>
  <c r="X74" i="2" s="1"/>
  <c r="J74" i="2"/>
  <c r="V74" i="2" s="1"/>
  <c r="W73" i="2"/>
  <c r="V73" i="2"/>
  <c r="P73" i="2"/>
  <c r="N73" i="2"/>
  <c r="L73" i="2"/>
  <c r="X73" i="2" s="1"/>
  <c r="J73" i="2"/>
  <c r="W72" i="2"/>
  <c r="P72" i="2"/>
  <c r="N72" i="2"/>
  <c r="L72" i="2"/>
  <c r="X72" i="2" s="1"/>
  <c r="J72" i="2"/>
  <c r="V72" i="2" s="1"/>
  <c r="W71" i="2"/>
  <c r="V71" i="2"/>
  <c r="P71" i="2"/>
  <c r="Y71" i="2" s="1"/>
  <c r="Z71" i="2" s="1"/>
  <c r="N71" i="2"/>
  <c r="L71" i="2"/>
  <c r="X71" i="2" s="1"/>
  <c r="J71" i="2"/>
  <c r="W70" i="2"/>
  <c r="P70" i="2"/>
  <c r="Y70" i="2" s="1"/>
  <c r="Z70" i="2" s="1"/>
  <c r="N70" i="2"/>
  <c r="L70" i="2"/>
  <c r="X70" i="2" s="1"/>
  <c r="J70" i="2"/>
  <c r="V70" i="2" s="1"/>
  <c r="W69" i="2"/>
  <c r="P69" i="2"/>
  <c r="Y69" i="2" s="1"/>
  <c r="Z69" i="2" s="1"/>
  <c r="N69" i="2"/>
  <c r="L69" i="2"/>
  <c r="X69" i="2" s="1"/>
  <c r="J69" i="2"/>
  <c r="V69" i="2" s="1"/>
  <c r="W68" i="2"/>
  <c r="P68" i="2"/>
  <c r="Y68" i="2" s="1"/>
  <c r="Z68" i="2" s="1"/>
  <c r="N68" i="2"/>
  <c r="L68" i="2"/>
  <c r="X68" i="2" s="1"/>
  <c r="J68" i="2"/>
  <c r="V68" i="2" s="1"/>
  <c r="W67" i="2"/>
  <c r="P67" i="2"/>
  <c r="N67" i="2"/>
  <c r="L67" i="2"/>
  <c r="X67" i="2" s="1"/>
  <c r="J67" i="2"/>
  <c r="V67" i="2" s="1"/>
  <c r="W66" i="2"/>
  <c r="P66" i="2"/>
  <c r="N66" i="2"/>
  <c r="L66" i="2"/>
  <c r="X66" i="2" s="1"/>
  <c r="J66" i="2"/>
  <c r="V66" i="2" s="1"/>
  <c r="W65" i="2"/>
  <c r="P65" i="2"/>
  <c r="Y65" i="2" s="1"/>
  <c r="Z65" i="2" s="1"/>
  <c r="N65" i="2"/>
  <c r="L65" i="2"/>
  <c r="X65" i="2" s="1"/>
  <c r="J65" i="2"/>
  <c r="V65" i="2" s="1"/>
  <c r="W64" i="2"/>
  <c r="V64" i="2"/>
  <c r="P64" i="2"/>
  <c r="N64" i="2"/>
  <c r="L64" i="2"/>
  <c r="X64" i="2" s="1"/>
  <c r="J64" i="2"/>
  <c r="X63" i="2"/>
  <c r="W63" i="2"/>
  <c r="V63" i="2"/>
  <c r="P63" i="2"/>
  <c r="N63" i="2"/>
  <c r="L63" i="2"/>
  <c r="J63" i="2"/>
  <c r="X62" i="2"/>
  <c r="W62" i="2"/>
  <c r="V62" i="2"/>
  <c r="P62" i="2"/>
  <c r="N62" i="2"/>
  <c r="L62" i="2"/>
  <c r="J62" i="2"/>
  <c r="W61" i="2"/>
  <c r="V61" i="2"/>
  <c r="P61" i="2"/>
  <c r="N61" i="2"/>
  <c r="L61" i="2"/>
  <c r="X61" i="2" s="1"/>
  <c r="J61" i="2"/>
  <c r="X60" i="2"/>
  <c r="W60" i="2"/>
  <c r="P60" i="2"/>
  <c r="N60" i="2"/>
  <c r="L60" i="2"/>
  <c r="J60" i="2"/>
  <c r="V60" i="2" s="1"/>
  <c r="X59" i="2"/>
  <c r="W59" i="2"/>
  <c r="V59" i="2"/>
  <c r="P59" i="2"/>
  <c r="Y59" i="2" s="1"/>
  <c r="Z59" i="2" s="1"/>
  <c r="N59" i="2"/>
  <c r="L59" i="2"/>
  <c r="J59" i="2"/>
  <c r="W58" i="2"/>
  <c r="V58" i="2"/>
  <c r="P58" i="2"/>
  <c r="Y58" i="2" s="1"/>
  <c r="Z58" i="2" s="1"/>
  <c r="N58" i="2"/>
  <c r="L58" i="2"/>
  <c r="X58" i="2" s="1"/>
  <c r="J58" i="2"/>
  <c r="W57" i="2"/>
  <c r="V57" i="2"/>
  <c r="P57" i="2"/>
  <c r="Y57" i="2" s="1"/>
  <c r="Z57" i="2" s="1"/>
  <c r="N57" i="2"/>
  <c r="L57" i="2"/>
  <c r="X57" i="2" s="1"/>
  <c r="J57" i="2"/>
  <c r="W56" i="2"/>
  <c r="P56" i="2"/>
  <c r="Y56" i="2" s="1"/>
  <c r="Z56" i="2" s="1"/>
  <c r="N56" i="2"/>
  <c r="L56" i="2"/>
  <c r="X56" i="2" s="1"/>
  <c r="J56" i="2"/>
  <c r="V56" i="2" s="1"/>
  <c r="W55" i="2"/>
  <c r="P55" i="2"/>
  <c r="N55" i="2"/>
  <c r="L55" i="2"/>
  <c r="X55" i="2" s="1"/>
  <c r="J55" i="2"/>
  <c r="V55" i="2" s="1"/>
  <c r="W54" i="2"/>
  <c r="V54" i="2"/>
  <c r="P54" i="2"/>
  <c r="N54" i="2"/>
  <c r="L54" i="2"/>
  <c r="X54" i="2" s="1"/>
  <c r="J54" i="2"/>
  <c r="W53" i="2"/>
  <c r="P53" i="2"/>
  <c r="Y53" i="2" s="1"/>
  <c r="Z53" i="2" s="1"/>
  <c r="N53" i="2"/>
  <c r="L53" i="2"/>
  <c r="X53" i="2" s="1"/>
  <c r="J53" i="2"/>
  <c r="V53" i="2" s="1"/>
  <c r="X52" i="2"/>
  <c r="W52" i="2"/>
  <c r="P52" i="2"/>
  <c r="Y52" i="2" s="1"/>
  <c r="Z52" i="2" s="1"/>
  <c r="N52" i="2"/>
  <c r="L52" i="2"/>
  <c r="J52" i="2"/>
  <c r="V52" i="2" s="1"/>
  <c r="X51" i="2"/>
  <c r="W51" i="2"/>
  <c r="P51" i="2"/>
  <c r="Y51" i="2" s="1"/>
  <c r="Z51" i="2" s="1"/>
  <c r="N51" i="2"/>
  <c r="L51" i="2"/>
  <c r="J51" i="2"/>
  <c r="V51" i="2" s="1"/>
  <c r="W50" i="2"/>
  <c r="V50" i="2"/>
  <c r="P50" i="2"/>
  <c r="N50" i="2"/>
  <c r="L50" i="2"/>
  <c r="X50" i="2" s="1"/>
  <c r="J50" i="2"/>
  <c r="X49" i="2"/>
  <c r="W49" i="2"/>
  <c r="P49" i="2"/>
  <c r="N49" i="2"/>
  <c r="L49" i="2"/>
  <c r="J49" i="2"/>
  <c r="V49" i="2" s="1"/>
  <c r="W48" i="2"/>
  <c r="P48" i="2"/>
  <c r="Y48" i="2" s="1"/>
  <c r="Z48" i="2" s="1"/>
  <c r="N48" i="2"/>
  <c r="L48" i="2"/>
  <c r="X48" i="2" s="1"/>
  <c r="J48" i="2"/>
  <c r="V48" i="2" s="1"/>
  <c r="W47" i="2"/>
  <c r="V47" i="2"/>
  <c r="P47" i="2"/>
  <c r="Y47" i="2" s="1"/>
  <c r="Z47" i="2" s="1"/>
  <c r="N47" i="2"/>
  <c r="L47" i="2"/>
  <c r="X47" i="2" s="1"/>
  <c r="J47" i="2"/>
  <c r="W46" i="2"/>
  <c r="V46" i="2"/>
  <c r="P46" i="2"/>
  <c r="Y46" i="2" s="1"/>
  <c r="Z46" i="2" s="1"/>
  <c r="N46" i="2"/>
  <c r="L46" i="2"/>
  <c r="X46" i="2" s="1"/>
  <c r="J46" i="2"/>
  <c r="W45" i="2"/>
  <c r="P45" i="2"/>
  <c r="Y45" i="2" s="1"/>
  <c r="Z45" i="2" s="1"/>
  <c r="N45" i="2"/>
  <c r="L45" i="2"/>
  <c r="X45" i="2" s="1"/>
  <c r="J45" i="2"/>
  <c r="V45" i="2" s="1"/>
  <c r="W44" i="2"/>
  <c r="P44" i="2"/>
  <c r="N44" i="2"/>
  <c r="L44" i="2"/>
  <c r="X44" i="2" s="1"/>
  <c r="J44" i="2"/>
  <c r="V44" i="2" s="1"/>
  <c r="W43" i="2"/>
  <c r="P43" i="2"/>
  <c r="N43" i="2"/>
  <c r="L43" i="2"/>
  <c r="X43" i="2" s="1"/>
  <c r="J43" i="2"/>
  <c r="V43" i="2" s="1"/>
  <c r="W42" i="2"/>
  <c r="P42" i="2"/>
  <c r="N42" i="2"/>
  <c r="L42" i="2"/>
  <c r="X42" i="2" s="1"/>
  <c r="J42" i="2"/>
  <c r="V42" i="2" s="1"/>
  <c r="X41" i="2"/>
  <c r="W41" i="2"/>
  <c r="P41" i="2"/>
  <c r="Y41" i="2" s="1"/>
  <c r="Z41" i="2" s="1"/>
  <c r="N41" i="2"/>
  <c r="L41" i="2"/>
  <c r="J41" i="2"/>
  <c r="V41" i="2" s="1"/>
  <c r="W40" i="2"/>
  <c r="V40" i="2"/>
  <c r="P40" i="2"/>
  <c r="N40" i="2"/>
  <c r="L40" i="2"/>
  <c r="Y40" i="2" s="1"/>
  <c r="Z40" i="2" s="1"/>
  <c r="J40" i="2"/>
  <c r="W39" i="2"/>
  <c r="V39" i="2"/>
  <c r="P39" i="2"/>
  <c r="N39" i="2"/>
  <c r="L39" i="2"/>
  <c r="X39" i="2" s="1"/>
  <c r="J39" i="2"/>
  <c r="W38" i="2"/>
  <c r="V38" i="2"/>
  <c r="P38" i="2"/>
  <c r="N38" i="2"/>
  <c r="L38" i="2"/>
  <c r="X38" i="2" s="1"/>
  <c r="J38" i="2"/>
  <c r="W37" i="2"/>
  <c r="P37" i="2"/>
  <c r="Y37" i="2" s="1"/>
  <c r="Z37" i="2" s="1"/>
  <c r="N37" i="2"/>
  <c r="L37" i="2"/>
  <c r="X37" i="2" s="1"/>
  <c r="J37" i="2"/>
  <c r="V37" i="2" s="1"/>
  <c r="X36" i="2"/>
  <c r="W36" i="2"/>
  <c r="V36" i="2"/>
  <c r="P36" i="2"/>
  <c r="Y36" i="2" s="1"/>
  <c r="Z36" i="2" s="1"/>
  <c r="N36" i="2"/>
  <c r="L36" i="2"/>
  <c r="J36" i="2"/>
  <c r="W35" i="2"/>
  <c r="V35" i="2"/>
  <c r="P35" i="2"/>
  <c r="N35" i="2"/>
  <c r="L35" i="2"/>
  <c r="X35" i="2" s="1"/>
  <c r="J35" i="2"/>
  <c r="W34" i="2"/>
  <c r="V34" i="2"/>
  <c r="P34" i="2"/>
  <c r="N34" i="2"/>
  <c r="L34" i="2"/>
  <c r="X34" i="2" s="1"/>
  <c r="J34" i="2"/>
  <c r="W33" i="2"/>
  <c r="P33" i="2"/>
  <c r="N33" i="2"/>
  <c r="L33" i="2"/>
  <c r="X33" i="2" s="1"/>
  <c r="J33" i="2"/>
  <c r="V33" i="2" s="1"/>
  <c r="W32" i="2"/>
  <c r="P32" i="2"/>
  <c r="N32" i="2"/>
  <c r="L32" i="2"/>
  <c r="X32" i="2" s="1"/>
  <c r="J32" i="2"/>
  <c r="V32" i="2" s="1"/>
  <c r="W31" i="2"/>
  <c r="P31" i="2"/>
  <c r="N31" i="2"/>
  <c r="L31" i="2"/>
  <c r="X31" i="2" s="1"/>
  <c r="J31" i="2"/>
  <c r="V31" i="2" s="1"/>
  <c r="X30" i="2"/>
  <c r="W30" i="2"/>
  <c r="P30" i="2"/>
  <c r="Y30" i="2" s="1"/>
  <c r="Z30" i="2" s="1"/>
  <c r="N30" i="2"/>
  <c r="L30" i="2"/>
  <c r="J30" i="2"/>
  <c r="V30" i="2" s="1"/>
  <c r="W29" i="2"/>
  <c r="V29" i="2"/>
  <c r="P29" i="2"/>
  <c r="N29" i="2"/>
  <c r="L29" i="2"/>
  <c r="Y29" i="2" s="1"/>
  <c r="Z29" i="2" s="1"/>
  <c r="J29" i="2"/>
  <c r="X28" i="2"/>
  <c r="W28" i="2"/>
  <c r="P28" i="2"/>
  <c r="N28" i="2"/>
  <c r="L28" i="2"/>
  <c r="Y28" i="2" s="1"/>
  <c r="Z28" i="2" s="1"/>
  <c r="J28" i="2"/>
  <c r="V28" i="2" s="1"/>
  <c r="W27" i="2"/>
  <c r="V27" i="2"/>
  <c r="P27" i="2"/>
  <c r="N27" i="2"/>
  <c r="L27" i="2"/>
  <c r="X27" i="2" s="1"/>
  <c r="J27" i="2"/>
  <c r="W26" i="2"/>
  <c r="V26" i="2"/>
  <c r="P26" i="2"/>
  <c r="Y26" i="2" s="1"/>
  <c r="Z26" i="2" s="1"/>
  <c r="N26" i="2"/>
  <c r="L26" i="2"/>
  <c r="X26" i="2" s="1"/>
  <c r="J26" i="2"/>
  <c r="X25" i="2"/>
  <c r="W25" i="2"/>
  <c r="V25" i="2"/>
  <c r="P25" i="2"/>
  <c r="Y25" i="2" s="1"/>
  <c r="Z25" i="2" s="1"/>
  <c r="N25" i="2"/>
  <c r="L25" i="2"/>
  <c r="J25" i="2"/>
  <c r="X24" i="2"/>
  <c r="W24" i="2"/>
  <c r="P24" i="2"/>
  <c r="Y24" i="2" s="1"/>
  <c r="Z24" i="2" s="1"/>
  <c r="N24" i="2"/>
  <c r="L24" i="2"/>
  <c r="J24" i="2"/>
  <c r="V24" i="2" s="1"/>
  <c r="W23" i="2"/>
  <c r="V23" i="2"/>
  <c r="P23" i="2"/>
  <c r="N23" i="2"/>
  <c r="L23" i="2"/>
  <c r="X23" i="2" s="1"/>
  <c r="J23" i="2"/>
  <c r="W22" i="2"/>
  <c r="P22" i="2"/>
  <c r="N22" i="2"/>
  <c r="L22" i="2"/>
  <c r="X22" i="2" s="1"/>
  <c r="J22" i="2"/>
  <c r="V22" i="2" s="1"/>
  <c r="W21" i="2"/>
  <c r="V21" i="2"/>
  <c r="P21" i="2"/>
  <c r="N21" i="2"/>
  <c r="L21" i="2"/>
  <c r="X21" i="2" s="1"/>
  <c r="J21" i="2"/>
  <c r="W20" i="2"/>
  <c r="V20" i="2"/>
  <c r="P20" i="2"/>
  <c r="N20" i="2"/>
  <c r="L20" i="2"/>
  <c r="X20" i="2" s="1"/>
  <c r="J20" i="2"/>
  <c r="W19" i="2"/>
  <c r="P19" i="2"/>
  <c r="Y19" i="2" s="1"/>
  <c r="Z19" i="2" s="1"/>
  <c r="N19" i="2"/>
  <c r="L19" i="2"/>
  <c r="X19" i="2" s="1"/>
  <c r="J19" i="2"/>
  <c r="V19" i="2" s="1"/>
  <c r="W18" i="2"/>
  <c r="P18" i="2"/>
  <c r="N18" i="2"/>
  <c r="L18" i="2"/>
  <c r="X18" i="2" s="1"/>
  <c r="J18" i="2"/>
  <c r="V18" i="2" s="1"/>
  <c r="W17" i="2"/>
  <c r="V17" i="2"/>
  <c r="P17" i="2"/>
  <c r="N17" i="2"/>
  <c r="L17" i="2"/>
  <c r="X17" i="2" s="1"/>
  <c r="J17" i="2"/>
  <c r="W16" i="2"/>
  <c r="P16" i="2"/>
  <c r="N16" i="2"/>
  <c r="L16" i="2"/>
  <c r="X16" i="2" s="1"/>
  <c r="J16" i="2"/>
  <c r="V16" i="2" s="1"/>
  <c r="W15" i="2"/>
  <c r="P15" i="2"/>
  <c r="N15" i="2"/>
  <c r="L15" i="2"/>
  <c r="X15" i="2" s="1"/>
  <c r="J15" i="2"/>
  <c r="V15" i="2" s="1"/>
  <c r="X14" i="2"/>
  <c r="W14" i="2"/>
  <c r="P14" i="2"/>
  <c r="Y14" i="2" s="1"/>
  <c r="Z14" i="2" s="1"/>
  <c r="N14" i="2"/>
  <c r="L14" i="2"/>
  <c r="J14" i="2"/>
  <c r="V14" i="2" s="1"/>
  <c r="Y13" i="2"/>
  <c r="Z13" i="2" s="1"/>
  <c r="X13" i="2"/>
  <c r="W13" i="2"/>
  <c r="P13" i="2"/>
  <c r="N13" i="2"/>
  <c r="L13" i="2"/>
  <c r="J13" i="2"/>
  <c r="V13" i="2" s="1"/>
  <c r="W12" i="2"/>
  <c r="V12" i="2"/>
  <c r="P12" i="2"/>
  <c r="N12" i="2"/>
  <c r="L12" i="2"/>
  <c r="X12" i="2" s="1"/>
  <c r="J12" i="2"/>
  <c r="X11" i="2"/>
  <c r="W11" i="2"/>
  <c r="V11" i="2"/>
  <c r="P11" i="2"/>
  <c r="N11" i="2"/>
  <c r="L11" i="2"/>
  <c r="J11" i="2"/>
  <c r="W10" i="2"/>
  <c r="V10" i="2"/>
  <c r="P10" i="2"/>
  <c r="N10" i="2"/>
  <c r="L10" i="2"/>
  <c r="X10" i="2" s="1"/>
  <c r="J10" i="2"/>
  <c r="W9" i="2"/>
  <c r="V9" i="2"/>
  <c r="P9" i="2"/>
  <c r="N9" i="2"/>
  <c r="L9" i="2"/>
  <c r="X9" i="2" s="1"/>
  <c r="J9" i="2"/>
  <c r="X8" i="2"/>
  <c r="W8" i="2"/>
  <c r="P8" i="2"/>
  <c r="Y8" i="2" s="1"/>
  <c r="Z8" i="2" s="1"/>
  <c r="N8" i="2"/>
  <c r="L8" i="2"/>
  <c r="J8" i="2"/>
  <c r="V8" i="2" s="1"/>
  <c r="W7" i="2"/>
  <c r="V7" i="2"/>
  <c r="P7" i="2"/>
  <c r="N7" i="2"/>
  <c r="L7" i="2"/>
  <c r="X7" i="2" s="1"/>
  <c r="J7" i="2"/>
  <c r="W6" i="2"/>
  <c r="V6" i="2"/>
  <c r="P6" i="2"/>
  <c r="N6" i="2"/>
  <c r="L6" i="2"/>
  <c r="X6" i="2" s="1"/>
  <c r="J6" i="2"/>
  <c r="W5" i="2"/>
  <c r="P5" i="2"/>
  <c r="Y5" i="2" s="1"/>
  <c r="Z5" i="2" s="1"/>
  <c r="N5" i="2"/>
  <c r="L5" i="2"/>
  <c r="X5" i="2" s="1"/>
  <c r="J5" i="2"/>
  <c r="V5" i="2" s="1"/>
  <c r="W4" i="2"/>
  <c r="P4" i="2"/>
  <c r="Y4" i="2" s="1"/>
  <c r="Z4" i="2" s="1"/>
  <c r="N4" i="2"/>
  <c r="L4" i="2"/>
  <c r="X4" i="2" s="1"/>
  <c r="J4" i="2"/>
  <c r="V4" i="2" s="1"/>
  <c r="X3" i="2"/>
  <c r="W3" i="2"/>
  <c r="V3" i="2"/>
  <c r="P3" i="2"/>
  <c r="Y3" i="2" s="1"/>
  <c r="Z3" i="2" s="1"/>
  <c r="N3" i="2"/>
  <c r="L3" i="2"/>
  <c r="J3" i="2"/>
  <c r="X2" i="2"/>
  <c r="W2" i="2"/>
  <c r="V2" i="2"/>
  <c r="P2" i="2"/>
  <c r="N2" i="2"/>
  <c r="L2" i="2"/>
  <c r="J2" i="2"/>
  <c r="A8" i="14"/>
  <c r="D8" i="14"/>
  <c r="D13" i="14"/>
  <c r="E13" i="14"/>
  <c r="C8" i="14"/>
  <c r="E8" i="14"/>
  <c r="E14" i="14" l="1"/>
  <c r="I5" i="14" s="1"/>
  <c r="D14" i="14"/>
  <c r="I6" i="14" s="1"/>
  <c r="Y287" i="2"/>
  <c r="Z287" i="2" s="1"/>
  <c r="Y290" i="2"/>
  <c r="Z290" i="2" s="1"/>
  <c r="X411" i="2"/>
  <c r="Y411" i="2"/>
  <c r="Z411" i="2" s="1"/>
  <c r="Y690" i="2"/>
  <c r="Z690" i="2" s="1"/>
  <c r="X690" i="2"/>
  <c r="X645" i="2"/>
  <c r="Y645" i="2"/>
  <c r="Z645" i="2" s="1"/>
  <c r="Y868" i="2"/>
  <c r="Z868" i="2" s="1"/>
  <c r="X868" i="2"/>
  <c r="Y44" i="2"/>
  <c r="Z44" i="2" s="1"/>
  <c r="Y101" i="2"/>
  <c r="Z101" i="2" s="1"/>
  <c r="Y102" i="2"/>
  <c r="Z102" i="2" s="1"/>
  <c r="Y111" i="2"/>
  <c r="Z111" i="2" s="1"/>
  <c r="Y143" i="2"/>
  <c r="Z143" i="2" s="1"/>
  <c r="Y207" i="2"/>
  <c r="Z207" i="2" s="1"/>
  <c r="Y239" i="2"/>
  <c r="Z239" i="2" s="1"/>
  <c r="Y240" i="2"/>
  <c r="Z240" i="2" s="1"/>
  <c r="Y285" i="2"/>
  <c r="Z285" i="2" s="1"/>
  <c r="Y293" i="2"/>
  <c r="Z293" i="2" s="1"/>
  <c r="Y297" i="2"/>
  <c r="Z297" i="2" s="1"/>
  <c r="Y311" i="2"/>
  <c r="Z311" i="2" s="1"/>
  <c r="Y312" i="2"/>
  <c r="Z312" i="2" s="1"/>
  <c r="Y327" i="2"/>
  <c r="Z327" i="2" s="1"/>
  <c r="Y364" i="2"/>
  <c r="Z364" i="2" s="1"/>
  <c r="Y370" i="2"/>
  <c r="Z370" i="2" s="1"/>
  <c r="Y380" i="2"/>
  <c r="Z380" i="2" s="1"/>
  <c r="Y414" i="2"/>
  <c r="Z414" i="2" s="1"/>
  <c r="X414" i="2"/>
  <c r="Y481" i="2"/>
  <c r="Z481" i="2" s="1"/>
  <c r="X481" i="2"/>
  <c r="X808" i="2"/>
  <c r="Y808" i="2"/>
  <c r="Z808" i="2" s="1"/>
  <c r="Y17" i="2"/>
  <c r="Z17" i="2" s="1"/>
  <c r="Y20" i="2"/>
  <c r="Z20" i="2" s="1"/>
  <c r="Y21" i="2"/>
  <c r="Z21" i="2" s="1"/>
  <c r="Y16" i="2"/>
  <c r="Z16" i="2" s="1"/>
  <c r="Y32" i="2"/>
  <c r="Z32" i="2" s="1"/>
  <c r="Y66" i="2"/>
  <c r="Z66" i="2" s="1"/>
  <c r="Y75" i="2"/>
  <c r="Z75" i="2" s="1"/>
  <c r="Y90" i="2"/>
  <c r="Z90" i="2" s="1"/>
  <c r="Y110" i="2"/>
  <c r="Z110" i="2" s="1"/>
  <c r="Y137" i="2"/>
  <c r="Z137" i="2" s="1"/>
  <c r="Y141" i="2"/>
  <c r="Z141" i="2" s="1"/>
  <c r="Y142" i="2"/>
  <c r="Z142" i="2" s="1"/>
  <c r="Y181" i="2"/>
  <c r="Z181" i="2" s="1"/>
  <c r="Y182" i="2"/>
  <c r="Z182" i="2" s="1"/>
  <c r="Y183" i="2"/>
  <c r="Z183" i="2" s="1"/>
  <c r="Y187" i="2"/>
  <c r="Z187" i="2" s="1"/>
  <c r="Y201" i="2"/>
  <c r="Z201" i="2" s="1"/>
  <c r="Y205" i="2"/>
  <c r="Z205" i="2" s="1"/>
  <c r="Y206" i="2"/>
  <c r="Z206" i="2" s="1"/>
  <c r="Y231" i="2"/>
  <c r="Z231" i="2" s="1"/>
  <c r="Y247" i="2"/>
  <c r="Z247" i="2" s="1"/>
  <c r="X251" i="2"/>
  <c r="Y263" i="2"/>
  <c r="Z263" i="2" s="1"/>
  <c r="Y292" i="2"/>
  <c r="Z292" i="2" s="1"/>
  <c r="Y308" i="2"/>
  <c r="Z308" i="2" s="1"/>
  <c r="X315" i="2"/>
  <c r="Y334" i="2"/>
  <c r="Z334" i="2" s="1"/>
  <c r="X334" i="2"/>
  <c r="Y164" i="2"/>
  <c r="Z164" i="2" s="1"/>
  <c r="Y185" i="2"/>
  <c r="Z185" i="2" s="1"/>
  <c r="Y186" i="2"/>
  <c r="Z186" i="2" s="1"/>
  <c r="Y229" i="2"/>
  <c r="Z229" i="2" s="1"/>
  <c r="Y244" i="2"/>
  <c r="Z244" i="2" s="1"/>
  <c r="Y265" i="2"/>
  <c r="Z265" i="2" s="1"/>
  <c r="Y291" i="2"/>
  <c r="Z291" i="2" s="1"/>
  <c r="Y369" i="2"/>
  <c r="Z369" i="2" s="1"/>
  <c r="X384" i="2"/>
  <c r="Y384" i="2"/>
  <c r="Z384" i="2" s="1"/>
  <c r="Y385" i="2"/>
  <c r="Z385" i="2" s="1"/>
  <c r="Y410" i="2"/>
  <c r="Z410" i="2" s="1"/>
  <c r="Y413" i="2"/>
  <c r="Z413" i="2" s="1"/>
  <c r="X413" i="2"/>
  <c r="Y503" i="2"/>
  <c r="Z503" i="2" s="1"/>
  <c r="Y132" i="2"/>
  <c r="Z132" i="2" s="1"/>
  <c r="Y148" i="2"/>
  <c r="Z148" i="2" s="1"/>
  <c r="Y11" i="2"/>
  <c r="Z11" i="2" s="1"/>
  <c r="Y12" i="2"/>
  <c r="Z12" i="2" s="1"/>
  <c r="Y60" i="2"/>
  <c r="Z60" i="2" s="1"/>
  <c r="Y62" i="2"/>
  <c r="Z62" i="2" s="1"/>
  <c r="Y63" i="2"/>
  <c r="Z63" i="2" s="1"/>
  <c r="Y64" i="2"/>
  <c r="Z64" i="2" s="1"/>
  <c r="Y121" i="2"/>
  <c r="Z121" i="2" s="1"/>
  <c r="Y133" i="2"/>
  <c r="Z133" i="2" s="1"/>
  <c r="Y153" i="2"/>
  <c r="Z153" i="2" s="1"/>
  <c r="Y154" i="2"/>
  <c r="Z154" i="2" s="1"/>
  <c r="Y165" i="2"/>
  <c r="Z165" i="2" s="1"/>
  <c r="Y221" i="2"/>
  <c r="Z221" i="2" s="1"/>
  <c r="Y228" i="2"/>
  <c r="Z228" i="2" s="1"/>
  <c r="Y9" i="2"/>
  <c r="Z9" i="2" s="1"/>
  <c r="Y27" i="2"/>
  <c r="Z27" i="2" s="1"/>
  <c r="Y38" i="2"/>
  <c r="Z38" i="2" s="1"/>
  <c r="Y49" i="2"/>
  <c r="Z49" i="2" s="1"/>
  <c r="Y100" i="2"/>
  <c r="Z100" i="2" s="1"/>
  <c r="Y136" i="2"/>
  <c r="Z136" i="2" s="1"/>
  <c r="X140" i="2"/>
  <c r="X238" i="2"/>
  <c r="Y270" i="2"/>
  <c r="Z270" i="2" s="1"/>
  <c r="Y281" i="2"/>
  <c r="Z281" i="2" s="1"/>
  <c r="X286" i="2"/>
  <c r="X289" i="2"/>
  <c r="Y302" i="2"/>
  <c r="Z302" i="2" s="1"/>
  <c r="Y305" i="2"/>
  <c r="Z305" i="2" s="1"/>
  <c r="Y333" i="2"/>
  <c r="Z333" i="2" s="1"/>
  <c r="Y340" i="2"/>
  <c r="Z340" i="2" s="1"/>
  <c r="Y366" i="2"/>
  <c r="Z366" i="2" s="1"/>
  <c r="Y368" i="2"/>
  <c r="Z368" i="2" s="1"/>
  <c r="Y372" i="2"/>
  <c r="Z372" i="2" s="1"/>
  <c r="X479" i="2"/>
  <c r="Y479" i="2"/>
  <c r="Z479" i="2" s="1"/>
  <c r="Y518" i="2"/>
  <c r="Z518" i="2" s="1"/>
  <c r="X518" i="2"/>
  <c r="Y519" i="2"/>
  <c r="Z519" i="2" s="1"/>
  <c r="Y10" i="2"/>
  <c r="Z10" i="2" s="1"/>
  <c r="Y35" i="2"/>
  <c r="Z35" i="2" s="1"/>
  <c r="Y80" i="2"/>
  <c r="Z80" i="2" s="1"/>
  <c r="Y193" i="2"/>
  <c r="Z193" i="2" s="1"/>
  <c r="Y194" i="2"/>
  <c r="Z194" i="2" s="1"/>
  <c r="Y200" i="2"/>
  <c r="Z200" i="2" s="1"/>
  <c r="Y213" i="2"/>
  <c r="Z213" i="2" s="1"/>
  <c r="Y214" i="2"/>
  <c r="Z214" i="2" s="1"/>
  <c r="Y215" i="2"/>
  <c r="Z215" i="2" s="1"/>
  <c r="Y216" i="2"/>
  <c r="Z216" i="2" s="1"/>
  <c r="Y253" i="2"/>
  <c r="Z253" i="2" s="1"/>
  <c r="X262" i="2"/>
  <c r="Y288" i="2"/>
  <c r="Z288" i="2" s="1"/>
  <c r="Y294" i="2"/>
  <c r="Z294" i="2" s="1"/>
  <c r="Y317" i="2"/>
  <c r="Z317" i="2" s="1"/>
  <c r="Y321" i="2"/>
  <c r="Z321" i="2" s="1"/>
  <c r="Y323" i="2"/>
  <c r="Z323" i="2" s="1"/>
  <c r="Y367" i="2"/>
  <c r="Z367" i="2" s="1"/>
  <c r="Y383" i="2"/>
  <c r="Z383" i="2" s="1"/>
  <c r="Y427" i="2"/>
  <c r="Z427" i="2" s="1"/>
  <c r="Y430" i="2"/>
  <c r="Z430" i="2" s="1"/>
  <c r="X430" i="2"/>
  <c r="Y464" i="2"/>
  <c r="Z464" i="2" s="1"/>
  <c r="Y546" i="2"/>
  <c r="Z546" i="2" s="1"/>
  <c r="Y658" i="2"/>
  <c r="Z658" i="2" s="1"/>
  <c r="X658" i="2"/>
  <c r="Y698" i="2"/>
  <c r="Z698" i="2" s="1"/>
  <c r="Y786" i="2"/>
  <c r="Z786" i="2" s="1"/>
  <c r="Y833" i="2"/>
  <c r="Z833" i="2" s="1"/>
  <c r="X833" i="2"/>
  <c r="Y953" i="2"/>
  <c r="Z953" i="2" s="1"/>
  <c r="Y387" i="2"/>
  <c r="Z387" i="2" s="1"/>
  <c r="Y485" i="2"/>
  <c r="Z485" i="2" s="1"/>
  <c r="Y558" i="2"/>
  <c r="Z558" i="2" s="1"/>
  <c r="Y580" i="2"/>
  <c r="Z580" i="2" s="1"/>
  <c r="Y616" i="2"/>
  <c r="Z616" i="2" s="1"/>
  <c r="Y872" i="2"/>
  <c r="Z872" i="2" s="1"/>
  <c r="X872" i="2"/>
  <c r="Y335" i="2"/>
  <c r="Z335" i="2" s="1"/>
  <c r="Y336" i="2"/>
  <c r="Z336" i="2" s="1"/>
  <c r="Y356" i="2"/>
  <c r="Z356" i="2" s="1"/>
  <c r="Y390" i="2"/>
  <c r="Z390" i="2" s="1"/>
  <c r="Y392" i="2"/>
  <c r="Z392" i="2" s="1"/>
  <c r="Y429" i="2"/>
  <c r="Z429" i="2" s="1"/>
  <c r="Y431" i="2"/>
  <c r="Z431" i="2" s="1"/>
  <c r="Y446" i="2"/>
  <c r="Z446" i="2" s="1"/>
  <c r="Y483" i="2"/>
  <c r="Z483" i="2" s="1"/>
  <c r="Y484" i="2"/>
  <c r="Z484" i="2" s="1"/>
  <c r="Y523" i="2"/>
  <c r="Z523" i="2" s="1"/>
  <c r="Y524" i="2"/>
  <c r="Z524" i="2" s="1"/>
  <c r="Y525" i="2"/>
  <c r="Z525" i="2" s="1"/>
  <c r="Y532" i="2"/>
  <c r="Z532" i="2" s="1"/>
  <c r="Y547" i="2"/>
  <c r="Z547" i="2" s="1"/>
  <c r="Y555" i="2"/>
  <c r="Z555" i="2" s="1"/>
  <c r="Y568" i="2"/>
  <c r="Z568" i="2" s="1"/>
  <c r="X568" i="2"/>
  <c r="Y592" i="2"/>
  <c r="Z592" i="2" s="1"/>
  <c r="Y607" i="2"/>
  <c r="Z607" i="2" s="1"/>
  <c r="Y644" i="2"/>
  <c r="Z644" i="2" s="1"/>
  <c r="X644" i="2"/>
  <c r="Y678" i="2"/>
  <c r="Z678" i="2" s="1"/>
  <c r="Y706" i="2"/>
  <c r="Z706" i="2" s="1"/>
  <c r="X867" i="2"/>
  <c r="Y867" i="2"/>
  <c r="Z867" i="2" s="1"/>
  <c r="Y399" i="2"/>
  <c r="Z399" i="2" s="1"/>
  <c r="Y400" i="2"/>
  <c r="Z400" i="2" s="1"/>
  <c r="Y412" i="2"/>
  <c r="Z412" i="2" s="1"/>
  <c r="Y415" i="2"/>
  <c r="Z415" i="2" s="1"/>
  <c r="Y463" i="2"/>
  <c r="Z463" i="2" s="1"/>
  <c r="Y469" i="2"/>
  <c r="Z469" i="2" s="1"/>
  <c r="Y493" i="2"/>
  <c r="Z493" i="2" s="1"/>
  <c r="Y676" i="2"/>
  <c r="Z676" i="2" s="1"/>
  <c r="X676" i="2"/>
  <c r="Y836" i="2"/>
  <c r="Z836" i="2" s="1"/>
  <c r="X836" i="2"/>
  <c r="X871" i="2"/>
  <c r="Y871" i="2"/>
  <c r="Z871" i="2" s="1"/>
  <c r="Y954" i="2"/>
  <c r="Z954" i="2" s="1"/>
  <c r="X954" i="2"/>
  <c r="X470" i="2"/>
  <c r="Y516" i="2"/>
  <c r="Z516" i="2" s="1"/>
  <c r="Y605" i="2"/>
  <c r="Z605" i="2" s="1"/>
  <c r="Y621" i="2"/>
  <c r="Z621" i="2" s="1"/>
  <c r="X835" i="2"/>
  <c r="Y835" i="2"/>
  <c r="Z835" i="2" s="1"/>
  <c r="Y359" i="2"/>
  <c r="Z359" i="2" s="1"/>
  <c r="Y407" i="2"/>
  <c r="Z407" i="2" s="1"/>
  <c r="Y408" i="2"/>
  <c r="Z408" i="2" s="1"/>
  <c r="Y424" i="2"/>
  <c r="Z424" i="2" s="1"/>
  <c r="Y486" i="2"/>
  <c r="Z486" i="2" s="1"/>
  <c r="Y501" i="2"/>
  <c r="Z501" i="2" s="1"/>
  <c r="Y550" i="2"/>
  <c r="Z550" i="2" s="1"/>
  <c r="Y562" i="2"/>
  <c r="Z562" i="2" s="1"/>
  <c r="Y567" i="2"/>
  <c r="Z567" i="2" s="1"/>
  <c r="Y573" i="2"/>
  <c r="Z573" i="2" s="1"/>
  <c r="Y634" i="2"/>
  <c r="Z634" i="2" s="1"/>
  <c r="Y737" i="2"/>
  <c r="Z737" i="2" s="1"/>
  <c r="Y787" i="2"/>
  <c r="Z787" i="2" s="1"/>
  <c r="X855" i="2"/>
  <c r="Y855" i="2"/>
  <c r="Z855" i="2" s="1"/>
  <c r="Y361" i="2"/>
  <c r="Z361" i="2" s="1"/>
  <c r="Y382" i="2"/>
  <c r="Z382" i="2" s="1"/>
  <c r="Y391" i="2"/>
  <c r="Z391" i="2" s="1"/>
  <c r="Y404" i="2"/>
  <c r="Z404" i="2" s="1"/>
  <c r="Y423" i="2"/>
  <c r="Z423" i="2" s="1"/>
  <c r="Y453" i="2"/>
  <c r="Z453" i="2" s="1"/>
  <c r="Y477" i="2"/>
  <c r="Z477" i="2" s="1"/>
  <c r="Y499" i="2"/>
  <c r="Z499" i="2" s="1"/>
  <c r="Y500" i="2"/>
  <c r="Z500" i="2" s="1"/>
  <c r="X502" i="2"/>
  <c r="Y542" i="2"/>
  <c r="Z542" i="2" s="1"/>
  <c r="Y553" i="2"/>
  <c r="Z553" i="2" s="1"/>
  <c r="Y561" i="2"/>
  <c r="Z561" i="2" s="1"/>
  <c r="Y578" i="2"/>
  <c r="Z578" i="2" s="1"/>
  <c r="Y586" i="2"/>
  <c r="Z586" i="2" s="1"/>
  <c r="Y666" i="2"/>
  <c r="Z666" i="2" s="1"/>
  <c r="Y809" i="2"/>
  <c r="Z809" i="2" s="1"/>
  <c r="X809" i="2"/>
  <c r="Y864" i="2"/>
  <c r="Z864" i="2" s="1"/>
  <c r="X864" i="2"/>
  <c r="Y582" i="2"/>
  <c r="Z582" i="2" s="1"/>
  <c r="Y630" i="2"/>
  <c r="Z630" i="2" s="1"/>
  <c r="Y654" i="2"/>
  <c r="Z654" i="2" s="1"/>
  <c r="Y686" i="2"/>
  <c r="Z686" i="2" s="1"/>
  <c r="Y694" i="2"/>
  <c r="Z694" i="2" s="1"/>
  <c r="Y718" i="2"/>
  <c r="Z718" i="2" s="1"/>
  <c r="Y719" i="2"/>
  <c r="Z719" i="2" s="1"/>
  <c r="Y726" i="2"/>
  <c r="Z726" i="2" s="1"/>
  <c r="Y758" i="2"/>
  <c r="Z758" i="2" s="1"/>
  <c r="Y782" i="2"/>
  <c r="Z782" i="2" s="1"/>
  <c r="Y822" i="2"/>
  <c r="Z822" i="2" s="1"/>
  <c r="Y862" i="2"/>
  <c r="Z862" i="2" s="1"/>
  <c r="X894" i="2"/>
  <c r="X897" i="2"/>
  <c r="Y902" i="2"/>
  <c r="Z902" i="2" s="1"/>
  <c r="Y903" i="2"/>
  <c r="Z903" i="2" s="1"/>
  <c r="Y908" i="2"/>
  <c r="Z908" i="2" s="1"/>
  <c r="Y916" i="2"/>
  <c r="Z916" i="2" s="1"/>
  <c r="X917" i="2"/>
  <c r="Y932" i="2"/>
  <c r="Z932" i="2" s="1"/>
  <c r="Y955" i="2"/>
  <c r="Z955" i="2" s="1"/>
  <c r="Y749" i="2"/>
  <c r="Z749" i="2" s="1"/>
  <c r="X985" i="2"/>
  <c r="Y648" i="2"/>
  <c r="Z648" i="2" s="1"/>
  <c r="Y680" i="2"/>
  <c r="Z680" i="2" s="1"/>
  <c r="Y712" i="2"/>
  <c r="Z712" i="2" s="1"/>
  <c r="Y761" i="2"/>
  <c r="Z761" i="2" s="1"/>
  <c r="Y771" i="2"/>
  <c r="Z771" i="2" s="1"/>
  <c r="Y793" i="2"/>
  <c r="Z793" i="2" s="1"/>
  <c r="Y814" i="2"/>
  <c r="Z814" i="2" s="1"/>
  <c r="Y815" i="2"/>
  <c r="Z815" i="2" s="1"/>
  <c r="Y856" i="2"/>
  <c r="Z856" i="2" s="1"/>
  <c r="Y923" i="2"/>
  <c r="Z923" i="2" s="1"/>
  <c r="Y939" i="2"/>
  <c r="Z939" i="2" s="1"/>
  <c r="Y943" i="2"/>
  <c r="Z943" i="2" s="1"/>
  <c r="Y959" i="2"/>
  <c r="Z959" i="2" s="1"/>
  <c r="Y975" i="2"/>
  <c r="Z975" i="2" s="1"/>
  <c r="X986" i="2"/>
  <c r="Y899" i="2"/>
  <c r="Z899" i="2" s="1"/>
  <c r="Y920" i="2"/>
  <c r="Z920" i="2" s="1"/>
  <c r="Y969" i="2"/>
  <c r="Z969" i="2" s="1"/>
  <c r="X982" i="2"/>
  <c r="Y991" i="2"/>
  <c r="Z991" i="2" s="1"/>
  <c r="Y624" i="2"/>
  <c r="Z624" i="2" s="1"/>
  <c r="X708" i="2"/>
  <c r="X722" i="2"/>
  <c r="Y739" i="2"/>
  <c r="Z739" i="2" s="1"/>
  <c r="X742" i="2"/>
  <c r="X757" i="2"/>
  <c r="Y777" i="2"/>
  <c r="Z777" i="2" s="1"/>
  <c r="Y803" i="2"/>
  <c r="Z803" i="2" s="1"/>
  <c r="Y810" i="2"/>
  <c r="Z810" i="2" s="1"/>
  <c r="Y811" i="2"/>
  <c r="Z811" i="2" s="1"/>
  <c r="Y834" i="2"/>
  <c r="Z834" i="2" s="1"/>
  <c r="Y854" i="2"/>
  <c r="Z854" i="2" s="1"/>
  <c r="Y866" i="2"/>
  <c r="Z866" i="2" s="1"/>
  <c r="Y876" i="2"/>
  <c r="Z876" i="2" s="1"/>
  <c r="Y937" i="2"/>
  <c r="Z937" i="2" s="1"/>
  <c r="X938" i="2"/>
  <c r="X974" i="2"/>
  <c r="Y632" i="2"/>
  <c r="Z632" i="2" s="1"/>
  <c r="Y656" i="2"/>
  <c r="Z656" i="2" s="1"/>
  <c r="Y688" i="2"/>
  <c r="Z688" i="2" s="1"/>
  <c r="Y720" i="2"/>
  <c r="Z720" i="2" s="1"/>
  <c r="Y747" i="2"/>
  <c r="Z747" i="2" s="1"/>
  <c r="X749" i="2"/>
  <c r="Y754" i="2"/>
  <c r="Z754" i="2" s="1"/>
  <c r="Y767" i="2"/>
  <c r="Z767" i="2" s="1"/>
  <c r="Y768" i="2"/>
  <c r="Z768" i="2" s="1"/>
  <c r="Y775" i="2"/>
  <c r="Z775" i="2" s="1"/>
  <c r="Y799" i="2"/>
  <c r="Z799" i="2" s="1"/>
  <c r="Y800" i="2"/>
  <c r="Z800" i="2" s="1"/>
  <c r="Y805" i="2"/>
  <c r="Z805" i="2" s="1"/>
  <c r="Y870" i="2"/>
  <c r="Z870" i="2" s="1"/>
  <c r="Y904" i="2"/>
  <c r="Z904" i="2" s="1"/>
  <c r="Y956" i="2"/>
  <c r="Z956" i="2" s="1"/>
  <c r="Y971" i="2"/>
  <c r="Z971" i="2" s="1"/>
  <c r="Y112" i="2"/>
  <c r="Z112" i="2" s="1"/>
  <c r="X112" i="2"/>
  <c r="Y144" i="2"/>
  <c r="Z144" i="2" s="1"/>
  <c r="X144" i="2"/>
  <c r="X236" i="2"/>
  <c r="Y236" i="2"/>
  <c r="Z236" i="2" s="1"/>
  <c r="Y33" i="2"/>
  <c r="Z33" i="2" s="1"/>
  <c r="X80" i="2"/>
  <c r="Y92" i="2"/>
  <c r="Z92" i="2" s="1"/>
  <c r="Y116" i="2"/>
  <c r="Z116" i="2" s="1"/>
  <c r="X148" i="2"/>
  <c r="Y156" i="2"/>
  <c r="Z156" i="2" s="1"/>
  <c r="Y168" i="2"/>
  <c r="Z168" i="2" s="1"/>
  <c r="Y342" i="2"/>
  <c r="Z342" i="2" s="1"/>
  <c r="X342" i="2"/>
  <c r="Y406" i="2"/>
  <c r="Z406" i="2" s="1"/>
  <c r="X406" i="2"/>
  <c r="Y588" i="2"/>
  <c r="Z588" i="2" s="1"/>
  <c r="X588" i="2"/>
  <c r="X609" i="2"/>
  <c r="Y609" i="2"/>
  <c r="Z609" i="2" s="1"/>
  <c r="X665" i="2"/>
  <c r="Y665" i="2"/>
  <c r="Z665" i="2" s="1"/>
  <c r="X673" i="2"/>
  <c r="Y673" i="2"/>
  <c r="Z673" i="2" s="1"/>
  <c r="Y15" i="2"/>
  <c r="Z15" i="2" s="1"/>
  <c r="Y188" i="2"/>
  <c r="Z188" i="2" s="1"/>
  <c r="Y422" i="2"/>
  <c r="Z422" i="2" s="1"/>
  <c r="X422" i="2"/>
  <c r="Y494" i="2"/>
  <c r="Z494" i="2" s="1"/>
  <c r="X494" i="2"/>
  <c r="Y530" i="2"/>
  <c r="Z530" i="2" s="1"/>
  <c r="X530" i="2"/>
  <c r="Y721" i="2"/>
  <c r="Z721" i="2" s="1"/>
  <c r="X721" i="2"/>
  <c r="X249" i="2"/>
  <c r="Y249" i="2"/>
  <c r="Z249" i="2" s="1"/>
  <c r="X748" i="2"/>
  <c r="Y748" i="2"/>
  <c r="Z748" i="2" s="1"/>
  <c r="Y989" i="2"/>
  <c r="Z989" i="2" s="1"/>
  <c r="X989" i="2"/>
  <c r="Y22" i="2"/>
  <c r="Z22" i="2" s="1"/>
  <c r="Y31" i="2"/>
  <c r="Z31" i="2" s="1"/>
  <c r="Y43" i="2"/>
  <c r="Z43" i="2" s="1"/>
  <c r="Y134" i="2"/>
  <c r="Z134" i="2" s="1"/>
  <c r="X577" i="2"/>
  <c r="Y577" i="2"/>
  <c r="Z577" i="2" s="1"/>
  <c r="Y7" i="2"/>
  <c r="Z7" i="2" s="1"/>
  <c r="Y72" i="2"/>
  <c r="Z72" i="2" s="1"/>
  <c r="Y79" i="2"/>
  <c r="Z79" i="2" s="1"/>
  <c r="Y85" i="2"/>
  <c r="Z85" i="2" s="1"/>
  <c r="Y98" i="2"/>
  <c r="Z98" i="2" s="1"/>
  <c r="Y104" i="2"/>
  <c r="Z104" i="2" s="1"/>
  <c r="Y123" i="2"/>
  <c r="Z123" i="2" s="1"/>
  <c r="Y166" i="2"/>
  <c r="Z166" i="2" s="1"/>
  <c r="Y208" i="2"/>
  <c r="Z208" i="2" s="1"/>
  <c r="X208" i="2"/>
  <c r="Y246" i="2"/>
  <c r="Z246" i="2" s="1"/>
  <c r="X246" i="2"/>
  <c r="Y260" i="2"/>
  <c r="Z260" i="2" s="1"/>
  <c r="X332" i="2"/>
  <c r="Y332" i="2"/>
  <c r="Z332" i="2" s="1"/>
  <c r="Y401" i="2"/>
  <c r="Z401" i="2" s="1"/>
  <c r="X536" i="2"/>
  <c r="Y536" i="2"/>
  <c r="Z536" i="2" s="1"/>
  <c r="X968" i="2"/>
  <c r="Y968" i="2"/>
  <c r="Z968" i="2" s="1"/>
  <c r="Y176" i="2"/>
  <c r="Z176" i="2" s="1"/>
  <c r="X176" i="2"/>
  <c r="Y167" i="2"/>
  <c r="Z167" i="2" s="1"/>
  <c r="Y324" i="2"/>
  <c r="Z324" i="2" s="1"/>
  <c r="X863" i="2"/>
  <c r="Y863" i="2"/>
  <c r="Z863" i="2" s="1"/>
  <c r="Y2" i="2"/>
  <c r="Z2" i="2" s="1"/>
  <c r="Y18" i="2"/>
  <c r="Z18" i="2" s="1"/>
  <c r="X29" i="2"/>
  <c r="X40" i="2"/>
  <c r="Y78" i="2"/>
  <c r="Z78" i="2" s="1"/>
  <c r="Y91" i="2"/>
  <c r="Z91" i="2" s="1"/>
  <c r="Y97" i="2"/>
  <c r="Z97" i="2" s="1"/>
  <c r="Y122" i="2"/>
  <c r="Z122" i="2" s="1"/>
  <c r="Y155" i="2"/>
  <c r="Z155" i="2" s="1"/>
  <c r="Y199" i="2"/>
  <c r="Z199" i="2" s="1"/>
  <c r="Y248" i="2"/>
  <c r="Z248" i="2" s="1"/>
  <c r="Y337" i="2"/>
  <c r="Z337" i="2" s="1"/>
  <c r="X345" i="2"/>
  <c r="Y345" i="2"/>
  <c r="Z345" i="2" s="1"/>
  <c r="Y417" i="2"/>
  <c r="Z417" i="2" s="1"/>
  <c r="Y444" i="2"/>
  <c r="Z444" i="2" s="1"/>
  <c r="Y620" i="2"/>
  <c r="Z620" i="2" s="1"/>
  <c r="X620" i="2"/>
  <c r="X338" i="2"/>
  <c r="Y338" i="2"/>
  <c r="Z338" i="2" s="1"/>
  <c r="Y478" i="2"/>
  <c r="Z478" i="2" s="1"/>
  <c r="X478" i="2"/>
  <c r="X564" i="2"/>
  <c r="Y564" i="2"/>
  <c r="Z564" i="2" s="1"/>
  <c r="X596" i="2"/>
  <c r="Y596" i="2"/>
  <c r="Z596" i="2" s="1"/>
  <c r="Y350" i="2"/>
  <c r="Z350" i="2" s="1"/>
  <c r="X350" i="2"/>
  <c r="Y652" i="2"/>
  <c r="Z652" i="2" s="1"/>
  <c r="X652" i="2"/>
  <c r="Y6" i="2"/>
  <c r="Z6" i="2" s="1"/>
  <c r="Y42" i="2"/>
  <c r="Z42" i="2" s="1"/>
  <c r="Y54" i="2"/>
  <c r="Z54" i="2" s="1"/>
  <c r="Y124" i="2"/>
  <c r="Z124" i="2" s="1"/>
  <c r="X242" i="2"/>
  <c r="Y242" i="2"/>
  <c r="Z242" i="2" s="1"/>
  <c r="Y254" i="2"/>
  <c r="Z254" i="2" s="1"/>
  <c r="X254" i="2"/>
  <c r="Y450" i="2"/>
  <c r="Z450" i="2" s="1"/>
  <c r="X450" i="2"/>
  <c r="Y497" i="2"/>
  <c r="Z497" i="2" s="1"/>
  <c r="X497" i="2"/>
  <c r="Y689" i="2"/>
  <c r="Z689" i="2" s="1"/>
  <c r="X689" i="2"/>
  <c r="X700" i="2"/>
  <c r="Y700" i="2"/>
  <c r="Z700" i="2" s="1"/>
  <c r="Y23" i="2"/>
  <c r="Z23" i="2" s="1"/>
  <c r="Y39" i="2"/>
  <c r="Z39" i="2" s="1"/>
  <c r="Y55" i="2"/>
  <c r="Z55" i="2" s="1"/>
  <c r="Y67" i="2"/>
  <c r="Z67" i="2" s="1"/>
  <c r="Y73" i="2"/>
  <c r="Z73" i="2" s="1"/>
  <c r="Y86" i="2"/>
  <c r="Z86" i="2" s="1"/>
  <c r="Y99" i="2"/>
  <c r="Z99" i="2" s="1"/>
  <c r="Y105" i="2"/>
  <c r="Z105" i="2" s="1"/>
  <c r="Y114" i="2"/>
  <c r="Z114" i="2" s="1"/>
  <c r="Y115" i="2"/>
  <c r="Z115" i="2" s="1"/>
  <c r="Y146" i="2"/>
  <c r="Z146" i="2" s="1"/>
  <c r="Y147" i="2"/>
  <c r="Z147" i="2" s="1"/>
  <c r="Y178" i="2"/>
  <c r="Z178" i="2" s="1"/>
  <c r="Y179" i="2"/>
  <c r="Z179" i="2" s="1"/>
  <c r="Y210" i="2"/>
  <c r="Z210" i="2" s="1"/>
  <c r="Y211" i="2"/>
  <c r="Z211" i="2" s="1"/>
  <c r="Y233" i="2"/>
  <c r="Z233" i="2" s="1"/>
  <c r="Y278" i="2"/>
  <c r="Z278" i="2" s="1"/>
  <c r="X278" i="2"/>
  <c r="Y344" i="2"/>
  <c r="Z344" i="2" s="1"/>
  <c r="Y348" i="2"/>
  <c r="Z348" i="2" s="1"/>
  <c r="Y393" i="2"/>
  <c r="Z393" i="2" s="1"/>
  <c r="X442" i="2"/>
  <c r="Y442" i="2"/>
  <c r="Z442" i="2" s="1"/>
  <c r="Y510" i="2"/>
  <c r="Z510" i="2" s="1"/>
  <c r="X510" i="2"/>
  <c r="X545" i="2"/>
  <c r="Y545" i="2"/>
  <c r="Z545" i="2" s="1"/>
  <c r="X628" i="2"/>
  <c r="Y628" i="2"/>
  <c r="Z628" i="2" s="1"/>
  <c r="X641" i="2"/>
  <c r="Y641" i="2"/>
  <c r="Z641" i="2" s="1"/>
  <c r="Y746" i="2"/>
  <c r="Z746" i="2" s="1"/>
  <c r="X746" i="2"/>
  <c r="Y957" i="2"/>
  <c r="Z957" i="2" s="1"/>
  <c r="X957" i="2"/>
  <c r="X965" i="2"/>
  <c r="Y965" i="2"/>
  <c r="Z965" i="2" s="1"/>
  <c r="Y34" i="2"/>
  <c r="Z34" i="2" s="1"/>
  <c r="Y50" i="2"/>
  <c r="Z50" i="2" s="1"/>
  <c r="Y61" i="2"/>
  <c r="Z61" i="2" s="1"/>
  <c r="Y74" i="2"/>
  <c r="Z74" i="2" s="1"/>
  <c r="Y87" i="2"/>
  <c r="Z87" i="2" s="1"/>
  <c r="Y93" i="2"/>
  <c r="Z93" i="2" s="1"/>
  <c r="Y106" i="2"/>
  <c r="Z106" i="2" s="1"/>
  <c r="Y126" i="2"/>
  <c r="Z126" i="2" s="1"/>
  <c r="Y127" i="2"/>
  <c r="Z127" i="2" s="1"/>
  <c r="X132" i="2"/>
  <c r="Y158" i="2"/>
  <c r="Z158" i="2" s="1"/>
  <c r="Y159" i="2"/>
  <c r="Z159" i="2" s="1"/>
  <c r="X164" i="2"/>
  <c r="Y190" i="2"/>
  <c r="Z190" i="2" s="1"/>
  <c r="Y191" i="2"/>
  <c r="Z191" i="2" s="1"/>
  <c r="Y261" i="2"/>
  <c r="Z261" i="2" s="1"/>
  <c r="Y374" i="2"/>
  <c r="Z374" i="2" s="1"/>
  <c r="X374" i="2"/>
  <c r="Y396" i="2"/>
  <c r="Z396" i="2" s="1"/>
  <c r="Y593" i="2"/>
  <c r="Z593" i="2" s="1"/>
  <c r="X593" i="2"/>
  <c r="Y773" i="2"/>
  <c r="Z773" i="2" s="1"/>
  <c r="X773" i="2"/>
  <c r="Y789" i="2"/>
  <c r="Z789" i="2" s="1"/>
  <c r="X789" i="2"/>
  <c r="Y792" i="2"/>
  <c r="Z792" i="2" s="1"/>
  <c r="Y107" i="2"/>
  <c r="Z107" i="2" s="1"/>
  <c r="Y138" i="2"/>
  <c r="Z138" i="2" s="1"/>
  <c r="Y139" i="2"/>
  <c r="Z139" i="2" s="1"/>
  <c r="Y170" i="2"/>
  <c r="Z170" i="2" s="1"/>
  <c r="Y171" i="2"/>
  <c r="Z171" i="2" s="1"/>
  <c r="Y202" i="2"/>
  <c r="Z202" i="2" s="1"/>
  <c r="Y203" i="2"/>
  <c r="Z203" i="2" s="1"/>
  <c r="Y280" i="2"/>
  <c r="Z280" i="2" s="1"/>
  <c r="Y284" i="2"/>
  <c r="Z284" i="2" s="1"/>
  <c r="Y329" i="2"/>
  <c r="Z329" i="2" s="1"/>
  <c r="Y357" i="2"/>
  <c r="Z357" i="2" s="1"/>
  <c r="Y449" i="2"/>
  <c r="Z449" i="2" s="1"/>
  <c r="Y526" i="2"/>
  <c r="Z526" i="2" s="1"/>
  <c r="Y554" i="2"/>
  <c r="Z554" i="2" s="1"/>
  <c r="X554" i="2"/>
  <c r="X566" i="2"/>
  <c r="Y566" i="2"/>
  <c r="Z566" i="2" s="1"/>
  <c r="Y570" i="2"/>
  <c r="Z570" i="2" s="1"/>
  <c r="Y571" i="2"/>
  <c r="Z571" i="2" s="1"/>
  <c r="Y572" i="2"/>
  <c r="Z572" i="2" s="1"/>
  <c r="X604" i="2"/>
  <c r="Y604" i="2"/>
  <c r="Z604" i="2" s="1"/>
  <c r="Y625" i="2"/>
  <c r="Z625" i="2" s="1"/>
  <c r="X625" i="2"/>
  <c r="Y657" i="2"/>
  <c r="Z657" i="2" s="1"/>
  <c r="X657" i="2"/>
  <c r="X724" i="2"/>
  <c r="Y724" i="2"/>
  <c r="Z724" i="2" s="1"/>
  <c r="Y824" i="2"/>
  <c r="Z824" i="2" s="1"/>
  <c r="X824" i="2"/>
  <c r="X849" i="2"/>
  <c r="Y849" i="2"/>
  <c r="Z849" i="2" s="1"/>
  <c r="Y900" i="2"/>
  <c r="Z900" i="2" s="1"/>
  <c r="X900" i="2"/>
  <c r="Y310" i="2"/>
  <c r="Z310" i="2" s="1"/>
  <c r="X310" i="2"/>
  <c r="Y441" i="2"/>
  <c r="Z441" i="2" s="1"/>
  <c r="Y448" i="2"/>
  <c r="Z448" i="2" s="1"/>
  <c r="Y473" i="2"/>
  <c r="Z473" i="2" s="1"/>
  <c r="X473" i="2"/>
  <c r="Y541" i="2"/>
  <c r="Z541" i="2" s="1"/>
  <c r="X541" i="2"/>
  <c r="X636" i="2"/>
  <c r="Y636" i="2"/>
  <c r="Z636" i="2" s="1"/>
  <c r="X668" i="2"/>
  <c r="Y668" i="2"/>
  <c r="Z668" i="2" s="1"/>
  <c r="X692" i="2"/>
  <c r="Y692" i="2"/>
  <c r="Z692" i="2" s="1"/>
  <c r="X705" i="2"/>
  <c r="Y705" i="2"/>
  <c r="Z705" i="2" s="1"/>
  <c r="Y730" i="2"/>
  <c r="Z730" i="2" s="1"/>
  <c r="X730" i="2"/>
  <c r="Y801" i="2"/>
  <c r="Z801" i="2" s="1"/>
  <c r="Y929" i="2"/>
  <c r="Z929" i="2" s="1"/>
  <c r="X929" i="2"/>
  <c r="Y716" i="2"/>
  <c r="Z716" i="2" s="1"/>
  <c r="X716" i="2"/>
  <c r="Y543" i="2"/>
  <c r="Z543" i="2" s="1"/>
  <c r="Y591" i="2"/>
  <c r="Z591" i="2" s="1"/>
  <c r="Y623" i="2"/>
  <c r="Z623" i="2" s="1"/>
  <c r="Y655" i="2"/>
  <c r="Z655" i="2" s="1"/>
  <c r="Y711" i="2"/>
  <c r="Z711" i="2" s="1"/>
  <c r="X770" i="2"/>
  <c r="Y770" i="2"/>
  <c r="Z770" i="2" s="1"/>
  <c r="X807" i="2"/>
  <c r="Y807" i="2"/>
  <c r="Z807" i="2" s="1"/>
  <c r="Y416" i="2"/>
  <c r="Z416" i="2" s="1"/>
  <c r="Y457" i="2"/>
  <c r="Z457" i="2" s="1"/>
  <c r="Y583" i="2"/>
  <c r="Z583" i="2" s="1"/>
  <c r="Y615" i="2"/>
  <c r="Z615" i="2" s="1"/>
  <c r="Y647" i="2"/>
  <c r="Z647" i="2" s="1"/>
  <c r="Y860" i="2"/>
  <c r="Z860" i="2" s="1"/>
  <c r="X880" i="2"/>
  <c r="Y880" i="2"/>
  <c r="Z880" i="2" s="1"/>
  <c r="X905" i="2"/>
  <c r="Y905" i="2"/>
  <c r="Z905" i="2" s="1"/>
  <c r="Y432" i="2"/>
  <c r="Z432" i="2" s="1"/>
  <c r="Y684" i="2"/>
  <c r="Z684" i="2" s="1"/>
  <c r="X684" i="2"/>
  <c r="Y687" i="2"/>
  <c r="Z687" i="2" s="1"/>
  <c r="X741" i="2"/>
  <c r="Y741" i="2"/>
  <c r="Z741" i="2" s="1"/>
  <c r="Y829" i="2"/>
  <c r="Z829" i="2" s="1"/>
  <c r="X829" i="2"/>
  <c r="X936" i="2"/>
  <c r="Y936" i="2"/>
  <c r="Z936" i="2" s="1"/>
  <c r="X972" i="2"/>
  <c r="Y972" i="2"/>
  <c r="Z972" i="2" s="1"/>
  <c r="Y798" i="2"/>
  <c r="Z798" i="2" s="1"/>
  <c r="X798" i="2"/>
  <c r="Y813" i="2"/>
  <c r="Z813" i="2" s="1"/>
  <c r="X813" i="2"/>
  <c r="Y664" i="2"/>
  <c r="Z664" i="2" s="1"/>
  <c r="Y696" i="2"/>
  <c r="Z696" i="2" s="1"/>
  <c r="Y728" i="2"/>
  <c r="Z728" i="2" s="1"/>
  <c r="Y925" i="2"/>
  <c r="Z925" i="2" s="1"/>
  <c r="X925" i="2"/>
  <c r="Y599" i="2"/>
  <c r="Z599" i="2" s="1"/>
  <c r="Y631" i="2"/>
  <c r="Z631" i="2" s="1"/>
  <c r="Y663" i="2"/>
  <c r="Z663" i="2" s="1"/>
  <c r="Y695" i="2"/>
  <c r="Z695" i="2" s="1"/>
  <c r="Y727" i="2"/>
  <c r="Z727" i="2" s="1"/>
  <c r="Y766" i="2"/>
  <c r="Z766" i="2" s="1"/>
  <c r="X766" i="2"/>
  <c r="X802" i="2"/>
  <c r="Y802" i="2"/>
  <c r="Z802" i="2" s="1"/>
  <c r="Y821" i="2"/>
  <c r="Z821" i="2" s="1"/>
  <c r="X821" i="2"/>
  <c r="Y472" i="2"/>
  <c r="Z472" i="2" s="1"/>
  <c r="Y480" i="2"/>
  <c r="Z480" i="2" s="1"/>
  <c r="Y488" i="2"/>
  <c r="Z488" i="2" s="1"/>
  <c r="Y496" i="2"/>
  <c r="Z496" i="2" s="1"/>
  <c r="Y504" i="2"/>
  <c r="Z504" i="2" s="1"/>
  <c r="Y512" i="2"/>
  <c r="Z512" i="2" s="1"/>
  <c r="Y520" i="2"/>
  <c r="Z520" i="2" s="1"/>
  <c r="Y529" i="2"/>
  <c r="Z529" i="2" s="1"/>
  <c r="Y576" i="2"/>
  <c r="Z576" i="2" s="1"/>
  <c r="Y608" i="2"/>
  <c r="Z608" i="2" s="1"/>
  <c r="Y640" i="2"/>
  <c r="Z640" i="2" s="1"/>
  <c r="Y672" i="2"/>
  <c r="Z672" i="2" s="1"/>
  <c r="Y704" i="2"/>
  <c r="Z704" i="2" s="1"/>
  <c r="Y734" i="2"/>
  <c r="Z734" i="2" s="1"/>
  <c r="Y740" i="2"/>
  <c r="Z740" i="2" s="1"/>
  <c r="Y769" i="2"/>
  <c r="Z769" i="2" s="1"/>
  <c r="Y848" i="2"/>
  <c r="Z848" i="2" s="1"/>
  <c r="Y531" i="2"/>
  <c r="Z531" i="2" s="1"/>
  <c r="Y563" i="2"/>
  <c r="Z563" i="2" s="1"/>
  <c r="Y776" i="2"/>
  <c r="Z776" i="2" s="1"/>
  <c r="Y837" i="2"/>
  <c r="Z837" i="2" s="1"/>
  <c r="X837" i="2"/>
  <c r="Y845" i="2"/>
  <c r="Z845" i="2" s="1"/>
  <c r="X845" i="2"/>
  <c r="Y912" i="2"/>
  <c r="Z912" i="2" s="1"/>
  <c r="Y527" i="2"/>
  <c r="Z527" i="2" s="1"/>
  <c r="Y559" i="2"/>
  <c r="Z559" i="2" s="1"/>
  <c r="Y579" i="2"/>
  <c r="Z579" i="2" s="1"/>
  <c r="Y587" i="2"/>
  <c r="Z587" i="2" s="1"/>
  <c r="Y595" i="2"/>
  <c r="Z595" i="2" s="1"/>
  <c r="Y603" i="2"/>
  <c r="Z603" i="2" s="1"/>
  <c r="Y611" i="2"/>
  <c r="Z611" i="2" s="1"/>
  <c r="Y619" i="2"/>
  <c r="Z619" i="2" s="1"/>
  <c r="Y627" i="2"/>
  <c r="Z627" i="2" s="1"/>
  <c r="Y635" i="2"/>
  <c r="Z635" i="2" s="1"/>
  <c r="Y643" i="2"/>
  <c r="Z643" i="2" s="1"/>
  <c r="Y651" i="2"/>
  <c r="Z651" i="2" s="1"/>
  <c r="Y659" i="2"/>
  <c r="Z659" i="2" s="1"/>
  <c r="Y667" i="2"/>
  <c r="Z667" i="2" s="1"/>
  <c r="Y675" i="2"/>
  <c r="Z675" i="2" s="1"/>
  <c r="Y683" i="2"/>
  <c r="Z683" i="2" s="1"/>
  <c r="Y691" i="2"/>
  <c r="Z691" i="2" s="1"/>
  <c r="Y699" i="2"/>
  <c r="Z699" i="2" s="1"/>
  <c r="Y707" i="2"/>
  <c r="Z707" i="2" s="1"/>
  <c r="Y715" i="2"/>
  <c r="Z715" i="2" s="1"/>
  <c r="Y723" i="2"/>
  <c r="Z723" i="2" s="1"/>
  <c r="Y733" i="2"/>
  <c r="Z733" i="2" s="1"/>
  <c r="Y753" i="2"/>
  <c r="Z753" i="2" s="1"/>
  <c r="Y785" i="2"/>
  <c r="Z785" i="2" s="1"/>
  <c r="Y832" i="2"/>
  <c r="Z832" i="2" s="1"/>
  <c r="Y847" i="2"/>
  <c r="Z847" i="2" s="1"/>
  <c r="Y911" i="2"/>
  <c r="Z911" i="2" s="1"/>
  <c r="Y756" i="2"/>
  <c r="Z756" i="2" s="1"/>
  <c r="Y764" i="2"/>
  <c r="Z764" i="2" s="1"/>
  <c r="Y772" i="2"/>
  <c r="Z772" i="2" s="1"/>
  <c r="Y780" i="2"/>
  <c r="Z780" i="2" s="1"/>
  <c r="Y788" i="2"/>
  <c r="Z788" i="2" s="1"/>
  <c r="Y796" i="2"/>
  <c r="Z796" i="2" s="1"/>
  <c r="Y885" i="2"/>
  <c r="Z885" i="2" s="1"/>
  <c r="X885" i="2"/>
  <c r="Y859" i="2"/>
  <c r="Z859" i="2" s="1"/>
  <c r="Y879" i="2"/>
  <c r="Z879" i="2" s="1"/>
  <c r="Y892" i="2"/>
  <c r="Z892" i="2" s="1"/>
  <c r="Y961" i="2"/>
  <c r="Z961" i="2" s="1"/>
  <c r="X961" i="2"/>
  <c r="Y964" i="2"/>
  <c r="Z964" i="2" s="1"/>
  <c r="Y988" i="2"/>
  <c r="Z988" i="2" s="1"/>
  <c r="Y907" i="2"/>
  <c r="Z907" i="2" s="1"/>
  <c r="Y915" i="2"/>
  <c r="Z915" i="2" s="1"/>
</calcChain>
</file>

<file path=xl/sharedStrings.xml><?xml version="1.0" encoding="utf-8"?>
<sst xmlns="http://schemas.openxmlformats.org/spreadsheetml/2006/main" count="19611" uniqueCount="3840">
  <si>
    <t>Product_ID</t>
  </si>
  <si>
    <t>Product_Name</t>
  </si>
  <si>
    <t>Catagory</t>
  </si>
  <si>
    <t>Supplier_ID</t>
  </si>
  <si>
    <t>Supplier_Name</t>
  </si>
  <si>
    <t>Stock_Quantity</t>
  </si>
  <si>
    <t>Reorder_Level</t>
  </si>
  <si>
    <t>Reorder_Quantity</t>
  </si>
  <si>
    <t>Unit_Price</t>
  </si>
  <si>
    <t>Date_Received</t>
  </si>
  <si>
    <t>Last_Order_Date</t>
  </si>
  <si>
    <t>Expiration_Date</t>
  </si>
  <si>
    <t>Warehouse_Location</t>
  </si>
  <si>
    <t>Sales_Volume</t>
  </si>
  <si>
    <t>Inventory_Turnover_Rate</t>
  </si>
  <si>
    <t>Status</t>
  </si>
  <si>
    <t>29-205-1132</t>
  </si>
  <si>
    <t>Sushi Rice</t>
  </si>
  <si>
    <t>Grains &amp; Pulses</t>
  </si>
  <si>
    <t>38-037-1699</t>
  </si>
  <si>
    <t>Jaxnation</t>
  </si>
  <si>
    <t xml:space="preserve">$4.50 </t>
  </si>
  <si>
    <t>8/16/2024</t>
  </si>
  <si>
    <t>6/29/2024</t>
  </si>
  <si>
    <t>9/19/2024</t>
  </si>
  <si>
    <t>48 Del Sol Trail</t>
  </si>
  <si>
    <t>Discontinued</t>
  </si>
  <si>
    <t>40-681-9981</t>
  </si>
  <si>
    <t>Arabica Coffee</t>
  </si>
  <si>
    <t>Beverages</t>
  </si>
  <si>
    <t>54-470-2479</t>
  </si>
  <si>
    <t>Feedmix</t>
  </si>
  <si>
    <t xml:space="preserve">$20.00 </t>
  </si>
  <si>
    <t>5/29/2024</t>
  </si>
  <si>
    <t>36 3rd Place</t>
  </si>
  <si>
    <t>06-955-3428</t>
  </si>
  <si>
    <t>Black Rice</t>
  </si>
  <si>
    <t>54-031-2945</t>
  </si>
  <si>
    <t>Vinder</t>
  </si>
  <si>
    <t xml:space="preserve">$6.00 </t>
  </si>
  <si>
    <t>9/22/2024</t>
  </si>
  <si>
    <t>3296 Walton Court</t>
  </si>
  <si>
    <t>Backordered</t>
  </si>
  <si>
    <t>71-594-6552</t>
  </si>
  <si>
    <t>Long Grain Rice</t>
  </si>
  <si>
    <t>63-492-7603</t>
  </si>
  <si>
    <t>Brightbean</t>
  </si>
  <si>
    <t xml:space="preserve">$1.50 </t>
  </si>
  <si>
    <t>2/19/2025</t>
  </si>
  <si>
    <t>4/17/2024</t>
  </si>
  <si>
    <t>3 Westerfield Crossing</t>
  </si>
  <si>
    <t>Active</t>
  </si>
  <si>
    <t>57-437-1828</t>
  </si>
  <si>
    <t>Plum</t>
  </si>
  <si>
    <t>Fruits &amp; Vegetables</t>
  </si>
  <si>
    <t>54-226-4308</t>
  </si>
  <si>
    <t>Topicstorm</t>
  </si>
  <si>
    <t xml:space="preserve">$4.00 </t>
  </si>
  <si>
    <t>15068 Scoville Court</t>
  </si>
  <si>
    <t>21-120-6238</t>
  </si>
  <si>
    <t>All-Purpose Flour</t>
  </si>
  <si>
    <t>86-292-4587</t>
  </si>
  <si>
    <t>Dabjam</t>
  </si>
  <si>
    <t xml:space="preserve">$1.75 </t>
  </si>
  <si>
    <t>5/26/2024</t>
  </si>
  <si>
    <t>050 Mcbride Avenue</t>
  </si>
  <si>
    <t>71-516-1996</t>
  </si>
  <si>
    <t>Corn Oil</t>
  </si>
  <si>
    <t>Oils &amp; Fats</t>
  </si>
  <si>
    <t>04-391-7610</t>
  </si>
  <si>
    <t>Tagfeed</t>
  </si>
  <si>
    <t xml:space="preserve">$2.50 </t>
  </si>
  <si>
    <t>3/18/2024</t>
  </si>
  <si>
    <t>6/20/2024</t>
  </si>
  <si>
    <t>12 Truax Court</t>
  </si>
  <si>
    <t>39-629-5554</t>
  </si>
  <si>
    <t>Egg (Goose)</t>
  </si>
  <si>
    <t>Dairy</t>
  </si>
  <si>
    <t>67-679-4930</t>
  </si>
  <si>
    <t>Muxo</t>
  </si>
  <si>
    <t>267 International Plaza</t>
  </si>
  <si>
    <t>66-268-8345</t>
  </si>
  <si>
    <t>Greek Yogurt</t>
  </si>
  <si>
    <t>32-182-1895</t>
  </si>
  <si>
    <t>Thoughtstorm</t>
  </si>
  <si>
    <t xml:space="preserve">$3.00 </t>
  </si>
  <si>
    <t>550 Clemons Plaza</t>
  </si>
  <si>
    <t>46-452-9419</t>
  </si>
  <si>
    <t>Egg (Duck)</t>
  </si>
  <si>
    <t>67-137-4215</t>
  </si>
  <si>
    <t>Wordify</t>
  </si>
  <si>
    <t xml:space="preserve">$1.00 </t>
  </si>
  <si>
    <t>11/18/2024</t>
  </si>
  <si>
    <t>11/14/2024</t>
  </si>
  <si>
    <t>55782 Welch Hill</t>
  </si>
  <si>
    <t>51-469-4611</t>
  </si>
  <si>
    <t>62-029-0827</t>
  </si>
  <si>
    <t>Fivebridge</t>
  </si>
  <si>
    <t xml:space="preserve">$1.60 </t>
  </si>
  <si>
    <t>12/18/2024</t>
  </si>
  <si>
    <t>5/24/2024</t>
  </si>
  <si>
    <t>04776 Saint Paul Park</t>
  </si>
  <si>
    <t>42-220-9305</t>
  </si>
  <si>
    <t>White Sugar</t>
  </si>
  <si>
    <t>56-092-7992</t>
  </si>
  <si>
    <t>Zooxo</t>
  </si>
  <si>
    <t xml:space="preserve">$2.00 </t>
  </si>
  <si>
    <t>10/19/2024</t>
  </si>
  <si>
    <t>10/14/2024</t>
  </si>
  <si>
    <t>61932 Cascade Crossing</t>
  </si>
  <si>
    <t>75-094-1179</t>
  </si>
  <si>
    <t>Rye Bread</t>
  </si>
  <si>
    <t>Bakery</t>
  </si>
  <si>
    <t>57-615-0729</t>
  </si>
  <si>
    <t>Vitz</t>
  </si>
  <si>
    <t>12/13/2024</t>
  </si>
  <si>
    <t>7/18/2024</t>
  </si>
  <si>
    <t>13 Forest Run Place</t>
  </si>
  <si>
    <t>11-073-0189</t>
  </si>
  <si>
    <t>75-190-3627</t>
  </si>
  <si>
    <t>Voomm</t>
  </si>
  <si>
    <t>9/21/2024</t>
  </si>
  <si>
    <t>5104 Jana Court</t>
  </si>
  <si>
    <t>22-621-2774</t>
  </si>
  <si>
    <t>Strawberries</t>
  </si>
  <si>
    <t>70-901-6191</t>
  </si>
  <si>
    <t>Babblestorm</t>
  </si>
  <si>
    <t>6/30/2024</t>
  </si>
  <si>
    <t>6/14/2024</t>
  </si>
  <si>
    <t>00 Drewry Court</t>
  </si>
  <si>
    <t>39-449-0772</t>
  </si>
  <si>
    <t>Feta Cheese</t>
  </si>
  <si>
    <t>84-504-7617</t>
  </si>
  <si>
    <t>Youfeed</t>
  </si>
  <si>
    <t xml:space="preserve">$7.00 </t>
  </si>
  <si>
    <t>2/27/2024</t>
  </si>
  <si>
    <t>195 Portage Junction</t>
  </si>
  <si>
    <t>55-936-2406</t>
  </si>
  <si>
    <t>Bread Flour</t>
  </si>
  <si>
    <t>29-689-5014</t>
  </si>
  <si>
    <t>Mynte</t>
  </si>
  <si>
    <t>11/16/2024</t>
  </si>
  <si>
    <t>52691 8th Drive</t>
  </si>
  <si>
    <t>82-041-7211</t>
  </si>
  <si>
    <t>Swiss Cheese</t>
  </si>
  <si>
    <t>03-615-0558</t>
  </si>
  <si>
    <t>Reallinks</t>
  </si>
  <si>
    <t xml:space="preserve">$8.00 </t>
  </si>
  <si>
    <t>5/19/2024</t>
  </si>
  <si>
    <t>285 1st Park</t>
  </si>
  <si>
    <t>48-414-6162</t>
  </si>
  <si>
    <t>10-060-8515</t>
  </si>
  <si>
    <t>Skivee</t>
  </si>
  <si>
    <t>17780 Lindbergh Junction</t>
  </si>
  <si>
    <t>76-854-0095</t>
  </si>
  <si>
    <t>38-883-3382</t>
  </si>
  <si>
    <t>Mydeo</t>
  </si>
  <si>
    <t>5/31/2024</t>
  </si>
  <si>
    <t>12/28/2024</t>
  </si>
  <si>
    <t>7834 Cordelia Alley</t>
  </si>
  <si>
    <t>25-349-7974</t>
  </si>
  <si>
    <t>Spinach</t>
  </si>
  <si>
    <t>82-737-6019</t>
  </si>
  <si>
    <t>Devshare</t>
  </si>
  <si>
    <t>5/28/2024</t>
  </si>
  <si>
    <t>6/22/2024</t>
  </si>
  <si>
    <t>42 Bunker Hill Junction</t>
  </si>
  <si>
    <t>66-627-9752</t>
  </si>
  <si>
    <t>Trout</t>
  </si>
  <si>
    <t>Seafood</t>
  </si>
  <si>
    <t>87-839-6400</t>
  </si>
  <si>
    <t>Jabbertype</t>
  </si>
  <si>
    <t xml:space="preserve">$12.00 </t>
  </si>
  <si>
    <t>8/17/2024</t>
  </si>
  <si>
    <t>08 Randy Junction</t>
  </si>
  <si>
    <t>78-614-4402</t>
  </si>
  <si>
    <t>Green Beans</t>
  </si>
  <si>
    <t>51-014-4287</t>
  </si>
  <si>
    <t>Gigazoom</t>
  </si>
  <si>
    <t>9/30/2024</t>
  </si>
  <si>
    <t>2/14/2025</t>
  </si>
  <si>
    <t>4/25/2024</t>
  </si>
  <si>
    <t>37 Browning Trail</t>
  </si>
  <si>
    <t>67-025-1245</t>
  </si>
  <si>
    <t>Cabbage</t>
  </si>
  <si>
    <t>28-575-0716</t>
  </si>
  <si>
    <t>Chatterbridge</t>
  </si>
  <si>
    <t>51890 Lindbergh Terrace</t>
  </si>
  <si>
    <t>68-418-6724</t>
  </si>
  <si>
    <t>Parmesan Cheese</t>
  </si>
  <si>
    <t>75-465-6257</t>
  </si>
  <si>
    <t>Feedspan</t>
  </si>
  <si>
    <t>12/21/2024</t>
  </si>
  <si>
    <t>1/13/2025</t>
  </si>
  <si>
    <t>49869 Bunker Hill Terrace</t>
  </si>
  <si>
    <t>40-795-0753</t>
  </si>
  <si>
    <t>Raw Sugar</t>
  </si>
  <si>
    <t>47-183-4911</t>
  </si>
  <si>
    <t>Mydo</t>
  </si>
  <si>
    <t>2/22/2025</t>
  </si>
  <si>
    <t>5/30/2024</t>
  </si>
  <si>
    <t>66879 Susan Place</t>
  </si>
  <si>
    <t>02-508-3777</t>
  </si>
  <si>
    <t>Egg (Quail)</t>
  </si>
  <si>
    <t>69-933-2582</t>
  </si>
  <si>
    <t>Realpoint</t>
  </si>
  <si>
    <t xml:space="preserve">$0.80 </t>
  </si>
  <si>
    <t>6/26/2024</t>
  </si>
  <si>
    <t>895 Northland Hill</t>
  </si>
  <si>
    <t>79-741-0770</t>
  </si>
  <si>
    <t>Mushrooms</t>
  </si>
  <si>
    <t>67-771-7656</t>
  </si>
  <si>
    <t>Photospace</t>
  </si>
  <si>
    <t>6/24/2024</t>
  </si>
  <si>
    <t>2/24/2025</t>
  </si>
  <si>
    <t>3/17/2024</t>
  </si>
  <si>
    <t>91 Kinsman Terrace</t>
  </si>
  <si>
    <t>31-211-5803</t>
  </si>
  <si>
    <t>Oatmeal Biscuit</t>
  </si>
  <si>
    <t>75-503-9347</t>
  </si>
  <si>
    <t xml:space="preserve">$5.00 </t>
  </si>
  <si>
    <t>7/16/2024</t>
  </si>
  <si>
    <t>8/21/2024</t>
  </si>
  <si>
    <t>492 Shoshone Road</t>
  </si>
  <si>
    <t>16-499-5059</t>
  </si>
  <si>
    <t>Pear</t>
  </si>
  <si>
    <t>09-090-6360</t>
  </si>
  <si>
    <t>Centizu</t>
  </si>
  <si>
    <t>8/18/2024</t>
  </si>
  <si>
    <t>11/19/2024</t>
  </si>
  <si>
    <t>12/20/2024</t>
  </si>
  <si>
    <t>3 Hooker Way</t>
  </si>
  <si>
    <t>76-340-4432</t>
  </si>
  <si>
    <t>Cucumber</t>
  </si>
  <si>
    <t>79-915-4185</t>
  </si>
  <si>
    <t>Brainverse</t>
  </si>
  <si>
    <t>3/28/2024</t>
  </si>
  <si>
    <t>157 David Center</t>
  </si>
  <si>
    <t>38-732-7667</t>
  </si>
  <si>
    <t>Pineapple</t>
  </si>
  <si>
    <t>88-663-3393</t>
  </si>
  <si>
    <t>Photojam</t>
  </si>
  <si>
    <t xml:space="preserve">$3.50 </t>
  </si>
  <si>
    <t>8/23/2024</t>
  </si>
  <si>
    <t>10/13/2024</t>
  </si>
  <si>
    <t>9/28/2024</t>
  </si>
  <si>
    <t>3645 Ridge Oak Drive</t>
  </si>
  <si>
    <t>04-240-2226</t>
  </si>
  <si>
    <t>Olive Oil</t>
  </si>
  <si>
    <t>65-842-6819</t>
  </si>
  <si>
    <t>Kamba</t>
  </si>
  <si>
    <t>8/13/2024</t>
  </si>
  <si>
    <t>6/28/2024</t>
  </si>
  <si>
    <t>504 Green Park</t>
  </si>
  <si>
    <t>79-136-9840</t>
  </si>
  <si>
    <t>Herbal Tea</t>
  </si>
  <si>
    <t>07-809-0926</t>
  </si>
  <si>
    <t>Pixonyx</t>
  </si>
  <si>
    <t xml:space="preserve">$30.00 </t>
  </si>
  <si>
    <t>8/19/2024</t>
  </si>
  <si>
    <t>6/23/2024</t>
  </si>
  <si>
    <t>26175 Oxford Way</t>
  </si>
  <si>
    <t>73-401-5721</t>
  </si>
  <si>
    <t>Haddock</t>
  </si>
  <si>
    <t>38-622-5251</t>
  </si>
  <si>
    <t>Midel</t>
  </si>
  <si>
    <t xml:space="preserve">$9.00 </t>
  </si>
  <si>
    <t>10/28/2024</t>
  </si>
  <si>
    <t>12/26/2024</t>
  </si>
  <si>
    <t>582 Sauthoff Crossing</t>
  </si>
  <si>
    <t>91-848-0606</t>
  </si>
  <si>
    <t>Onion</t>
  </si>
  <si>
    <t>68-836-0350</t>
  </si>
  <si>
    <t>Skyble</t>
  </si>
  <si>
    <t>7/23/2024</t>
  </si>
  <si>
    <t>13 Corscot Hill</t>
  </si>
  <si>
    <t>54-109-8062</t>
  </si>
  <si>
    <t>04-726-3363</t>
  </si>
  <si>
    <t>Linklinks</t>
  </si>
  <si>
    <t>1/19/2025</t>
  </si>
  <si>
    <t>2/16/2025</t>
  </si>
  <si>
    <t>67 Little Fleur Road</t>
  </si>
  <si>
    <t>70-612-2531</t>
  </si>
  <si>
    <t>94-217-4781</t>
  </si>
  <si>
    <t>Flipbug</t>
  </si>
  <si>
    <t xml:space="preserve">$3.45 </t>
  </si>
  <si>
    <t>1/25/2025</t>
  </si>
  <si>
    <t>10/30/2024</t>
  </si>
  <si>
    <t>4 Raven Drive</t>
  </si>
  <si>
    <t>26-161-6692</t>
  </si>
  <si>
    <t>Zucchini</t>
  </si>
  <si>
    <t>61-796-7912</t>
  </si>
  <si>
    <t>Kare</t>
  </si>
  <si>
    <t>12/22/2024</t>
  </si>
  <si>
    <t>70001 Vahlen Lane</t>
  </si>
  <si>
    <t>43-893-5408</t>
  </si>
  <si>
    <t>Short Grain Rice</t>
  </si>
  <si>
    <t>25-414-2945</t>
  </si>
  <si>
    <t>Snaptags</t>
  </si>
  <si>
    <t>1/21/2025</t>
  </si>
  <si>
    <t>3/20/2024</t>
  </si>
  <si>
    <t>8/24/2024</t>
  </si>
  <si>
    <t>6 Orin Place</t>
  </si>
  <si>
    <t>11-316-8405</t>
  </si>
  <si>
    <t>Mango</t>
  </si>
  <si>
    <t>50-918-1373</t>
  </si>
  <si>
    <t>Twitternation</t>
  </si>
  <si>
    <t>4/26/2024</t>
  </si>
  <si>
    <t>11/25/2024</t>
  </si>
  <si>
    <t>108 Morning Center</t>
  </si>
  <si>
    <t>34-086-3222</t>
  </si>
  <si>
    <t>Lemon</t>
  </si>
  <si>
    <t>34-017-9457</t>
  </si>
  <si>
    <t>Layo</t>
  </si>
  <si>
    <t xml:space="preserve">$2.30 </t>
  </si>
  <si>
    <t>12/25/2024</t>
  </si>
  <si>
    <t>867 Merrick Place</t>
  </si>
  <si>
    <t>21-816-1004</t>
  </si>
  <si>
    <t>Black Coffee</t>
  </si>
  <si>
    <t>68-482-4786</t>
  </si>
  <si>
    <t xml:space="preserve">$15.00 </t>
  </si>
  <si>
    <t>1/26/2025</t>
  </si>
  <si>
    <t>7/22/2024</t>
  </si>
  <si>
    <t>564 Hazelcrest Crossing</t>
  </si>
  <si>
    <t>43-693-2092</t>
  </si>
  <si>
    <t>Butter</t>
  </si>
  <si>
    <t>19-469-9841</t>
  </si>
  <si>
    <t>Kayveo</t>
  </si>
  <si>
    <t>4/30/2024</t>
  </si>
  <si>
    <t>10/21/2024</t>
  </si>
  <si>
    <t>76 Toban Plaza</t>
  </si>
  <si>
    <t>63-270-7076</t>
  </si>
  <si>
    <t>Multigrain Bread</t>
  </si>
  <si>
    <t>85-532-0172</t>
  </si>
  <si>
    <t>Roombo</t>
  </si>
  <si>
    <t>4/21/2024</t>
  </si>
  <si>
    <t>1/24/2025</t>
  </si>
  <si>
    <t>6 Lunder Parkway</t>
  </si>
  <si>
    <t>90-230-9767</t>
  </si>
  <si>
    <t>70-515-9048</t>
  </si>
  <si>
    <t>Voonyx</t>
  </si>
  <si>
    <t>11/17/2024</t>
  </si>
  <si>
    <t>00397 Bay Terrace</t>
  </si>
  <si>
    <t>05-334-2923</t>
  </si>
  <si>
    <t>41-772-6271</t>
  </si>
  <si>
    <t>Browsezoom</t>
  </si>
  <si>
    <t>11/22/2024</t>
  </si>
  <si>
    <t>5/16/2024</t>
  </si>
  <si>
    <t>8 Surrey Pass</t>
  </si>
  <si>
    <t>52-481-5224</t>
  </si>
  <si>
    <t>Kiwi</t>
  </si>
  <si>
    <t>46-382-2024</t>
  </si>
  <si>
    <t>Fiveclub</t>
  </si>
  <si>
    <t>2/15/2025</t>
  </si>
  <si>
    <t>80 Old Shore Plaza</t>
  </si>
  <si>
    <t>11-325-7396</t>
  </si>
  <si>
    <t>98-940-7545</t>
  </si>
  <si>
    <t>Skipfire</t>
  </si>
  <si>
    <t>7/28/2024</t>
  </si>
  <si>
    <t>10/18/2024</t>
  </si>
  <si>
    <t>3/26/2024</t>
  </si>
  <si>
    <t>387 Jay Point</t>
  </si>
  <si>
    <t>70-854-6891</t>
  </si>
  <si>
    <t>Sourdough Bread</t>
  </si>
  <si>
    <t>79-575-9351</t>
  </si>
  <si>
    <t>Flashspan</t>
  </si>
  <si>
    <t>1/28/2025</t>
  </si>
  <si>
    <t>11/28/2024</t>
  </si>
  <si>
    <t>24045 Bluestem Point</t>
  </si>
  <si>
    <t>46-520-1819</t>
  </si>
  <si>
    <t>10-762-7936</t>
  </si>
  <si>
    <t>Katz</t>
  </si>
  <si>
    <t>5/15/2024</t>
  </si>
  <si>
    <t>805 Nancy Crossing</t>
  </si>
  <si>
    <t>91-105-7317</t>
  </si>
  <si>
    <t>Orange</t>
  </si>
  <si>
    <t>84-047-0017</t>
  </si>
  <si>
    <t>44022 Barnett Way</t>
  </si>
  <si>
    <t>40-751-8635</t>
  </si>
  <si>
    <t>48-878-3021</t>
  </si>
  <si>
    <t>Yamia</t>
  </si>
  <si>
    <t xml:space="preserve">$3.40 </t>
  </si>
  <si>
    <t>8/30/2024</t>
  </si>
  <si>
    <t>10/17/2024</t>
  </si>
  <si>
    <t>3 Ronald Regan Center</t>
  </si>
  <si>
    <t>02-920-4829</t>
  </si>
  <si>
    <t>White Bread</t>
  </si>
  <si>
    <t>41-587-4864</t>
  </si>
  <si>
    <t>5/22/2024</t>
  </si>
  <si>
    <t>4 Judy Hill</t>
  </si>
  <si>
    <t>36-918-2937</t>
  </si>
  <si>
    <t>Green Coffee</t>
  </si>
  <si>
    <t>53-844-0478</t>
  </si>
  <si>
    <t>Kwinu</t>
  </si>
  <si>
    <t>90865 Sherman Court</t>
  </si>
  <si>
    <t>68-761-6907</t>
  </si>
  <si>
    <t>31-199-3683</t>
  </si>
  <si>
    <t>7/21/2024</t>
  </si>
  <si>
    <t>9695 Alpine Trail</t>
  </si>
  <si>
    <t>69-468-5468</t>
  </si>
  <si>
    <t>37-099-6976</t>
  </si>
  <si>
    <t>Vinte</t>
  </si>
  <si>
    <t>11/26/2024</t>
  </si>
  <si>
    <t>72083 Acker Crossing</t>
  </si>
  <si>
    <t>27-635-8394</t>
  </si>
  <si>
    <t>87-893-6089</t>
  </si>
  <si>
    <t>Twitterwire</t>
  </si>
  <si>
    <t xml:space="preserve">$2.90 </t>
  </si>
  <si>
    <t>11/13/2024</t>
  </si>
  <si>
    <t>3/19/2024</t>
  </si>
  <si>
    <t>812 Shelley Circle</t>
  </si>
  <si>
    <t>41-729-5410</t>
  </si>
  <si>
    <t>Sardines</t>
  </si>
  <si>
    <t>71-727-8611</t>
  </si>
  <si>
    <t>Ntag</t>
  </si>
  <si>
    <t>10/23/2024</t>
  </si>
  <si>
    <t>7193 Crownhardt Drive</t>
  </si>
  <si>
    <t>33-335-9140</t>
  </si>
  <si>
    <t>08-209-1598</t>
  </si>
  <si>
    <t>Blogspan</t>
  </si>
  <si>
    <t>10/24/2024</t>
  </si>
  <si>
    <t>8/20/2024</t>
  </si>
  <si>
    <t>8/27/2024</t>
  </si>
  <si>
    <t>76928 Tennyson Parkway</t>
  </si>
  <si>
    <t>11-581-9869</t>
  </si>
  <si>
    <t>Carrot</t>
  </si>
  <si>
    <t>22-867-3079</t>
  </si>
  <si>
    <t>Avaveo</t>
  </si>
  <si>
    <t>9/26/2024</t>
  </si>
  <si>
    <t>44801 Myrtle Center</t>
  </si>
  <si>
    <t>78-237-0277</t>
  </si>
  <si>
    <t>Black Tea</t>
  </si>
  <si>
    <t>50-314-5433</t>
  </si>
  <si>
    <t>Brainbox</t>
  </si>
  <si>
    <t>9/15/2024</t>
  </si>
  <si>
    <t>9/23/2024</t>
  </si>
  <si>
    <t>79 Cardinal Court</t>
  </si>
  <si>
    <t>75-152-8731</t>
  </si>
  <si>
    <t>05-593-1927</t>
  </si>
  <si>
    <t>Voonix</t>
  </si>
  <si>
    <t xml:space="preserve">$4.45 </t>
  </si>
  <si>
    <t>622 Anthes Lane</t>
  </si>
  <si>
    <t>65-718-0492</t>
  </si>
  <si>
    <t>91-492-8216</t>
  </si>
  <si>
    <t>1/23/2025</t>
  </si>
  <si>
    <t>8626 Chinook Parkway</t>
  </si>
  <si>
    <t>55-697-5242</t>
  </si>
  <si>
    <t>Ricotta Cheese</t>
  </si>
  <si>
    <t>74-726-0855</t>
  </si>
  <si>
    <t>Shufflebeat</t>
  </si>
  <si>
    <t>1/31/2025</t>
  </si>
  <si>
    <t>9/24/2024</t>
  </si>
  <si>
    <t>19112 Little Fleur Road</t>
  </si>
  <si>
    <t>14-844-4138</t>
  </si>
  <si>
    <t>90-534-2165</t>
  </si>
  <si>
    <t>10/25/2024</t>
  </si>
  <si>
    <t>40643 Sullivan Lane</t>
  </si>
  <si>
    <t>20-225-3930</t>
  </si>
  <si>
    <t>White Tea</t>
  </si>
  <si>
    <t>73-069-2753</t>
  </si>
  <si>
    <t>Skipstorm</t>
  </si>
  <si>
    <t xml:space="preserve">$25.00 </t>
  </si>
  <si>
    <t>2/29/2024</t>
  </si>
  <si>
    <t>5756 Stephen Avenue</t>
  </si>
  <si>
    <t>66-993-4234</t>
  </si>
  <si>
    <t>15-852-0491</t>
  </si>
  <si>
    <t xml:space="preserve">$1.80 </t>
  </si>
  <si>
    <t>1/16/2025</t>
  </si>
  <si>
    <t>22 Dexter Trail</t>
  </si>
  <si>
    <t>87-762-1317</t>
  </si>
  <si>
    <t>Mozzarella Cheese</t>
  </si>
  <si>
    <t>58-474-3510</t>
  </si>
  <si>
    <t>Dazzlesphere</t>
  </si>
  <si>
    <t>11/20/2024</t>
  </si>
  <si>
    <t>9305 Warrior Way</t>
  </si>
  <si>
    <t>81-844-2979</t>
  </si>
  <si>
    <t>Broccoli</t>
  </si>
  <si>
    <t>02-575-7332</t>
  </si>
  <si>
    <t>Realblab</t>
  </si>
  <si>
    <t>1/15/2025</t>
  </si>
  <si>
    <t>16 Elgar Point</t>
  </si>
  <si>
    <t>44-408-7594</t>
  </si>
  <si>
    <t>Eggplant</t>
  </si>
  <si>
    <t>08-828-3804</t>
  </si>
  <si>
    <t>Eire</t>
  </si>
  <si>
    <t>11/24/2024</t>
  </si>
  <si>
    <t>81 Oneill Circle</t>
  </si>
  <si>
    <t>26-010-9519</t>
  </si>
  <si>
    <t>28-837-4164</t>
  </si>
  <si>
    <t>Blogtag</t>
  </si>
  <si>
    <t>4508 Shopko Trail</t>
  </si>
  <si>
    <t>65-464-5070</t>
  </si>
  <si>
    <t>Heavy Cream</t>
  </si>
  <si>
    <t>01-517-7793</t>
  </si>
  <si>
    <t>Ntags</t>
  </si>
  <si>
    <t>3/16/2024</t>
  </si>
  <si>
    <t>00 Luster Alley</t>
  </si>
  <si>
    <t>07-970-9352</t>
  </si>
  <si>
    <t>Bell Pepper</t>
  </si>
  <si>
    <t>14-724-4622</t>
  </si>
  <si>
    <t>Tagtune</t>
  </si>
  <si>
    <t>459 Gateway Pass</t>
  </si>
  <si>
    <t>88-746-9468</t>
  </si>
  <si>
    <t>06-159-1957</t>
  </si>
  <si>
    <t>Skiba</t>
  </si>
  <si>
    <t>82737 Ryan Place</t>
  </si>
  <si>
    <t>06-336-5482</t>
  </si>
  <si>
    <t>99-784-4391</t>
  </si>
  <si>
    <t>Voolia</t>
  </si>
  <si>
    <t>12/31/2024</t>
  </si>
  <si>
    <t>7 Mockingbird Hill</t>
  </si>
  <si>
    <t>03-276-3931</t>
  </si>
  <si>
    <t>42-224-8186</t>
  </si>
  <si>
    <t>Oyoloo</t>
  </si>
  <si>
    <t>9/18/2024</t>
  </si>
  <si>
    <t>081 Bellgrove Place</t>
  </si>
  <si>
    <t>39-232-5341</t>
  </si>
  <si>
    <t>Arborio Rice</t>
  </si>
  <si>
    <t>23-319-2681</t>
  </si>
  <si>
    <t>05433 Towne Terrace</t>
  </si>
  <si>
    <t>12-239-9399</t>
  </si>
  <si>
    <t>Potato</t>
  </si>
  <si>
    <t>53-584-1853</t>
  </si>
  <si>
    <t xml:space="preserve">$1.20 </t>
  </si>
  <si>
    <t>12/14/2024</t>
  </si>
  <si>
    <t>7/29/2024</t>
  </si>
  <si>
    <t>10/27/2024</t>
  </si>
  <si>
    <t>924 La Follette Alley</t>
  </si>
  <si>
    <t>75-080-4909</t>
  </si>
  <si>
    <t>34-726-5887</t>
  </si>
  <si>
    <t>Tagopia</t>
  </si>
  <si>
    <t>7 Gateway Center</t>
  </si>
  <si>
    <t>70-815-4015</t>
  </si>
  <si>
    <t>Butter Biscuit</t>
  </si>
  <si>
    <t>89-134-9717</t>
  </si>
  <si>
    <t>Ozu</t>
  </si>
  <si>
    <t>7/15/2024</t>
  </si>
  <si>
    <t>175 Sycamore Circle</t>
  </si>
  <si>
    <t>11-032-9778</t>
  </si>
  <si>
    <t>Peas</t>
  </si>
  <si>
    <t>42-380-8881</t>
  </si>
  <si>
    <t>Edgepulse</t>
  </si>
  <si>
    <t>1/27/2025</t>
  </si>
  <si>
    <t>553 Mayfield Crossing</t>
  </si>
  <si>
    <t>54-374-9986</t>
  </si>
  <si>
    <t>Cream</t>
  </si>
  <si>
    <t>33-818-4917</t>
  </si>
  <si>
    <t>Oyondu</t>
  </si>
  <si>
    <t>10/22/2024</t>
  </si>
  <si>
    <t>3/21/2024</t>
  </si>
  <si>
    <t>74997 Katie Terrace</t>
  </si>
  <si>
    <t>77-312-6317</t>
  </si>
  <si>
    <t>12-950-4397</t>
  </si>
  <si>
    <t>Abatz</t>
  </si>
  <si>
    <t xml:space="preserve">$2.40 </t>
  </si>
  <si>
    <t>2/26/2024</t>
  </si>
  <si>
    <t>9/13/2024</t>
  </si>
  <si>
    <t>3616 Carey Pass</t>
  </si>
  <si>
    <t>13-844-2178</t>
  </si>
  <si>
    <t>66-832-1802</t>
  </si>
  <si>
    <t>Browsetype</t>
  </si>
  <si>
    <t>3/24/2024</t>
  </si>
  <si>
    <t>86207 Tennyson Parkway</t>
  </si>
  <si>
    <t>22-141-9798</t>
  </si>
  <si>
    <t>59-849-9942</t>
  </si>
  <si>
    <t>Photobean</t>
  </si>
  <si>
    <t>5/18/2024</t>
  </si>
  <si>
    <t>9/20/2024</t>
  </si>
  <si>
    <t>6 Nobel Junction</t>
  </si>
  <si>
    <t>20-022-3173</t>
  </si>
  <si>
    <t>54-188-1006</t>
  </si>
  <si>
    <t>81878 Nobel Point</t>
  </si>
  <si>
    <t>26-177-5690</t>
  </si>
  <si>
    <t>06-708-1412</t>
  </si>
  <si>
    <t>Skinte</t>
  </si>
  <si>
    <t>61707 Mariners Cove Park</t>
  </si>
  <si>
    <t>70-871-4536</t>
  </si>
  <si>
    <t>72-514-7323</t>
  </si>
  <si>
    <t>Cogilith</t>
  </si>
  <si>
    <t>6/17/2024</t>
  </si>
  <si>
    <t>5 Waxwing Junction</t>
  </si>
  <si>
    <t>06-611-5454</t>
  </si>
  <si>
    <t>Peanut Oil</t>
  </si>
  <si>
    <t>43-786-9229</t>
  </si>
  <si>
    <t>Bluezoom</t>
  </si>
  <si>
    <t>1/30/2025</t>
  </si>
  <si>
    <t>16 Autumn Leaf Way</t>
  </si>
  <si>
    <t>89-543-3456</t>
  </si>
  <si>
    <t>Blueberries</t>
  </si>
  <si>
    <t>23-178-8962</t>
  </si>
  <si>
    <t>Jaloo</t>
  </si>
  <si>
    <t xml:space="preserve">$10.00 </t>
  </si>
  <si>
    <t>2/28/2024</t>
  </si>
  <si>
    <t>22782 Oriole Way</t>
  </si>
  <si>
    <t>82-395-5070</t>
  </si>
  <si>
    <t>Chocolate Biscuit</t>
  </si>
  <si>
    <t>01-801-9502</t>
  </si>
  <si>
    <t>Vidoo</t>
  </si>
  <si>
    <t>2/17/2025</t>
  </si>
  <si>
    <t>2/20/2025</t>
  </si>
  <si>
    <t>43442 Homewood Street</t>
  </si>
  <si>
    <t>14-305-5348</t>
  </si>
  <si>
    <t>Cheese</t>
  </si>
  <si>
    <t>71-092-6845</t>
  </si>
  <si>
    <t>Shuffledrive</t>
  </si>
  <si>
    <t>19 Shoshone Circle</t>
  </si>
  <si>
    <t>82-243-3180</t>
  </si>
  <si>
    <t>Palm Oil</t>
  </si>
  <si>
    <t>18-631-1458</t>
  </si>
  <si>
    <t>7/31/2024</t>
  </si>
  <si>
    <t>97 Sunnyside Court</t>
  </si>
  <si>
    <t>25-010-9478</t>
  </si>
  <si>
    <t>24-576-3402</t>
  </si>
  <si>
    <t>Topicblab</t>
  </si>
  <si>
    <t>357 Maple Park</t>
  </si>
  <si>
    <t>13-202-4809</t>
  </si>
  <si>
    <t>Garlic</t>
  </si>
  <si>
    <t>24-281-7685</t>
  </si>
  <si>
    <t>5/20/2024</t>
  </si>
  <si>
    <t>6195 Monterey Center</t>
  </si>
  <si>
    <t>67-270-7464</t>
  </si>
  <si>
    <t>Jasmine Rice</t>
  </si>
  <si>
    <t>83-960-5274</t>
  </si>
  <si>
    <t>Yadel</t>
  </si>
  <si>
    <t xml:space="preserve">$4.75 </t>
  </si>
  <si>
    <t>7242 Claremont Avenue</t>
  </si>
  <si>
    <t>11-733-1756</t>
  </si>
  <si>
    <t>Rice Flour</t>
  </si>
  <si>
    <t>27-970-8649</t>
  </si>
  <si>
    <t>8/28/2024</t>
  </si>
  <si>
    <t>11/27/2024</t>
  </si>
  <si>
    <t>127 Eliot Road</t>
  </si>
  <si>
    <t>80-988-4653</t>
  </si>
  <si>
    <t>02-272-0535</t>
  </si>
  <si>
    <t>Livetube</t>
  </si>
  <si>
    <t>4/20/2024</t>
  </si>
  <si>
    <t>9/14/2024</t>
  </si>
  <si>
    <t>4/19/2024</t>
  </si>
  <si>
    <t>8 Russell Pass</t>
  </si>
  <si>
    <t>60-343-7973</t>
  </si>
  <si>
    <t>06-303-4127</t>
  </si>
  <si>
    <t>Zoombox</t>
  </si>
  <si>
    <t xml:space="preserve">$3.20 </t>
  </si>
  <si>
    <t>4/15/2024</t>
  </si>
  <si>
    <t>4/29/2024</t>
  </si>
  <si>
    <t>85408 Toban Crossing</t>
  </si>
  <si>
    <t>34-861-4446</t>
  </si>
  <si>
    <t>40-696-4237</t>
  </si>
  <si>
    <t>Photobug</t>
  </si>
  <si>
    <t>1/18/2025</t>
  </si>
  <si>
    <t>113 Donald Court</t>
  </si>
  <si>
    <t>67-710-5120</t>
  </si>
  <si>
    <t>00-131-9278</t>
  </si>
  <si>
    <t>Skynoodle</t>
  </si>
  <si>
    <t>10/29/2024</t>
  </si>
  <si>
    <t>12/29/2024</t>
  </si>
  <si>
    <t>2/25/2024</t>
  </si>
  <si>
    <t>978 Shasta Lane</t>
  </si>
  <si>
    <t>49-891-4927</t>
  </si>
  <si>
    <t>Cottage Cheese</t>
  </si>
  <si>
    <t>89-155-3471</t>
  </si>
  <si>
    <t>46 Hoffman Trail</t>
  </si>
  <si>
    <t>55-522-8242</t>
  </si>
  <si>
    <t>Whipped Cream</t>
  </si>
  <si>
    <t>48-884-5431</t>
  </si>
  <si>
    <t>Feedbug</t>
  </si>
  <si>
    <t>3/30/2024</t>
  </si>
  <si>
    <t>7 Spohn Avenue</t>
  </si>
  <si>
    <t>62-509-0666</t>
  </si>
  <si>
    <t>Almond Flour</t>
  </si>
  <si>
    <t>16-419-1419</t>
  </si>
  <si>
    <t xml:space="preserve">$9.50 </t>
  </si>
  <si>
    <t>1468 Meadow Vale Court</t>
  </si>
  <si>
    <t>64-478-4745</t>
  </si>
  <si>
    <t>36-780-8625</t>
  </si>
  <si>
    <t>208 Miller Court</t>
  </si>
  <si>
    <t>35-835-5591</t>
  </si>
  <si>
    <t>Tilapia</t>
  </si>
  <si>
    <t>54-876-4296</t>
  </si>
  <si>
    <t>509 Carpenter Trail</t>
  </si>
  <si>
    <t>26-690-3784</t>
  </si>
  <si>
    <t>Lettuce</t>
  </si>
  <si>
    <t>70-463-6597</t>
  </si>
  <si>
    <t>Fadeo</t>
  </si>
  <si>
    <t>19069 Cordelia Drive</t>
  </si>
  <si>
    <t>67-546-1568</t>
  </si>
  <si>
    <t>10-038-3988</t>
  </si>
  <si>
    <t>Edgeify</t>
  </si>
  <si>
    <t>6/16/2024</t>
  </si>
  <si>
    <t>203 Mariners Cove Junction</t>
  </si>
  <si>
    <t>67-625-9704</t>
  </si>
  <si>
    <t>13-475-1009</t>
  </si>
  <si>
    <t>Eayo</t>
  </si>
  <si>
    <t>7819 Fallview Park</t>
  </si>
  <si>
    <t>31-969-4614</t>
  </si>
  <si>
    <t>83-104-8425</t>
  </si>
  <si>
    <t>993 Kensington Drive</t>
  </si>
  <si>
    <t>50-364-5828</t>
  </si>
  <si>
    <t>Coconut</t>
  </si>
  <si>
    <t>17-239-6309</t>
  </si>
  <si>
    <t>8/15/2024</t>
  </si>
  <si>
    <t>12/23/2024</t>
  </si>
  <si>
    <t>772 Golf Course Junction</t>
  </si>
  <si>
    <t>61-827-4098</t>
  </si>
  <si>
    <t>Cod</t>
  </si>
  <si>
    <t>34-850-0377</t>
  </si>
  <si>
    <t>Devbug</t>
  </si>
  <si>
    <t>29992 Warrior Center</t>
  </si>
  <si>
    <t>87-698-0944</t>
  </si>
  <si>
    <t>Banana</t>
  </si>
  <si>
    <t>73-717-0190</t>
  </si>
  <si>
    <t xml:space="preserve">$98.43 </t>
  </si>
  <si>
    <t>9/17/2024</t>
  </si>
  <si>
    <t>8 Heffernan Point</t>
  </si>
  <si>
    <t>36-636-4873</t>
  </si>
  <si>
    <t>11-098-3982</t>
  </si>
  <si>
    <t>Wikivu</t>
  </si>
  <si>
    <t xml:space="preserve">$6.10 </t>
  </si>
  <si>
    <t>3/25/2024</t>
  </si>
  <si>
    <t>1/17/2025</t>
  </si>
  <si>
    <t>451 Grim Hill</t>
  </si>
  <si>
    <t>98-556-5323</t>
  </si>
  <si>
    <t>Pomegranate</t>
  </si>
  <si>
    <t>21-490-8051</t>
  </si>
  <si>
    <t>Dynabox</t>
  </si>
  <si>
    <t>5/13/2024</t>
  </si>
  <si>
    <t>005 Tomscot Hill</t>
  </si>
  <si>
    <t>97-772-2336</t>
  </si>
  <si>
    <t>19-704-4404</t>
  </si>
  <si>
    <t>Rooxo</t>
  </si>
  <si>
    <t>7/14/2024</t>
  </si>
  <si>
    <t>9 Bartillon Trail</t>
  </si>
  <si>
    <t>19-047-4239</t>
  </si>
  <si>
    <t>Peach</t>
  </si>
  <si>
    <t>11-146-9880</t>
  </si>
  <si>
    <t>Quire</t>
  </si>
  <si>
    <t>5/21/2024</t>
  </si>
  <si>
    <t>7 West Street</t>
  </si>
  <si>
    <t>41-316-8427</t>
  </si>
  <si>
    <t>75-867-3635</t>
  </si>
  <si>
    <t>Realcube</t>
  </si>
  <si>
    <t>03416 Valley Edge Circle</t>
  </si>
  <si>
    <t>15-907-3681</t>
  </si>
  <si>
    <t>72-931-9828</t>
  </si>
  <si>
    <t>Brainsphere</t>
  </si>
  <si>
    <t xml:space="preserve">$3.85 </t>
  </si>
  <si>
    <t>21633 Sycamore Center</t>
  </si>
  <si>
    <t>14-305-9690</t>
  </si>
  <si>
    <t>13-457-9946</t>
  </si>
  <si>
    <t>Dabshots</t>
  </si>
  <si>
    <t xml:space="preserve">$4.30 </t>
  </si>
  <si>
    <t>43107 Schlimgen Circle</t>
  </si>
  <si>
    <t>40-860-4532</t>
  </si>
  <si>
    <t>73-625-5112</t>
  </si>
  <si>
    <t xml:space="preserve">$21.00 </t>
  </si>
  <si>
    <t>11/15/2024</t>
  </si>
  <si>
    <t>988 Southridge Way</t>
  </si>
  <si>
    <t>44-552-3909</t>
  </si>
  <si>
    <t>80-863-1186</t>
  </si>
  <si>
    <t>Riffwire</t>
  </si>
  <si>
    <t>6 Charing Cross Circle</t>
  </si>
  <si>
    <t>75-029-9003</t>
  </si>
  <si>
    <t>61-917-4271</t>
  </si>
  <si>
    <t>Eadel</t>
  </si>
  <si>
    <t>19180 Hagan Parkway</t>
  </si>
  <si>
    <t>74-587-2065</t>
  </si>
  <si>
    <t>33-141-1402</t>
  </si>
  <si>
    <t>Gigaclub</t>
  </si>
  <si>
    <t>84642 Clarendon Point</t>
  </si>
  <si>
    <t>70-149-6756</t>
  </si>
  <si>
    <t>97-150-9199</t>
  </si>
  <si>
    <t xml:space="preserve">$4.20 </t>
  </si>
  <si>
    <t>6 Messerschmidt Place</t>
  </si>
  <si>
    <t>29-896-7926</t>
  </si>
  <si>
    <t>White Rice</t>
  </si>
  <si>
    <t>86-400-4155</t>
  </si>
  <si>
    <t>Centidel</t>
  </si>
  <si>
    <t>80930 Briar Crest Point</t>
  </si>
  <si>
    <t>54-822-9009</t>
  </si>
  <si>
    <t>Cauliflower</t>
  </si>
  <si>
    <t>23-197-9965</t>
  </si>
  <si>
    <t>Shufflester</t>
  </si>
  <si>
    <t>64389 Arkansas Alley</t>
  </si>
  <si>
    <t>84-075-7647</t>
  </si>
  <si>
    <t>Canola Oil</t>
  </si>
  <si>
    <t>95-889-8592</t>
  </si>
  <si>
    <t>4/27/2024</t>
  </si>
  <si>
    <t>51 7th Court</t>
  </si>
  <si>
    <t>88-602-8210</t>
  </si>
  <si>
    <t>Avocado Oil</t>
  </si>
  <si>
    <t>26-411-9126</t>
  </si>
  <si>
    <t>Skajo</t>
  </si>
  <si>
    <t>6/19/2024</t>
  </si>
  <si>
    <t>042 Di Loreto Court</t>
  </si>
  <si>
    <t>04-542-3863</t>
  </si>
  <si>
    <t>55-952-9832</t>
  </si>
  <si>
    <t>Eidel</t>
  </si>
  <si>
    <t>403 Loomis Way</t>
  </si>
  <si>
    <t>57-613-5779</t>
  </si>
  <si>
    <t>Gouda Cheese</t>
  </si>
  <si>
    <t>29-009-9132</t>
  </si>
  <si>
    <t>Thoughtblab</t>
  </si>
  <si>
    <t>8/29/2024</t>
  </si>
  <si>
    <t>6 John Wall Plaza</t>
  </si>
  <si>
    <t>90-737-0044</t>
  </si>
  <si>
    <t>39-339-3869</t>
  </si>
  <si>
    <t>Bubblemix</t>
  </si>
  <si>
    <t>5/17/2024</t>
  </si>
  <si>
    <t>92321 Nelson Trail</t>
  </si>
  <si>
    <t>28-956-1320</t>
  </si>
  <si>
    <t>01-445-8931</t>
  </si>
  <si>
    <t>5/23/2024</t>
  </si>
  <si>
    <t>95 Onsgard Way</t>
  </si>
  <si>
    <t>87-791-5803</t>
  </si>
  <si>
    <t>Tuna</t>
  </si>
  <si>
    <t>89-843-0880</t>
  </si>
  <si>
    <t>Meemm</t>
  </si>
  <si>
    <t xml:space="preserve">$18.00 </t>
  </si>
  <si>
    <t>8 Fremont Circle</t>
  </si>
  <si>
    <t>14-521-4167</t>
  </si>
  <si>
    <t>Buttermilk</t>
  </si>
  <si>
    <t>68-609-1972</t>
  </si>
  <si>
    <t>00847 Reindahl Place</t>
  </si>
  <si>
    <t>51-572-5497</t>
  </si>
  <si>
    <t>43-035-3382</t>
  </si>
  <si>
    <t>Kanoodle</t>
  </si>
  <si>
    <t>8/31/2024</t>
  </si>
  <si>
    <t>2/13/2025</t>
  </si>
  <si>
    <t>4/28/2024</t>
  </si>
  <si>
    <t>9516 Burrows Circle</t>
  </si>
  <si>
    <t>28-840-6096</t>
  </si>
  <si>
    <t>15-444-8224</t>
  </si>
  <si>
    <t>Flipopia</t>
  </si>
  <si>
    <t>92655 Pond Park</t>
  </si>
  <si>
    <t>44-538-3366</t>
  </si>
  <si>
    <t>33-898-6242</t>
  </si>
  <si>
    <t>Realbridge</t>
  </si>
  <si>
    <t>46 Cardinal Way</t>
  </si>
  <si>
    <t>51-459-5630</t>
  </si>
  <si>
    <t>Sour Cream</t>
  </si>
  <si>
    <t>29-567-3732</t>
  </si>
  <si>
    <t>Skyvu</t>
  </si>
  <si>
    <t>9/29/2024</t>
  </si>
  <si>
    <t>805 Center Parkway</t>
  </si>
  <si>
    <t>02-655-3240</t>
  </si>
  <si>
    <t>95-200-1972</t>
  </si>
  <si>
    <t>Jabberstorm</t>
  </si>
  <si>
    <t>6738 Tennyson Road</t>
  </si>
  <si>
    <t>42-887-6557</t>
  </si>
  <si>
    <t>49-092-2735</t>
  </si>
  <si>
    <t>Geba</t>
  </si>
  <si>
    <t>61224 Northridge Avenue</t>
  </si>
  <si>
    <t>96-316-7600</t>
  </si>
  <si>
    <t>76-671-7104</t>
  </si>
  <si>
    <t>7/27/2024</t>
  </si>
  <si>
    <t>6 Swallow Crossing</t>
  </si>
  <si>
    <t>58-063-8633</t>
  </si>
  <si>
    <t>21-932-5200</t>
  </si>
  <si>
    <t>Skimia</t>
  </si>
  <si>
    <t>33424 Express Avenue</t>
  </si>
  <si>
    <t>43-703-9939</t>
  </si>
  <si>
    <t>69-928-4929</t>
  </si>
  <si>
    <t>4 Sundown Place</t>
  </si>
  <si>
    <t>88-069-5486</t>
  </si>
  <si>
    <t>95-878-1614</t>
  </si>
  <si>
    <t>Buzzshare</t>
  </si>
  <si>
    <t>7/13/2024</t>
  </si>
  <si>
    <t>01330 Sheridan Way</t>
  </si>
  <si>
    <t>74-845-3299</t>
  </si>
  <si>
    <t>Green Tea</t>
  </si>
  <si>
    <t>21-792-1000</t>
  </si>
  <si>
    <t>Oyoyo</t>
  </si>
  <si>
    <t>2 Petterle Road</t>
  </si>
  <si>
    <t>81-605-6246</t>
  </si>
  <si>
    <t>62-086-0407</t>
  </si>
  <si>
    <t>65721 Caliangt Crossing</t>
  </si>
  <si>
    <t>73-561-2867</t>
  </si>
  <si>
    <t>60-386-5077</t>
  </si>
  <si>
    <t>7444 Saint Paul Circle</t>
  </si>
  <si>
    <t>19-967-0632</t>
  </si>
  <si>
    <t>90-445-1753</t>
  </si>
  <si>
    <t>Yombu</t>
  </si>
  <si>
    <t>8/14/2024</t>
  </si>
  <si>
    <t>6990 Kings Place</t>
  </si>
  <si>
    <t>23-070-2433</t>
  </si>
  <si>
    <t>Powdered Sugar</t>
  </si>
  <si>
    <t>82-235-9317</t>
  </si>
  <si>
    <t>Meeveo</t>
  </si>
  <si>
    <t>836 Brown Alley</t>
  </si>
  <si>
    <t>27-262-2437</t>
  </si>
  <si>
    <t>05-181-2682</t>
  </si>
  <si>
    <t>Skidoo</t>
  </si>
  <si>
    <t xml:space="preserve">$8.10 </t>
  </si>
  <si>
    <t>8/26/2024</t>
  </si>
  <si>
    <t>739 Swallow Road</t>
  </si>
  <si>
    <t>39-479-5147</t>
  </si>
  <si>
    <t>02-156-7270</t>
  </si>
  <si>
    <t>Meedoo</t>
  </si>
  <si>
    <t>12/24/2024</t>
  </si>
  <si>
    <t>14 Talmadge Park</t>
  </si>
  <si>
    <t>71-085-4290</t>
  </si>
  <si>
    <t>26-593-3478</t>
  </si>
  <si>
    <t>2 Basil Street</t>
  </si>
  <si>
    <t>48-957-6116</t>
  </si>
  <si>
    <t>34-334-6888</t>
  </si>
  <si>
    <t>938 Hanover Point</t>
  </si>
  <si>
    <t>83-917-7384</t>
  </si>
  <si>
    <t>84-923-5086</t>
  </si>
  <si>
    <t>Tavu</t>
  </si>
  <si>
    <t>3/27/2024</t>
  </si>
  <si>
    <t>3 Ilene Terrace</t>
  </si>
  <si>
    <t>26-031-8070</t>
  </si>
  <si>
    <t>Vegetable Oil</t>
  </si>
  <si>
    <t>11-096-4003</t>
  </si>
  <si>
    <t>Trudeo</t>
  </si>
  <si>
    <t>7/25/2024</t>
  </si>
  <si>
    <t>5/25/2024</t>
  </si>
  <si>
    <t>5414 Linden Point</t>
  </si>
  <si>
    <t>03-149-9760</t>
  </si>
  <si>
    <t>08-141-2402</t>
  </si>
  <si>
    <t>Yotz</t>
  </si>
  <si>
    <t>554 Eliot Point</t>
  </si>
  <si>
    <t>53-680-5293</t>
  </si>
  <si>
    <t>Cheddar Cheese</t>
  </si>
  <si>
    <t>47-732-4446</t>
  </si>
  <si>
    <t>Demizz</t>
  </si>
  <si>
    <t>97687 Mendota Terrace</t>
  </si>
  <si>
    <t>49-861-7823</t>
  </si>
  <si>
    <t>22-152-0111</t>
  </si>
  <si>
    <t>Skippad</t>
  </si>
  <si>
    <t>26 Graceland Circle</t>
  </si>
  <si>
    <t>24-364-3341</t>
  </si>
  <si>
    <t>Egg (Turkey)</t>
  </si>
  <si>
    <t>13-290-8513</t>
  </si>
  <si>
    <t>Topiclounge</t>
  </si>
  <si>
    <t>9/25/2024</t>
  </si>
  <si>
    <t>120 Gale Circle</t>
  </si>
  <si>
    <t>80-374-5711</t>
  </si>
  <si>
    <t>77-566-9826</t>
  </si>
  <si>
    <t>Browsecat</t>
  </si>
  <si>
    <t xml:space="preserve">$31.00 </t>
  </si>
  <si>
    <t>13 Bluejay Way</t>
  </si>
  <si>
    <t>76-325-9093</t>
  </si>
  <si>
    <t>Sesame Oil</t>
  </si>
  <si>
    <t>67-922-3399</t>
  </si>
  <si>
    <t xml:space="preserve">$6.50 </t>
  </si>
  <si>
    <t>4/18/2024</t>
  </si>
  <si>
    <t>01471 Burrows Lane</t>
  </si>
  <si>
    <t>30-429-2162</t>
  </si>
  <si>
    <t>05-100-7102</t>
  </si>
  <si>
    <t>Npath</t>
  </si>
  <si>
    <t xml:space="preserve">$6.15 </t>
  </si>
  <si>
    <t>6382 Anniversary Pass</t>
  </si>
  <si>
    <t>53-446-8243</t>
  </si>
  <si>
    <t>51-666-7174</t>
  </si>
  <si>
    <t>7/26/2024</t>
  </si>
  <si>
    <t>4/23/2024</t>
  </si>
  <si>
    <t>757 Grasskamp Drive</t>
  </si>
  <si>
    <t>67-473-7093</t>
  </si>
  <si>
    <t>92-830-6986</t>
  </si>
  <si>
    <t>87417 Forest Pass</t>
  </si>
  <si>
    <t>98-235-2711</t>
  </si>
  <si>
    <t>Asparagus</t>
  </si>
  <si>
    <t>23-052-4744</t>
  </si>
  <si>
    <t>Devpoint</t>
  </si>
  <si>
    <t>5 Transport Pass</t>
  </si>
  <si>
    <t>07-219-8017</t>
  </si>
  <si>
    <t>95-148-9287</t>
  </si>
  <si>
    <t>Skibox</t>
  </si>
  <si>
    <t>10/31/2024</t>
  </si>
  <si>
    <t>357 High Crossing Parkway</t>
  </si>
  <si>
    <t>97-040-3822</t>
  </si>
  <si>
    <t>78-459-1417</t>
  </si>
  <si>
    <t>Gevee</t>
  </si>
  <si>
    <t>42 Clemons Terrace</t>
  </si>
  <si>
    <t>10-002-6494</t>
  </si>
  <si>
    <t>47-509-7282</t>
  </si>
  <si>
    <t>Meevee</t>
  </si>
  <si>
    <t xml:space="preserve">$4.80 </t>
  </si>
  <si>
    <t>48 Vahlen Place</t>
  </si>
  <si>
    <t>12-998-3882</t>
  </si>
  <si>
    <t>06-151-9076</t>
  </si>
  <si>
    <t>94862 Beilfuss Terrace</t>
  </si>
  <si>
    <t>31-746-4951</t>
  </si>
  <si>
    <t>Whole Wheat Flour</t>
  </si>
  <si>
    <t>70-212-0990</t>
  </si>
  <si>
    <t xml:space="preserve">$2.75 </t>
  </si>
  <si>
    <t>759 Waywood Court</t>
  </si>
  <si>
    <t>87-097-5691</t>
  </si>
  <si>
    <t>Robusta Coffee</t>
  </si>
  <si>
    <t>26-213-7885</t>
  </si>
  <si>
    <t>Photofeed</t>
  </si>
  <si>
    <t>236 Gateway Lane</t>
  </si>
  <si>
    <t>34-075-0371</t>
  </si>
  <si>
    <t>Watermelon</t>
  </si>
  <si>
    <t>32-771-2617</t>
  </si>
  <si>
    <t>Latz</t>
  </si>
  <si>
    <t>0039 Shelley Place</t>
  </si>
  <si>
    <t>40-810-9261</t>
  </si>
  <si>
    <t>56-554-1762</t>
  </si>
  <si>
    <t>Cogibox</t>
  </si>
  <si>
    <t xml:space="preserve">$12.50 </t>
  </si>
  <si>
    <t>3 Raven Court</t>
  </si>
  <si>
    <t>46-931-6897</t>
  </si>
  <si>
    <t>22-946-8052</t>
  </si>
  <si>
    <t>6/15/2024</t>
  </si>
  <si>
    <t>44 Kensington Road</t>
  </si>
  <si>
    <t>58-182-6781</t>
  </si>
  <si>
    <t>75-328-1709</t>
  </si>
  <si>
    <t>Pixope</t>
  </si>
  <si>
    <t>86 Maryland Junction</t>
  </si>
  <si>
    <t>06-706-6490</t>
  </si>
  <si>
    <t>85-670-6379</t>
  </si>
  <si>
    <t>Tanoodle</t>
  </si>
  <si>
    <t>3/15/2024</t>
  </si>
  <si>
    <t>443 Browning Terrace</t>
  </si>
  <si>
    <t>47-578-4161</t>
  </si>
  <si>
    <t>Anchovies</t>
  </si>
  <si>
    <t>96-001-5429</t>
  </si>
  <si>
    <t>Jaxspan</t>
  </si>
  <si>
    <t>5 Forest Run Way</t>
  </si>
  <si>
    <t>18-199-5799</t>
  </si>
  <si>
    <t>76-870-2139</t>
  </si>
  <si>
    <t>Jayo</t>
  </si>
  <si>
    <t>87784 Blaine Way</t>
  </si>
  <si>
    <t>00-357-2313</t>
  </si>
  <si>
    <t>93-619-6639</t>
  </si>
  <si>
    <t>Quamba</t>
  </si>
  <si>
    <t>0 Oxford Crossing</t>
  </si>
  <si>
    <t>83-704-6367</t>
  </si>
  <si>
    <t>41-628-8713</t>
  </si>
  <si>
    <t>298 Corry Plaza</t>
  </si>
  <si>
    <t>01-144-5960</t>
  </si>
  <si>
    <t>80-848-7493</t>
  </si>
  <si>
    <t>Zazio</t>
  </si>
  <si>
    <t>10/20/2024</t>
  </si>
  <si>
    <t>52105 Mandrake Place</t>
  </si>
  <si>
    <t>96-774-0457</t>
  </si>
  <si>
    <t>71-991-5737</t>
  </si>
  <si>
    <t>Izio</t>
  </si>
  <si>
    <t>7369 Thackeray Drive</t>
  </si>
  <si>
    <t>24-310-9184</t>
  </si>
  <si>
    <t>69-378-2045</t>
  </si>
  <si>
    <t>Brainlounge</t>
  </si>
  <si>
    <t>6 Haas Circle</t>
  </si>
  <si>
    <t>10-255-8579</t>
  </si>
  <si>
    <t>Basmati Rice</t>
  </si>
  <si>
    <t>29-112-1577</t>
  </si>
  <si>
    <t>Trilia</t>
  </si>
  <si>
    <t>7/24/2024</t>
  </si>
  <si>
    <t>1959 Marcy Center</t>
  </si>
  <si>
    <t>38-417-4656</t>
  </si>
  <si>
    <t>57-202-5756</t>
  </si>
  <si>
    <t>4/13/2024</t>
  </si>
  <si>
    <t>1309 Elka Junction</t>
  </si>
  <si>
    <t>53-080-8252</t>
  </si>
  <si>
    <t>73-744-7022</t>
  </si>
  <si>
    <t>12/19/2024</t>
  </si>
  <si>
    <t>2 Grayhawk Junction</t>
  </si>
  <si>
    <t>14-681-7035</t>
  </si>
  <si>
    <t>01-308-0960</t>
  </si>
  <si>
    <t>Voolith</t>
  </si>
  <si>
    <t>95261 Morningstar Way</t>
  </si>
  <si>
    <t>96-503-7712</t>
  </si>
  <si>
    <t>97-325-5889</t>
  </si>
  <si>
    <t>Twitterbridge</t>
  </si>
  <si>
    <t>84148 Prairie Rose Center</t>
  </si>
  <si>
    <t>98-064-4465</t>
  </si>
  <si>
    <t>93-719-9817</t>
  </si>
  <si>
    <t>Feedfire</t>
  </si>
  <si>
    <t>109 Twin Pines Avenue</t>
  </si>
  <si>
    <t>84-198-7276</t>
  </si>
  <si>
    <t>34-158-6684</t>
  </si>
  <si>
    <t>6 Harbort Hill</t>
  </si>
  <si>
    <t>18-278-2383</t>
  </si>
  <si>
    <t>73-210-4267</t>
  </si>
  <si>
    <t>96 American Center</t>
  </si>
  <si>
    <t>20-054-3716</t>
  </si>
  <si>
    <t>49-591-1019</t>
  </si>
  <si>
    <t>JumpXS</t>
  </si>
  <si>
    <t>9/16/2024</t>
  </si>
  <si>
    <t>39 Lakewood Gardens Center</t>
  </si>
  <si>
    <t>63-822-5278</t>
  </si>
  <si>
    <t>27-636-1606</t>
  </si>
  <si>
    <t>5900 Vahlen Avenue</t>
  </si>
  <si>
    <t>01-439-6231</t>
  </si>
  <si>
    <t>Sunflower Oil</t>
  </si>
  <si>
    <t>08-490-1714</t>
  </si>
  <si>
    <t>8 Spaight Circle</t>
  </si>
  <si>
    <t>06-690-2335</t>
  </si>
  <si>
    <t>66-317-4895</t>
  </si>
  <si>
    <t>5 Linden Terrace</t>
  </si>
  <si>
    <t>47-554-5780</t>
  </si>
  <si>
    <t>62-979-5038</t>
  </si>
  <si>
    <t>Babbleopia</t>
  </si>
  <si>
    <t>1 Westport Crossing</t>
  </si>
  <si>
    <t>70-587-1204</t>
  </si>
  <si>
    <t>41-399-9203</t>
  </si>
  <si>
    <t>2446 Anhalt Way</t>
  </si>
  <si>
    <t>97-710-2449</t>
  </si>
  <si>
    <t>39-676-9308</t>
  </si>
  <si>
    <t xml:space="preserve">$2.80 </t>
  </si>
  <si>
    <t>0 Miller Pass</t>
  </si>
  <si>
    <t>51-462-0747</t>
  </si>
  <si>
    <t>Lime</t>
  </si>
  <si>
    <t>40-417-9838</t>
  </si>
  <si>
    <t>1/22/2025</t>
  </si>
  <si>
    <t>453 Dryden Park</t>
  </si>
  <si>
    <t>90-492-0564</t>
  </si>
  <si>
    <t>18-085-1667</t>
  </si>
  <si>
    <t>6/25/2024</t>
  </si>
  <si>
    <t>7/20/2024</t>
  </si>
  <si>
    <t>54 Pawling Crossing</t>
  </si>
  <si>
    <t>63-956-0739</t>
  </si>
  <si>
    <t>17-123-1252</t>
  </si>
  <si>
    <t>Jetwire</t>
  </si>
  <si>
    <t>2/21/2025</t>
  </si>
  <si>
    <t>6808 Chinook Parkway</t>
  </si>
  <si>
    <t>30-832-5429</t>
  </si>
  <si>
    <t>41-800-2842</t>
  </si>
  <si>
    <t>Topicshots</t>
  </si>
  <si>
    <t>894 Kingsford Road</t>
  </si>
  <si>
    <t>38-822-8005</t>
  </si>
  <si>
    <t>45-886-1540</t>
  </si>
  <si>
    <t>Innojam</t>
  </si>
  <si>
    <t>3/31/2024</t>
  </si>
  <si>
    <t>6 Stang Hill</t>
  </si>
  <si>
    <t>73-118-1117</t>
  </si>
  <si>
    <t>55-557-8544</t>
  </si>
  <si>
    <t>5/27/2024</t>
  </si>
  <si>
    <t>482 Green Center</t>
  </si>
  <si>
    <t>60-285-3783</t>
  </si>
  <si>
    <t>58-827-9061</t>
  </si>
  <si>
    <t>37973 Parkside Junction</t>
  </si>
  <si>
    <t>00-215-7434</t>
  </si>
  <si>
    <t>85-272-3969</t>
  </si>
  <si>
    <t>Quatz</t>
  </si>
  <si>
    <t>389 Ridgeway Park</t>
  </si>
  <si>
    <t>68-734-1585</t>
  </si>
  <si>
    <t>54-537-5633</t>
  </si>
  <si>
    <t xml:space="preserve">$51.17 </t>
  </si>
  <si>
    <t>4/16/2024</t>
  </si>
  <si>
    <t>3 Hagan Drive</t>
  </si>
  <si>
    <t>08-703-1382</t>
  </si>
  <si>
    <t>29-975-3449</t>
  </si>
  <si>
    <t>Wikizz</t>
  </si>
  <si>
    <t>6/21/2024</t>
  </si>
  <si>
    <t>082 Clove Plaza</t>
  </si>
  <si>
    <t>65-282-0419</t>
  </si>
  <si>
    <t>85-932-1011</t>
  </si>
  <si>
    <t xml:space="preserve">$25.50 </t>
  </si>
  <si>
    <t>7/17/2024</t>
  </si>
  <si>
    <t>509 Waywood Center</t>
  </si>
  <si>
    <t>62-777-6010</t>
  </si>
  <si>
    <t>40-914-7156</t>
  </si>
  <si>
    <t xml:space="preserve">$4.25 </t>
  </si>
  <si>
    <t>5743 Superior Place</t>
  </si>
  <si>
    <t>87-675-1506</t>
  </si>
  <si>
    <t>21-697-8128</t>
  </si>
  <si>
    <t>Skalith</t>
  </si>
  <si>
    <t xml:space="preserve">$5.90 </t>
  </si>
  <si>
    <t>60241 Portage Point</t>
  </si>
  <si>
    <t>67-027-7269</t>
  </si>
  <si>
    <t>50-050-5707</t>
  </si>
  <si>
    <t>Twitterbeat</t>
  </si>
  <si>
    <t>11/30/2024</t>
  </si>
  <si>
    <t>615 Mayer Drive</t>
  </si>
  <si>
    <t>72-066-4597</t>
  </si>
  <si>
    <t>97-994-0773</t>
  </si>
  <si>
    <t>Zoovu</t>
  </si>
  <si>
    <t>03 Fisk Alley</t>
  </si>
  <si>
    <t>31-627-6025</t>
  </si>
  <si>
    <t>17-084-8551</t>
  </si>
  <si>
    <t>8/22/2024</t>
  </si>
  <si>
    <t>1/20/2025</t>
  </si>
  <si>
    <t>44638 Corscot Lane</t>
  </si>
  <si>
    <t>09-286-8107</t>
  </si>
  <si>
    <t>90-727-4816</t>
  </si>
  <si>
    <t>Skyndu</t>
  </si>
  <si>
    <t>12/15/2024</t>
  </si>
  <si>
    <t>75 Bunting Junction</t>
  </si>
  <si>
    <t>77-013-1553</t>
  </si>
  <si>
    <t>42-252-5861</t>
  </si>
  <si>
    <t>Yodo</t>
  </si>
  <si>
    <t>48788 Chinook Place</t>
  </si>
  <si>
    <t>15-762-1058</t>
  </si>
  <si>
    <t>32-914-1424</t>
  </si>
  <si>
    <t>Tazz</t>
  </si>
  <si>
    <t>11/29/2024</t>
  </si>
  <si>
    <t>083 Mccormick Park</t>
  </si>
  <si>
    <t>48-193-1199</t>
  </si>
  <si>
    <t>63-924-5144</t>
  </si>
  <si>
    <t>Omba</t>
  </si>
  <si>
    <t>339 Paget Place</t>
  </si>
  <si>
    <t>01-173-0029</t>
  </si>
  <si>
    <t>18-880-7910</t>
  </si>
  <si>
    <t>DabZ</t>
  </si>
  <si>
    <t>8 Dakota Avenue</t>
  </si>
  <si>
    <t>79-400-6216</t>
  </si>
  <si>
    <t>83-361-7509</t>
  </si>
  <si>
    <t xml:space="preserve">$7.20 </t>
  </si>
  <si>
    <t>4 Warbler Center</t>
  </si>
  <si>
    <t>80-072-8774</t>
  </si>
  <si>
    <t>61-222-8413</t>
  </si>
  <si>
    <t>Viva</t>
  </si>
  <si>
    <t>10/15/2024</t>
  </si>
  <si>
    <t>239 Anderson Court</t>
  </si>
  <si>
    <t>78-689-8958</t>
  </si>
  <si>
    <t>52-744-6162</t>
  </si>
  <si>
    <t>3/29/2024</t>
  </si>
  <si>
    <t>04 Mesta Parkway</t>
  </si>
  <si>
    <t>57-562-2358</t>
  </si>
  <si>
    <t>22-644-6447</t>
  </si>
  <si>
    <t>00 6th Parkway</t>
  </si>
  <si>
    <t>56-191-6497</t>
  </si>
  <si>
    <t>65-395-5947</t>
  </si>
  <si>
    <t>Bubblebox</t>
  </si>
  <si>
    <t>1/14/2025</t>
  </si>
  <si>
    <t>844 Schurz Point</t>
  </si>
  <si>
    <t>46-753-8430</t>
  </si>
  <si>
    <t>35-042-9391</t>
  </si>
  <si>
    <t>Rhynyx</t>
  </si>
  <si>
    <t>60356 Derek Lane</t>
  </si>
  <si>
    <t>48-461-3742</t>
  </si>
  <si>
    <t>78-381-5054</t>
  </si>
  <si>
    <t>Zooveo</t>
  </si>
  <si>
    <t>42719 Milwaukee Avenue</t>
  </si>
  <si>
    <t>16-354-8122</t>
  </si>
  <si>
    <t>Digestive Biscuit</t>
  </si>
  <si>
    <t>61-604-8116</t>
  </si>
  <si>
    <t>BlogXS</t>
  </si>
  <si>
    <t>66 Raven Pass</t>
  </si>
  <si>
    <t>76-954-1442</t>
  </si>
  <si>
    <t>68-200-8955</t>
  </si>
  <si>
    <t>4/24/2024</t>
  </si>
  <si>
    <t>43024 Elka Avenue</t>
  </si>
  <si>
    <t>44-476-0390</t>
  </si>
  <si>
    <t>48-562-3582</t>
  </si>
  <si>
    <t>3/14/2024</t>
  </si>
  <si>
    <t>022 Pierstorff Point</t>
  </si>
  <si>
    <t>35-617-3857</t>
  </si>
  <si>
    <t>90-718-2724</t>
  </si>
  <si>
    <t>Youspan</t>
  </si>
  <si>
    <t>292 Charing Cross Terrace</t>
  </si>
  <si>
    <t>94-029-2717</t>
  </si>
  <si>
    <t>37-878-9392</t>
  </si>
  <si>
    <t>Jetpulse</t>
  </si>
  <si>
    <t>071 Nobel Circle</t>
  </si>
  <si>
    <t>49-526-7806</t>
  </si>
  <si>
    <t>Kale</t>
  </si>
  <si>
    <t>66-973-4855</t>
  </si>
  <si>
    <t>Yodoo</t>
  </si>
  <si>
    <t>6744 Helena Pass</t>
  </si>
  <si>
    <t>99-137-1730</t>
  </si>
  <si>
    <t>65-797-3468</t>
  </si>
  <si>
    <t>4105 Fair Oaks Parkway</t>
  </si>
  <si>
    <t>27-442-3654</t>
  </si>
  <si>
    <t>57-544-2465</t>
  </si>
  <si>
    <t>Yoveo</t>
  </si>
  <si>
    <t>67677 Lakewood Gardens Way</t>
  </si>
  <si>
    <t>32-933-0329</t>
  </si>
  <si>
    <t>86-760-5412</t>
  </si>
  <si>
    <t>57150 Del Sol Alley</t>
  </si>
  <si>
    <t>93-813-2419</t>
  </si>
  <si>
    <t>12-264-4503</t>
  </si>
  <si>
    <t>7407 Farragut Pass</t>
  </si>
  <si>
    <t>85-440-3667</t>
  </si>
  <si>
    <t>00-680-5333</t>
  </si>
  <si>
    <t>6151 Forster Drive</t>
  </si>
  <si>
    <t>77-224-2227</t>
  </si>
  <si>
    <t>89-226-5813</t>
  </si>
  <si>
    <t>Eimbee</t>
  </si>
  <si>
    <t>10/26/2024</t>
  </si>
  <si>
    <t>5426 Fordem Pass</t>
  </si>
  <si>
    <t>60-632-8752</t>
  </si>
  <si>
    <t>07-948-8632</t>
  </si>
  <si>
    <t>Trunyx</t>
  </si>
  <si>
    <t>48 Golf View Pass</t>
  </si>
  <si>
    <t>99-561-4871</t>
  </si>
  <si>
    <t>04-786-5408</t>
  </si>
  <si>
    <t>Buzzdog</t>
  </si>
  <si>
    <t>952 Rowland Junction</t>
  </si>
  <si>
    <t>61-607-7622</t>
  </si>
  <si>
    <t>77-175-2969</t>
  </si>
  <si>
    <t>Zoonoodle</t>
  </si>
  <si>
    <t>329 Helena Park</t>
  </si>
  <si>
    <t>11-745-3025</t>
  </si>
  <si>
    <t>54-711-1582</t>
  </si>
  <si>
    <t>3104 Ridge Oak Hill</t>
  </si>
  <si>
    <t>56-810-0550</t>
  </si>
  <si>
    <t>Mackerel</t>
  </si>
  <si>
    <t>94-145-9423</t>
  </si>
  <si>
    <t>Janyx</t>
  </si>
  <si>
    <t xml:space="preserve">$7.50 </t>
  </si>
  <si>
    <t>376 Reinke Court</t>
  </si>
  <si>
    <t>59-075-2457</t>
  </si>
  <si>
    <t>18-733-2453</t>
  </si>
  <si>
    <t>Dynava</t>
  </si>
  <si>
    <t>2 Barby Lane</t>
  </si>
  <si>
    <t>40-021-2400</t>
  </si>
  <si>
    <t>62-648-2577</t>
  </si>
  <si>
    <t>265 Columbus Way</t>
  </si>
  <si>
    <t>29-017-6255</t>
  </si>
  <si>
    <t>43-348-2450</t>
  </si>
  <si>
    <t xml:space="preserve">$4.60 </t>
  </si>
  <si>
    <t>20 Pennsylvania Parkway</t>
  </si>
  <si>
    <t>92-291-7089</t>
  </si>
  <si>
    <t>08-523-5066</t>
  </si>
  <si>
    <t>9307 Kingsford Road</t>
  </si>
  <si>
    <t>69-287-9113</t>
  </si>
  <si>
    <t>20-952-0731</t>
  </si>
  <si>
    <t>12/16/2024</t>
  </si>
  <si>
    <t>11 Golden Leaf Alley</t>
  </si>
  <si>
    <t>76-540-6407</t>
  </si>
  <si>
    <t>78-644-5877</t>
  </si>
  <si>
    <t>Demimbu</t>
  </si>
  <si>
    <t xml:space="preserve">$3.10 </t>
  </si>
  <si>
    <t>77 Prairie Rose Park</t>
  </si>
  <si>
    <t>85-561-4694</t>
  </si>
  <si>
    <t>57-486-8971</t>
  </si>
  <si>
    <t>1 Lake View Trail</t>
  </si>
  <si>
    <t>34-928-2775</t>
  </si>
  <si>
    <t>07-959-3210</t>
  </si>
  <si>
    <t>Browseblab</t>
  </si>
  <si>
    <t>7945 Mayer Center</t>
  </si>
  <si>
    <t>90-773-9557</t>
  </si>
  <si>
    <t>02-165-5779</t>
  </si>
  <si>
    <t>904 Del Mar Crossing</t>
  </si>
  <si>
    <t>57-394-1587</t>
  </si>
  <si>
    <t>59-595-7531</t>
  </si>
  <si>
    <t>Roomm</t>
  </si>
  <si>
    <t>8/25/2024</t>
  </si>
  <si>
    <t>561 Blue Bill Park Road</t>
  </si>
  <si>
    <t>28-008-2951</t>
  </si>
  <si>
    <t>64-118-1480</t>
  </si>
  <si>
    <t>Buzzster</t>
  </si>
  <si>
    <t>26 Barnett Junction</t>
  </si>
  <si>
    <t>74-711-7160</t>
  </si>
  <si>
    <t>40-662-8853</t>
  </si>
  <si>
    <t>Meembee</t>
  </si>
  <si>
    <t>44296 Kropf Avenue</t>
  </si>
  <si>
    <t>22-895-6595</t>
  </si>
  <si>
    <t>18-445-5057</t>
  </si>
  <si>
    <t>11/21/2024</t>
  </si>
  <si>
    <t>34642 Carpenter Place</t>
  </si>
  <si>
    <t>19-214-5762</t>
  </si>
  <si>
    <t>88-108-3774</t>
  </si>
  <si>
    <t>Gigashots</t>
  </si>
  <si>
    <t>7 Bonner Terrace</t>
  </si>
  <si>
    <t>95-349-0828</t>
  </si>
  <si>
    <t>43-977-2343</t>
  </si>
  <si>
    <t>9/27/2024</t>
  </si>
  <si>
    <t>60 Towne Hill</t>
  </si>
  <si>
    <t>00-963-2193</t>
  </si>
  <si>
    <t>Milk</t>
  </si>
  <si>
    <t>39-521-8484</t>
  </si>
  <si>
    <t>Thoughtsphere</t>
  </si>
  <si>
    <t>7/19/2024</t>
  </si>
  <si>
    <t>5030 Moose Junction</t>
  </si>
  <si>
    <t>76-459-2392</t>
  </si>
  <si>
    <t>91-030-6609</t>
  </si>
  <si>
    <t>2005 Mccormick Road</t>
  </si>
  <si>
    <t>10-034-7654</t>
  </si>
  <si>
    <t>27-292-4656</t>
  </si>
  <si>
    <t>Zava</t>
  </si>
  <si>
    <t>21 Esker Way</t>
  </si>
  <si>
    <t>24-972-6969</t>
  </si>
  <si>
    <t>27-532-7847</t>
  </si>
  <si>
    <t xml:space="preserve">$9.20 </t>
  </si>
  <si>
    <t>6/13/2024</t>
  </si>
  <si>
    <t>5862 Hooker Pass</t>
  </si>
  <si>
    <t>94-190-5193</t>
  </si>
  <si>
    <t>95-778-2888</t>
  </si>
  <si>
    <t>Quinu</t>
  </si>
  <si>
    <t>24385 Prentice Plaza</t>
  </si>
  <si>
    <t>92-791-0606</t>
  </si>
  <si>
    <t>56-050-1773</t>
  </si>
  <si>
    <t>739 Grayhawk Trail</t>
  </si>
  <si>
    <t>84-629-1532</t>
  </si>
  <si>
    <t>50-378-4320</t>
  </si>
  <si>
    <t>Chatterpoint</t>
  </si>
  <si>
    <t>7 Sloan Park</t>
  </si>
  <si>
    <t>68-977-2498</t>
  </si>
  <si>
    <t>Grapes</t>
  </si>
  <si>
    <t>26-222-1156</t>
  </si>
  <si>
    <t>Skinix</t>
  </si>
  <si>
    <t xml:space="preserve">$5.50 </t>
  </si>
  <si>
    <t>7/30/2024</t>
  </si>
  <si>
    <t>6482 Ramsey Alley</t>
  </si>
  <si>
    <t>91-257-3672</t>
  </si>
  <si>
    <t>30-438-6295</t>
  </si>
  <si>
    <t>InnoZ</t>
  </si>
  <si>
    <t>10997 Dexter Parkway</t>
  </si>
  <si>
    <t>09-536-2626</t>
  </si>
  <si>
    <t>14-483-5712</t>
  </si>
  <si>
    <t>Fliptune</t>
  </si>
  <si>
    <t>205 Straubel Court</t>
  </si>
  <si>
    <t>61-801-8665</t>
  </si>
  <si>
    <t>78-283-9751</t>
  </si>
  <si>
    <t>Demivee</t>
  </si>
  <si>
    <t xml:space="preserve">$10.50 </t>
  </si>
  <si>
    <t>58 La Follette Park</t>
  </si>
  <si>
    <t>38-296-6634</t>
  </si>
  <si>
    <t>41-083-3955</t>
  </si>
  <si>
    <t>160 Kings Street</t>
  </si>
  <si>
    <t>30-591-7275</t>
  </si>
  <si>
    <t>Brown Rice</t>
  </si>
  <si>
    <t>12-431-9207</t>
  </si>
  <si>
    <t>7020 Porter Trail</t>
  </si>
  <si>
    <t>83-763-5038</t>
  </si>
  <si>
    <t>26-438-8349</t>
  </si>
  <si>
    <t>Jatri</t>
  </si>
  <si>
    <t>5 Armistice Parkway</t>
  </si>
  <si>
    <t>37-709-3532</t>
  </si>
  <si>
    <t>08-439-3820</t>
  </si>
  <si>
    <t>524 Saint Paul Park</t>
  </si>
  <si>
    <t>62-795-7801</t>
  </si>
  <si>
    <t>08-312-0872</t>
  </si>
  <si>
    <t>11/23/2024</t>
  </si>
  <si>
    <t>94451 Arkansas Park</t>
  </si>
  <si>
    <t>98-575-4736</t>
  </si>
  <si>
    <t>44-429-6199</t>
  </si>
  <si>
    <t>Flashset</t>
  </si>
  <si>
    <t>83 Pleasure Street</t>
  </si>
  <si>
    <t>57-861-4379</t>
  </si>
  <si>
    <t>73-383-4390</t>
  </si>
  <si>
    <t>64407 Marcy Plaza</t>
  </si>
  <si>
    <t>00-119-8780</t>
  </si>
  <si>
    <t>Halibut</t>
  </si>
  <si>
    <t>14-703-2550</t>
  </si>
  <si>
    <t>21 Sunbrook Court</t>
  </si>
  <si>
    <t>28-824-9017</t>
  </si>
  <si>
    <t>93-712-3934</t>
  </si>
  <si>
    <t xml:space="preserve">$11.50 </t>
  </si>
  <si>
    <t>4 Jay Terrace</t>
  </si>
  <si>
    <t>56-668-5370</t>
  </si>
  <si>
    <t>13-526-1392</t>
  </si>
  <si>
    <t>Vimbo</t>
  </si>
  <si>
    <t>05686 Golden Leaf Point</t>
  </si>
  <si>
    <t>29-756-7042</t>
  </si>
  <si>
    <t>20-426-2191</t>
  </si>
  <si>
    <t>Dabvine</t>
  </si>
  <si>
    <t>99 Fair Oaks Circle</t>
  </si>
  <si>
    <t>41-538-3129</t>
  </si>
  <si>
    <t>91-589-9007</t>
  </si>
  <si>
    <t>2 Carioca Crossing</t>
  </si>
  <si>
    <t>16-380-0753</t>
  </si>
  <si>
    <t>Apricot</t>
  </si>
  <si>
    <t>24-603-5521</t>
  </si>
  <si>
    <t>701 Logan Court</t>
  </si>
  <si>
    <t>26-535-4727</t>
  </si>
  <si>
    <t>17-939-1338</t>
  </si>
  <si>
    <t>Jamia</t>
  </si>
  <si>
    <t>4 Darwin Circle</t>
  </si>
  <si>
    <t>59-857-6577</t>
  </si>
  <si>
    <t>Evaporated Milk</t>
  </si>
  <si>
    <t>57-569-7172</t>
  </si>
  <si>
    <t>Blognation</t>
  </si>
  <si>
    <t>230 Tony Court</t>
  </si>
  <si>
    <t>14-550-2152</t>
  </si>
  <si>
    <t>60-003-2919</t>
  </si>
  <si>
    <t>Livepath</t>
  </si>
  <si>
    <t xml:space="preserve">$7.60 </t>
  </si>
  <si>
    <t>6/18/2024</t>
  </si>
  <si>
    <t>3 Forster Point</t>
  </si>
  <si>
    <t>39-315-3936</t>
  </si>
  <si>
    <t>99-034-7010</t>
  </si>
  <si>
    <t>Yata</t>
  </si>
  <si>
    <t>850 Glacier Hill Drive</t>
  </si>
  <si>
    <t>87-199-2743</t>
  </si>
  <si>
    <t>Papaya</t>
  </si>
  <si>
    <t>54-907-6531</t>
  </si>
  <si>
    <t>38695 Kenwood Circle</t>
  </si>
  <si>
    <t>60-771-0879</t>
  </si>
  <si>
    <t>90-554-0576</t>
  </si>
  <si>
    <t>9 Karstens Center</t>
  </si>
  <si>
    <t>00-440-9568</t>
  </si>
  <si>
    <t>43-605-2448</t>
  </si>
  <si>
    <t>052 Northland Trail</t>
  </si>
  <si>
    <t>07-074-1196</t>
  </si>
  <si>
    <t>69-112-6969</t>
  </si>
  <si>
    <t xml:space="preserve">$3.90 </t>
  </si>
  <si>
    <t>4/14/2024</t>
  </si>
  <si>
    <t>27 New Castle Avenue</t>
  </si>
  <si>
    <t>69-674-5387</t>
  </si>
  <si>
    <t>Yogurt</t>
  </si>
  <si>
    <t>04-313-0298</t>
  </si>
  <si>
    <t>Miboo</t>
  </si>
  <si>
    <t>6/27/2024</t>
  </si>
  <si>
    <t>6211 Hanson Terrace</t>
  </si>
  <si>
    <t>08-940-8578</t>
  </si>
  <si>
    <t>37-686-1726</t>
  </si>
  <si>
    <t>Oba</t>
  </si>
  <si>
    <t>74 Menomonie Point</t>
  </si>
  <si>
    <t>94-020-6982</t>
  </si>
  <si>
    <t>72-649-3163</t>
  </si>
  <si>
    <t>381 Rutledge Place</t>
  </si>
  <si>
    <t>42-879-9478</t>
  </si>
  <si>
    <t>00-900-0119</t>
  </si>
  <si>
    <t>Zoonder</t>
  </si>
  <si>
    <t>2/23/2025</t>
  </si>
  <si>
    <t>86 Porter Junction</t>
  </si>
  <si>
    <t>00-405-7428</t>
  </si>
  <si>
    <t>Apple</t>
  </si>
  <si>
    <t>42-746-2717</t>
  </si>
  <si>
    <t>42 Mallory Court</t>
  </si>
  <si>
    <t>87-997-0228</t>
  </si>
  <si>
    <t>55-156-6528</t>
  </si>
  <si>
    <t>12/27/2024</t>
  </si>
  <si>
    <t>26240 Maple Wood Place</t>
  </si>
  <si>
    <t>05-498-7751</t>
  </si>
  <si>
    <t>17-963-6051</t>
  </si>
  <si>
    <t>Abata</t>
  </si>
  <si>
    <t>30408 5th Way</t>
  </si>
  <si>
    <t>55-631-7937</t>
  </si>
  <si>
    <t>79-508-5241</t>
  </si>
  <si>
    <t>Avamba</t>
  </si>
  <si>
    <t>82 Drewry Junction</t>
  </si>
  <si>
    <t>27-389-3529</t>
  </si>
  <si>
    <t>73-201-2803</t>
  </si>
  <si>
    <t>Feedfish</t>
  </si>
  <si>
    <t>234 Eagle Crest Avenue</t>
  </si>
  <si>
    <t>84-272-0790</t>
  </si>
  <si>
    <t>00-635-4638</t>
  </si>
  <si>
    <t>53 Caliangt Junction</t>
  </si>
  <si>
    <t>01-903-5373</t>
  </si>
  <si>
    <t>37-902-0286</t>
  </si>
  <si>
    <t>Lazz</t>
  </si>
  <si>
    <t>32525 Marquette Park</t>
  </si>
  <si>
    <t>49-311-3063</t>
  </si>
  <si>
    <t>15-947-9718</t>
  </si>
  <si>
    <t>Talane</t>
  </si>
  <si>
    <t>71 Bultman Drive</t>
  </si>
  <si>
    <t>04-277-5245</t>
  </si>
  <si>
    <t>Coconut Sugar</t>
  </si>
  <si>
    <t>90-175-7764</t>
  </si>
  <si>
    <t>911 Ridgeway Way</t>
  </si>
  <si>
    <t>04-453-5485</t>
  </si>
  <si>
    <t>Tomato</t>
  </si>
  <si>
    <t>43-880-2879</t>
  </si>
  <si>
    <t>2 Sunbrook Lane</t>
  </si>
  <si>
    <t>42-141-5718</t>
  </si>
  <si>
    <t>67-662-3444</t>
  </si>
  <si>
    <t>1700 Briar Crest Parkway</t>
  </si>
  <si>
    <t>89-602-6755</t>
  </si>
  <si>
    <t>51-054-3811</t>
  </si>
  <si>
    <t>4 Bashford Court</t>
  </si>
  <si>
    <t>15-045-8444</t>
  </si>
  <si>
    <t>29-143-2001</t>
  </si>
  <si>
    <t>Aibox</t>
  </si>
  <si>
    <t>97 Thierer Terrace</t>
  </si>
  <si>
    <t>15-240-6267</t>
  </si>
  <si>
    <t>12-983-3026</t>
  </si>
  <si>
    <t>Mybuzz</t>
  </si>
  <si>
    <t>25784 Old Gate Crossing</t>
  </si>
  <si>
    <t>05-193-8096</t>
  </si>
  <si>
    <t>86-709-5618</t>
  </si>
  <si>
    <t>Rhynoodle</t>
  </si>
  <si>
    <t>38 Rutledge Plaza</t>
  </si>
  <si>
    <t>93-342-8794</t>
  </si>
  <si>
    <t>93-688-1260</t>
  </si>
  <si>
    <t>39102 Division Trail</t>
  </si>
  <si>
    <t>83-716-2177</t>
  </si>
  <si>
    <t>79-518-8344</t>
  </si>
  <si>
    <t>Linktype</t>
  </si>
  <si>
    <t>26266 Esker Point</t>
  </si>
  <si>
    <t>56-635-6764</t>
  </si>
  <si>
    <t>20-257-6927</t>
  </si>
  <si>
    <t>744 Green Center</t>
  </si>
  <si>
    <t>10-249-7928</t>
  </si>
  <si>
    <t>69-861-0313</t>
  </si>
  <si>
    <t>57598 Russell Center</t>
  </si>
  <si>
    <t>65-759-3721</t>
  </si>
  <si>
    <t>21-634-5781</t>
  </si>
  <si>
    <t>Vipe</t>
  </si>
  <si>
    <t>315 Acker Alley</t>
  </si>
  <si>
    <t>08-725-8156</t>
  </si>
  <si>
    <t>32-196-4714</t>
  </si>
  <si>
    <t>73397 Steensland Circle</t>
  </si>
  <si>
    <t>15-679-3935</t>
  </si>
  <si>
    <t>35-906-1010</t>
  </si>
  <si>
    <t>Jabbersphere</t>
  </si>
  <si>
    <t>95 Garrison Plaza</t>
  </si>
  <si>
    <t>81-578-7404</t>
  </si>
  <si>
    <t>90-177-6733</t>
  </si>
  <si>
    <t>Rhyloo</t>
  </si>
  <si>
    <t>5989 Longview Drive</t>
  </si>
  <si>
    <t>82-380-5378</t>
  </si>
  <si>
    <t>96-353-3049</t>
  </si>
  <si>
    <t>Oozz</t>
  </si>
  <si>
    <t>05518 Saint Paul Street</t>
  </si>
  <si>
    <t>78-362-8578</t>
  </si>
  <si>
    <t>57-633-6273</t>
  </si>
  <si>
    <t xml:space="preserve">$2.45 </t>
  </si>
  <si>
    <t>86 Corben Crossing</t>
  </si>
  <si>
    <t>32-261-0008</t>
  </si>
  <si>
    <t>26-073-5798</t>
  </si>
  <si>
    <t>2/18/2025</t>
  </si>
  <si>
    <t>2 Kingsford Center</t>
  </si>
  <si>
    <t>74-943-9034</t>
  </si>
  <si>
    <t>15-739-5480</t>
  </si>
  <si>
    <t>0 Saint Paul Center</t>
  </si>
  <si>
    <t>86-330-0214</t>
  </si>
  <si>
    <t>87-840-7803</t>
  </si>
  <si>
    <t>5818 Twin Pines Place</t>
  </si>
  <si>
    <t>80-334-0215</t>
  </si>
  <si>
    <t>19-156-3869</t>
  </si>
  <si>
    <t>Camimbo</t>
  </si>
  <si>
    <t>611 Waubesa Circle</t>
  </si>
  <si>
    <t>48-957-8596</t>
  </si>
  <si>
    <t>40-817-2222</t>
  </si>
  <si>
    <t xml:space="preserve">$53.82 </t>
  </si>
  <si>
    <t>3825 Raven Avenue</t>
  </si>
  <si>
    <t>37-246-0018</t>
  </si>
  <si>
    <t>61-907-0994</t>
  </si>
  <si>
    <t>Skilith</t>
  </si>
  <si>
    <t>52 Alpine Crossing</t>
  </si>
  <si>
    <t>17-002-4721</t>
  </si>
  <si>
    <t>38-310-4533</t>
  </si>
  <si>
    <t>379 Duke Court</t>
  </si>
  <si>
    <t>47-802-5023</t>
  </si>
  <si>
    <t>51-010-8144</t>
  </si>
  <si>
    <t>7096 Mcguire Park</t>
  </si>
  <si>
    <t>22-319-1377</t>
  </si>
  <si>
    <t>82-266-1796</t>
  </si>
  <si>
    <t>Skyba</t>
  </si>
  <si>
    <t>083 Gulseth Pass</t>
  </si>
  <si>
    <t>57-903-6434</t>
  </si>
  <si>
    <t>30-460-3122</t>
  </si>
  <si>
    <t>3/13/2024</t>
  </si>
  <si>
    <t>3/23/2024</t>
  </si>
  <si>
    <t>34 Linden Court</t>
  </si>
  <si>
    <t>22-083-3347</t>
  </si>
  <si>
    <t>01-431-7544</t>
  </si>
  <si>
    <t>38 Superior Road</t>
  </si>
  <si>
    <t>65-145-9672</t>
  </si>
  <si>
    <t>65-068-1200</t>
  </si>
  <si>
    <t>8 Dovetail Junction</t>
  </si>
  <si>
    <t>95-252-9619</t>
  </si>
  <si>
    <t>38-819-2922</t>
  </si>
  <si>
    <t>57453 Northwestern Alley</t>
  </si>
  <si>
    <t>74-294-3760</t>
  </si>
  <si>
    <t>81-233-6894</t>
  </si>
  <si>
    <t>0109 Stang Terrace</t>
  </si>
  <si>
    <t>06-797-4963</t>
  </si>
  <si>
    <t>41-821-0197</t>
  </si>
  <si>
    <t>1008 Welch Street</t>
  </si>
  <si>
    <t>39-768-8205</t>
  </si>
  <si>
    <t>07-987-4536</t>
  </si>
  <si>
    <t>Gigabox</t>
  </si>
  <si>
    <t>32 Rigney Terrace</t>
  </si>
  <si>
    <t>03-043-9933</t>
  </si>
  <si>
    <t>48-450-4126</t>
  </si>
  <si>
    <t>884 Fieldstone Plaza</t>
  </si>
  <si>
    <t>29-823-6004</t>
  </si>
  <si>
    <t>10-295-7996</t>
  </si>
  <si>
    <t>3 Lawn Park</t>
  </si>
  <si>
    <t>40-462-2952</t>
  </si>
  <si>
    <t>57-323-8059</t>
  </si>
  <si>
    <t>0258 Shoshone Center</t>
  </si>
  <si>
    <t>71-999-2404</t>
  </si>
  <si>
    <t>01-285-0018</t>
  </si>
  <si>
    <t>Meezzy</t>
  </si>
  <si>
    <t xml:space="preserve">$4.70 </t>
  </si>
  <si>
    <t>1/29/2025</t>
  </si>
  <si>
    <t>18 Warrior Circle</t>
  </si>
  <si>
    <t>03-919-9890</t>
  </si>
  <si>
    <t>69-289-8783</t>
  </si>
  <si>
    <t>Wikibox</t>
  </si>
  <si>
    <t>7 Riverside Road</t>
  </si>
  <si>
    <t>94-525-6925</t>
  </si>
  <si>
    <t>31-892-6816</t>
  </si>
  <si>
    <t>Kwilith</t>
  </si>
  <si>
    <t>667 Arkansas Circle</t>
  </si>
  <si>
    <t>08-213-2058</t>
  </si>
  <si>
    <t>13-179-9553</t>
  </si>
  <si>
    <t>33 Clarendon Hill</t>
  </si>
  <si>
    <t>51-312-8608</t>
  </si>
  <si>
    <t>06-315-0552</t>
  </si>
  <si>
    <t xml:space="preserve">$8.90 </t>
  </si>
  <si>
    <t>406 Westridge Alley</t>
  </si>
  <si>
    <t>67-512-9754</t>
  </si>
  <si>
    <t>35-941-2585</t>
  </si>
  <si>
    <t>3/22/2024</t>
  </si>
  <si>
    <t>69 Orin Plaza</t>
  </si>
  <si>
    <t>45-402-0421</t>
  </si>
  <si>
    <t>87-201-6047</t>
  </si>
  <si>
    <t>36 Longview Street</t>
  </si>
  <si>
    <t>85-207-4164</t>
  </si>
  <si>
    <t>07-067-3439</t>
  </si>
  <si>
    <t>41 Comanche Park</t>
  </si>
  <si>
    <t>72-780-6006</t>
  </si>
  <si>
    <t>81-292-4650</t>
  </si>
  <si>
    <t>88721 Dawn Crossing</t>
  </si>
  <si>
    <t>93-166-3169</t>
  </si>
  <si>
    <t>21-156-0102</t>
  </si>
  <si>
    <t>339 Crescent Oaks Plaza</t>
  </si>
  <si>
    <t>21-718-6746</t>
  </si>
  <si>
    <t>96-012-3393</t>
  </si>
  <si>
    <t>Eamia</t>
  </si>
  <si>
    <t>277 Pawling Terrace</t>
  </si>
  <si>
    <t>93-966-7754</t>
  </si>
  <si>
    <t>78-787-7171</t>
  </si>
  <si>
    <t>4 4th Place</t>
  </si>
  <si>
    <t>47-663-5703</t>
  </si>
  <si>
    <t>52-062-2916</t>
  </si>
  <si>
    <t>6500 Raven Drive</t>
  </si>
  <si>
    <t>34-110-1040</t>
  </si>
  <si>
    <t>14-427-6604</t>
  </si>
  <si>
    <t>Leenti</t>
  </si>
  <si>
    <t>42397 Knutson Place</t>
  </si>
  <si>
    <t>82-342-7339</t>
  </si>
  <si>
    <t>Vanilla Biscuit</t>
  </si>
  <si>
    <t>14-325-9173</t>
  </si>
  <si>
    <t>Yozio</t>
  </si>
  <si>
    <t>317 Anniversary Pass</t>
  </si>
  <si>
    <t>43-670-8544</t>
  </si>
  <si>
    <t>16-656-4821</t>
  </si>
  <si>
    <t>Camido</t>
  </si>
  <si>
    <t xml:space="preserve">$2.85 </t>
  </si>
  <si>
    <t>5/14/2024</t>
  </si>
  <si>
    <t>3 Logan Trail</t>
  </si>
  <si>
    <t>12-439-8428</t>
  </si>
  <si>
    <t>43-542-6868</t>
  </si>
  <si>
    <t>Ainyx</t>
  </si>
  <si>
    <t>6 Rusk Pass</t>
  </si>
  <si>
    <t>49-919-8798</t>
  </si>
  <si>
    <t>82-482-3670</t>
  </si>
  <si>
    <t xml:space="preserve">$1.90 </t>
  </si>
  <si>
    <t>3 Dottie Junction</t>
  </si>
  <si>
    <t>73-567-6194</t>
  </si>
  <si>
    <t>81-927-7236</t>
  </si>
  <si>
    <t>Yakitri</t>
  </si>
  <si>
    <t>069 Basil Center</t>
  </si>
  <si>
    <t>83-573-4586</t>
  </si>
  <si>
    <t>91-191-2324</t>
  </si>
  <si>
    <t>Thoughtbeat</t>
  </si>
  <si>
    <t>84575 Randy Point</t>
  </si>
  <si>
    <t>12-798-9401</t>
  </si>
  <si>
    <t>96-609-6152</t>
  </si>
  <si>
    <t>5 Forster Point</t>
  </si>
  <si>
    <t>02-895-7781</t>
  </si>
  <si>
    <t>23-109-2205</t>
  </si>
  <si>
    <t>Tagchat</t>
  </si>
  <si>
    <t>2582 Autumn Leaf Park</t>
  </si>
  <si>
    <t>83-625-3618</t>
  </si>
  <si>
    <t>64-528-9996</t>
  </si>
  <si>
    <t>Realmix</t>
  </si>
  <si>
    <t>2696 Katie Road</t>
  </si>
  <si>
    <t>89-181-4523</t>
  </si>
  <si>
    <t>Wild Rice</t>
  </si>
  <si>
    <t>54-749-3622</t>
  </si>
  <si>
    <t>022 Prairie Rose Drive</t>
  </si>
  <si>
    <t>95-354-8583</t>
  </si>
  <si>
    <t>02-057-9401</t>
  </si>
  <si>
    <t>848 Mariners Cove Junction</t>
  </si>
  <si>
    <t>90-303-1821</t>
  </si>
  <si>
    <t>96-786-0667</t>
  </si>
  <si>
    <t>Edgewire</t>
  </si>
  <si>
    <t>6435 Burning Wood Drive</t>
  </si>
  <si>
    <t>71-631-5875</t>
  </si>
  <si>
    <t>Salmon</t>
  </si>
  <si>
    <t>91-859-1733</t>
  </si>
  <si>
    <t>13 Loomis Alley</t>
  </si>
  <si>
    <t>02-275-6061</t>
  </si>
  <si>
    <t>21-829-0398</t>
  </si>
  <si>
    <t>6891 Mandrake Park</t>
  </si>
  <si>
    <t>04-001-1793</t>
  </si>
  <si>
    <t>29-359-0109</t>
  </si>
  <si>
    <t>0 Stoughton Terrace</t>
  </si>
  <si>
    <t>47-749-3277</t>
  </si>
  <si>
    <t>96-551-3929</t>
  </si>
  <si>
    <t>502 Sachs Circle</t>
  </si>
  <si>
    <t>37-666-3902</t>
  </si>
  <si>
    <t>58-536-6583</t>
  </si>
  <si>
    <t>85276 Lakewood Gardens Alley</t>
  </si>
  <si>
    <t>73-942-0508</t>
  </si>
  <si>
    <t>37-057-3553</t>
  </si>
  <si>
    <t>1034 2nd Point</t>
  </si>
  <si>
    <t>57-359-3397</t>
  </si>
  <si>
    <t>54-659-1177</t>
  </si>
  <si>
    <t>Twiyo</t>
  </si>
  <si>
    <t>81071 West Alley</t>
  </si>
  <si>
    <t>46-436-5351</t>
  </si>
  <si>
    <t>07-471-0050</t>
  </si>
  <si>
    <t xml:space="preserve">$8.50 </t>
  </si>
  <si>
    <t>226 Calypso Road</t>
  </si>
  <si>
    <t>27-881-1177</t>
  </si>
  <si>
    <t>64-807-5250</t>
  </si>
  <si>
    <t>1223 Monument Drive</t>
  </si>
  <si>
    <t>85-237-3505</t>
  </si>
  <si>
    <t>92-296-1266</t>
  </si>
  <si>
    <t>20073 Northfield Way</t>
  </si>
  <si>
    <t>80-371-3695</t>
  </si>
  <si>
    <t>42-254-7371</t>
  </si>
  <si>
    <t>Divape</t>
  </si>
  <si>
    <t>163 Esch Pass</t>
  </si>
  <si>
    <t>04-758-0410</t>
  </si>
  <si>
    <t>56-231-2524</t>
  </si>
  <si>
    <t>Wordpedia</t>
  </si>
  <si>
    <t>5 Toban Circle</t>
  </si>
  <si>
    <t>65-644-1394</t>
  </si>
  <si>
    <t>23-280-1300</t>
  </si>
  <si>
    <t>582 Dahle Center</t>
  </si>
  <si>
    <t>04-293-6969</t>
  </si>
  <si>
    <t>69-087-6645</t>
  </si>
  <si>
    <t>0 Oak Valley Lane</t>
  </si>
  <si>
    <t>40-997-2786</t>
  </si>
  <si>
    <t>18-743-4684</t>
  </si>
  <si>
    <t>5551 Mallory Lane</t>
  </si>
  <si>
    <t>91-553-1774</t>
  </si>
  <si>
    <t>74-943-4552</t>
  </si>
  <si>
    <t>84 Washington Crossing</t>
  </si>
  <si>
    <t>13-980-8804</t>
  </si>
  <si>
    <t>Sweet Potato</t>
  </si>
  <si>
    <t>20-608-1290</t>
  </si>
  <si>
    <t>41 Nelson Center</t>
  </si>
  <si>
    <t>19-672-8982</t>
  </si>
  <si>
    <t>50-214-3802</t>
  </si>
  <si>
    <t>285 East Plaza</t>
  </si>
  <si>
    <t>35-299-0889</t>
  </si>
  <si>
    <t>Coconut Oil</t>
  </si>
  <si>
    <t>16-776-9987</t>
  </si>
  <si>
    <t>95 Packers Lane</t>
  </si>
  <si>
    <t>17-022-9721</t>
  </si>
  <si>
    <t>59-629-0798</t>
  </si>
  <si>
    <t>39 Dahle Alley</t>
  </si>
  <si>
    <t>22-849-2551</t>
  </si>
  <si>
    <t>14-231-9135</t>
  </si>
  <si>
    <t xml:space="preserve">$6.20 </t>
  </si>
  <si>
    <t>81533 John Wall Court</t>
  </si>
  <si>
    <t>53-050-8242</t>
  </si>
  <si>
    <t>31-163-5871</t>
  </si>
  <si>
    <t>9 Cordelia Trail</t>
  </si>
  <si>
    <t>88-183-5781</t>
  </si>
  <si>
    <t>Whole Wheat Bread</t>
  </si>
  <si>
    <t>49-247-1217</t>
  </si>
  <si>
    <t>46 Delaware Place</t>
  </si>
  <si>
    <t>09-101-1740</t>
  </si>
  <si>
    <t>63-836-1262</t>
  </si>
  <si>
    <t>96629 Nova Plaza</t>
  </si>
  <si>
    <t>98-445-7372</t>
  </si>
  <si>
    <t>71-676-6562</t>
  </si>
  <si>
    <t>8531 Manley Court</t>
  </si>
  <si>
    <t>29-875-6900</t>
  </si>
  <si>
    <t>78-098-4468</t>
  </si>
  <si>
    <t>2 Sachtjen Park</t>
  </si>
  <si>
    <t>27-757-4489</t>
  </si>
  <si>
    <t>04-456-0715</t>
  </si>
  <si>
    <t>27535 Morrow Avenue</t>
  </si>
  <si>
    <t>51-069-0489</t>
  </si>
  <si>
    <t>19-978-0708</t>
  </si>
  <si>
    <t>Oloo</t>
  </si>
  <si>
    <t>3 Anthes Place</t>
  </si>
  <si>
    <t>20-325-1965</t>
  </si>
  <si>
    <t>97-155-1262</t>
  </si>
  <si>
    <t>78884 Union Street</t>
  </si>
  <si>
    <t>76-090-4411</t>
  </si>
  <si>
    <t>82-552-6786</t>
  </si>
  <si>
    <t>15 Loomis Avenue</t>
  </si>
  <si>
    <t>01-703-8441</t>
  </si>
  <si>
    <t>91-216-7668</t>
  </si>
  <si>
    <t>4029 Lotheville Pass</t>
  </si>
  <si>
    <t>09-622-7119</t>
  </si>
  <si>
    <t>59-781-3399</t>
  </si>
  <si>
    <t>Youtags</t>
  </si>
  <si>
    <t>665 Sommers Circle</t>
  </si>
  <si>
    <t>45-172-7012</t>
  </si>
  <si>
    <t>95-721-9228</t>
  </si>
  <si>
    <t>11 Kedzie Avenue</t>
  </si>
  <si>
    <t>06-849-4869</t>
  </si>
  <si>
    <t>39-464-7300</t>
  </si>
  <si>
    <t>Rhycero</t>
  </si>
  <si>
    <t>041 Paget Alley</t>
  </si>
  <si>
    <t>30-996-2526</t>
  </si>
  <si>
    <t>30-942-0054</t>
  </si>
  <si>
    <t xml:space="preserve">$2.10 </t>
  </si>
  <si>
    <t>77 Monterey Avenue</t>
  </si>
  <si>
    <t>71-074-6292</t>
  </si>
  <si>
    <t>42-201-4495</t>
  </si>
  <si>
    <t>Plajo</t>
  </si>
  <si>
    <t>338 Annamark Court</t>
  </si>
  <si>
    <t>98-909-9395</t>
  </si>
  <si>
    <t>74-119-5491</t>
  </si>
  <si>
    <t>4/22/2024</t>
  </si>
  <si>
    <t>43 Heath Street</t>
  </si>
  <si>
    <t>61-796-6540</t>
  </si>
  <si>
    <t>40-002-8400</t>
  </si>
  <si>
    <t>126 Spohn Plaza</t>
  </si>
  <si>
    <t>41-735-9837</t>
  </si>
  <si>
    <t>35-462-7569</t>
  </si>
  <si>
    <t>Devpulse</t>
  </si>
  <si>
    <t>2374 Chive Court</t>
  </si>
  <si>
    <t>60-343-3288</t>
  </si>
  <si>
    <t>22-940-6543</t>
  </si>
  <si>
    <t xml:space="preserve">$6.70 </t>
  </si>
  <si>
    <t>6 Hanover Terrace</t>
  </si>
  <si>
    <t>27-783-5470</t>
  </si>
  <si>
    <t>45-997-6429</t>
  </si>
  <si>
    <t>6 Tony Junction</t>
  </si>
  <si>
    <t>60-456-8169</t>
  </si>
  <si>
    <t>54-529-4459</t>
  </si>
  <si>
    <t>Oyoba</t>
  </si>
  <si>
    <t>710 Service Park</t>
  </si>
  <si>
    <t>99-420-3592</t>
  </si>
  <si>
    <t>88-647-5082</t>
  </si>
  <si>
    <t>206 Pine View Junction</t>
  </si>
  <si>
    <t>35-836-6718</t>
  </si>
  <si>
    <t>27-838-4345</t>
  </si>
  <si>
    <t>05 Canary Circle</t>
  </si>
  <si>
    <t>51-273-4240</t>
  </si>
  <si>
    <t>32-506-0556</t>
  </si>
  <si>
    <t>7 Prairieview Place</t>
  </si>
  <si>
    <t>38-924-3007</t>
  </si>
  <si>
    <t>83-936-5065</t>
  </si>
  <si>
    <t>Photolist</t>
  </si>
  <si>
    <t>6 Anthes Court</t>
  </si>
  <si>
    <t>52-123-8039</t>
  </si>
  <si>
    <t>24-087-5935</t>
  </si>
  <si>
    <t>Browsebug</t>
  </si>
  <si>
    <t>7 Schiller Court</t>
  </si>
  <si>
    <t>34-131-8805</t>
  </si>
  <si>
    <t>84-472-8001</t>
  </si>
  <si>
    <t>44249 Sutteridge Crossing</t>
  </si>
  <si>
    <t>28-505-8317</t>
  </si>
  <si>
    <t>61-755-4469</t>
  </si>
  <si>
    <t>Digitube</t>
  </si>
  <si>
    <t>848 Old Gate Parkway</t>
  </si>
  <si>
    <t>41-594-5069</t>
  </si>
  <si>
    <t>45-471-5053</t>
  </si>
  <si>
    <t>Blogtags</t>
  </si>
  <si>
    <t>9 Clemons Hill</t>
  </si>
  <si>
    <t>94-658-4945</t>
  </si>
  <si>
    <t>09-153-0763</t>
  </si>
  <si>
    <t>15 Veith Circle</t>
  </si>
  <si>
    <t>69-561-2496</t>
  </si>
  <si>
    <t>38-790-7081</t>
  </si>
  <si>
    <t xml:space="preserve">$15.31 </t>
  </si>
  <si>
    <t>154 Delladonna Hill</t>
  </si>
  <si>
    <t>98-858-6323</t>
  </si>
  <si>
    <t>79-086-1717</t>
  </si>
  <si>
    <t>80729 Homewood Plaza</t>
  </si>
  <si>
    <t>92-995-8689</t>
  </si>
  <si>
    <t>18-682-7828</t>
  </si>
  <si>
    <t>1 Merchant Circle</t>
  </si>
  <si>
    <t>43-164-5984</t>
  </si>
  <si>
    <t>10-008-6747</t>
  </si>
  <si>
    <t>Shuffletag</t>
  </si>
  <si>
    <t>70862 Lighthouse Bay Junction</t>
  </si>
  <si>
    <t>58-122-2282</t>
  </si>
  <si>
    <t>55-773-9118</t>
  </si>
  <si>
    <t>96 American Ash Center</t>
  </si>
  <si>
    <t>84-269-9130</t>
  </si>
  <si>
    <t>88-615-2915</t>
  </si>
  <si>
    <t>49263 Graceland Pass</t>
  </si>
  <si>
    <t>11-922-3342</t>
  </si>
  <si>
    <t>33-523-9077</t>
  </si>
  <si>
    <t>Gabspot</t>
  </si>
  <si>
    <t xml:space="preserve">$15.50 </t>
  </si>
  <si>
    <t>094 Carberry Lane</t>
  </si>
  <si>
    <t>60-550-4771</t>
  </si>
  <si>
    <t>24-568-9517</t>
  </si>
  <si>
    <t>Kwimbee</t>
  </si>
  <si>
    <t>1 Monica Lane</t>
  </si>
  <si>
    <t>88-951-9038</t>
  </si>
  <si>
    <t>14-713-5795</t>
  </si>
  <si>
    <t>5 Anderson Trail</t>
  </si>
  <si>
    <t>08-114-3922</t>
  </si>
  <si>
    <t>19-418-7213</t>
  </si>
  <si>
    <t>709 Vidon Avenue</t>
  </si>
  <si>
    <t>70-145-2550</t>
  </si>
  <si>
    <t>75-849-4524</t>
  </si>
  <si>
    <t>5141 Anniversary Crossing</t>
  </si>
  <si>
    <t>51-761-6320</t>
  </si>
  <si>
    <t>28-461-1136</t>
  </si>
  <si>
    <t>Youopia</t>
  </si>
  <si>
    <t>587 Vermont Terrace</t>
  </si>
  <si>
    <t>55-803-3964</t>
  </si>
  <si>
    <t>75-906-1086</t>
  </si>
  <si>
    <t>149 Valley Edge Point</t>
  </si>
  <si>
    <t>11-815-7923</t>
  </si>
  <si>
    <t>98-304-8407</t>
  </si>
  <si>
    <t xml:space="preserve">$11.80 </t>
  </si>
  <si>
    <t>89 Springs Alley</t>
  </si>
  <si>
    <t>83-966-3280</t>
  </si>
  <si>
    <t>50-305-3936</t>
  </si>
  <si>
    <t>Twitterworks</t>
  </si>
  <si>
    <t>0743 4th Place</t>
  </si>
  <si>
    <t>29-592-7315</t>
  </si>
  <si>
    <t>61-867-3019</t>
  </si>
  <si>
    <t>Dabtype</t>
  </si>
  <si>
    <t>21625 Schlimgen Park</t>
  </si>
  <si>
    <t>65-235-7676</t>
  </si>
  <si>
    <t>22-083-3504</t>
  </si>
  <si>
    <t>31208 Westerfield Way</t>
  </si>
  <si>
    <t>40-683-0283</t>
  </si>
  <si>
    <t>27-060-9944</t>
  </si>
  <si>
    <t>322 Birchwood Center</t>
  </si>
  <si>
    <t>83-553-9523</t>
  </si>
  <si>
    <t>89-976-4338</t>
  </si>
  <si>
    <t>84336 Haas Place</t>
  </si>
  <si>
    <t>40-793-7235</t>
  </si>
  <si>
    <t>89-048-3542</t>
  </si>
  <si>
    <t>68086 Crowley Circle</t>
  </si>
  <si>
    <t>74-666-5671</t>
  </si>
  <si>
    <t>58-657-7257</t>
  </si>
  <si>
    <t>11263 Kipling Hill</t>
  </si>
  <si>
    <t>90-865-9150</t>
  </si>
  <si>
    <t>58-053-4926</t>
  </si>
  <si>
    <t>Kazu</t>
  </si>
  <si>
    <t>00029 Fisk Point</t>
  </si>
  <si>
    <t>46-255-3073</t>
  </si>
  <si>
    <t>68-230-9130</t>
  </si>
  <si>
    <t>57 Eastwood Junction</t>
  </si>
  <si>
    <t>11-155-7826</t>
  </si>
  <si>
    <t>91-788-3177</t>
  </si>
  <si>
    <t>321 Barby Parkway</t>
  </si>
  <si>
    <t>99-543-5039</t>
  </si>
  <si>
    <t>63-683-7396</t>
  </si>
  <si>
    <t>71796 Waubesa Terrace</t>
  </si>
  <si>
    <t>99-033-5661</t>
  </si>
  <si>
    <t>32-458-6452</t>
  </si>
  <si>
    <t>289 Longview Point</t>
  </si>
  <si>
    <t>28-608-0039</t>
  </si>
  <si>
    <t>26-796-0872</t>
  </si>
  <si>
    <t>Avavee</t>
  </si>
  <si>
    <t>31057 Roth Place</t>
  </si>
  <si>
    <t>35-529-2933</t>
  </si>
  <si>
    <t>57-591-6452</t>
  </si>
  <si>
    <t>2 School Drive</t>
  </si>
  <si>
    <t>83-321-7887</t>
  </si>
  <si>
    <t>70-444-9176</t>
  </si>
  <si>
    <t>35598 Fuller Terrace</t>
  </si>
  <si>
    <t>43-910-2342</t>
  </si>
  <si>
    <t>06-569-4690</t>
  </si>
  <si>
    <t>46758 Hallows Center</t>
  </si>
  <si>
    <t>21-633-8696</t>
  </si>
  <si>
    <t>89-468-2696</t>
  </si>
  <si>
    <t>08492 Gateway Terrace</t>
  </si>
  <si>
    <t>76-401-7083</t>
  </si>
  <si>
    <t>29-156-0691</t>
  </si>
  <si>
    <t>31892 Pennsylvania Street</t>
  </si>
  <si>
    <t>92-551-8504</t>
  </si>
  <si>
    <t>22-836-5101</t>
  </si>
  <si>
    <t>461 Bluejay Circle</t>
  </si>
  <si>
    <t>76-264-0748</t>
  </si>
  <si>
    <t>27-557-2375</t>
  </si>
  <si>
    <t>55 Morning Terrace</t>
  </si>
  <si>
    <t>88-586-8797</t>
  </si>
  <si>
    <t>02-530-5932</t>
  </si>
  <si>
    <t>9469 Bayside Plaza</t>
  </si>
  <si>
    <t>21-993-5632</t>
  </si>
  <si>
    <t>26-860-4618</t>
  </si>
  <si>
    <t>Innotype</t>
  </si>
  <si>
    <t>16730 Luster Alley</t>
  </si>
  <si>
    <t>27-681-5588</t>
  </si>
  <si>
    <t>89-959-2254</t>
  </si>
  <si>
    <t>498 Delladonna Drive</t>
  </si>
  <si>
    <t>23-265-8144</t>
  </si>
  <si>
    <t>31-524-1628</t>
  </si>
  <si>
    <t xml:space="preserve">$1.70 </t>
  </si>
  <si>
    <t>14042 Dottie Avenue</t>
  </si>
  <si>
    <t>26-134-9069</t>
  </si>
  <si>
    <t>80-068-0825</t>
  </si>
  <si>
    <t>Devcast</t>
  </si>
  <si>
    <t>4929 Westend Point</t>
  </si>
  <si>
    <t>76-623-7844</t>
  </si>
  <si>
    <t>84-498-3849</t>
  </si>
  <si>
    <t>868 Swallow Point</t>
  </si>
  <si>
    <t>88-977-0175</t>
  </si>
  <si>
    <t>58-087-3463</t>
  </si>
  <si>
    <t>7561 5th Terrace</t>
  </si>
  <si>
    <t>12-714-5135</t>
  </si>
  <si>
    <t>97-055-2756</t>
  </si>
  <si>
    <t>2003 Delladonna Pass</t>
  </si>
  <si>
    <t>43-153-8268</t>
  </si>
  <si>
    <t>19-809-5654</t>
  </si>
  <si>
    <t>29815 Bonner Trail</t>
  </si>
  <si>
    <t>95-130-9020</t>
  </si>
  <si>
    <t>75-985-6744</t>
  </si>
  <si>
    <t>Youbridge</t>
  </si>
  <si>
    <t xml:space="preserve">$4.10 </t>
  </si>
  <si>
    <t>2 Canary Street</t>
  </si>
  <si>
    <t>82-678-8097</t>
  </si>
  <si>
    <t>65-403-0311</t>
  </si>
  <si>
    <t>6172 Hovde Circle</t>
  </si>
  <si>
    <t>21-693-8216</t>
  </si>
  <si>
    <t>62-599-8388</t>
  </si>
  <si>
    <t>Twinte</t>
  </si>
  <si>
    <t>32468 Utah Pass</t>
  </si>
  <si>
    <t>56-831-6199</t>
  </si>
  <si>
    <t>99-680-2351</t>
  </si>
  <si>
    <t>1247 Hoard Hill</t>
  </si>
  <si>
    <t>81-268-5905</t>
  </si>
  <si>
    <t>36-138-9045</t>
  </si>
  <si>
    <t>Kazio</t>
  </si>
  <si>
    <t>85953 Clyde Gallagher Drive</t>
  </si>
  <si>
    <t>41-237-5498</t>
  </si>
  <si>
    <t>38-643-1626</t>
  </si>
  <si>
    <t>29817 Coleman Drive</t>
  </si>
  <si>
    <t>32-987-5559</t>
  </si>
  <si>
    <t>01-665-0053</t>
  </si>
  <si>
    <t>7 Hallows Alley</t>
  </si>
  <si>
    <t>71-436-5841</t>
  </si>
  <si>
    <t>87-546-9674</t>
  </si>
  <si>
    <t>52 Victoria Plaza</t>
  </si>
  <si>
    <t>63-890-1246</t>
  </si>
  <si>
    <t>29-273-1595</t>
  </si>
  <si>
    <t>3 Melrose Trail</t>
  </si>
  <si>
    <t>65-368-2479</t>
  </si>
  <si>
    <t>99-570-8162</t>
  </si>
  <si>
    <t>Browsedrive</t>
  </si>
  <si>
    <t>231 Merry Pass</t>
  </si>
  <si>
    <t>74-562-7431</t>
  </si>
  <si>
    <t>66-174-9633</t>
  </si>
  <si>
    <t>Linkbridge</t>
  </si>
  <si>
    <t>79 Ronald Regan Avenue</t>
  </si>
  <si>
    <t>51-583-6029</t>
  </si>
  <si>
    <t>78-024-3286</t>
  </si>
  <si>
    <t>83894 Delaware Plaza</t>
  </si>
  <si>
    <t>06-996-3221</t>
  </si>
  <si>
    <t>97-821-7402</t>
  </si>
  <si>
    <t>579 Schlimgen Alley</t>
  </si>
  <si>
    <t>96-334-2593</t>
  </si>
  <si>
    <t>64-831-3071</t>
  </si>
  <si>
    <t xml:space="preserve">$25.30 </t>
  </si>
  <si>
    <t>9559 Muir Trail</t>
  </si>
  <si>
    <t>58-219-0241</t>
  </si>
  <si>
    <t>42-523-1857</t>
  </si>
  <si>
    <t>938 Garrison Court</t>
  </si>
  <si>
    <t>87-272-6544</t>
  </si>
  <si>
    <t>93-699-8001</t>
  </si>
  <si>
    <t>4 Nelson Alley</t>
  </si>
  <si>
    <t>95-357-2870</t>
  </si>
  <si>
    <t>75-365-7696</t>
  </si>
  <si>
    <t>87 Corben Street</t>
  </si>
  <si>
    <t>88-401-3700</t>
  </si>
  <si>
    <t>39-299-6093</t>
  </si>
  <si>
    <t>39014 Randy Court</t>
  </si>
  <si>
    <t>72-404-5581</t>
  </si>
  <si>
    <t>18-065-8014</t>
  </si>
  <si>
    <t>879 Amoth Terrace</t>
  </si>
  <si>
    <t>11-766-8738</t>
  </si>
  <si>
    <t>96-393-1428</t>
  </si>
  <si>
    <t>20 Nelson Way</t>
  </si>
  <si>
    <t>15-796-3130</t>
  </si>
  <si>
    <t>45-912-2948</t>
  </si>
  <si>
    <t>85 Lunder Court</t>
  </si>
  <si>
    <t>73-751-4393</t>
  </si>
  <si>
    <t>14-486-5626</t>
  </si>
  <si>
    <t>03 Roth Court</t>
  </si>
  <si>
    <t>62-100-2245</t>
  </si>
  <si>
    <t>18-110-8314</t>
  </si>
  <si>
    <t>56830 Fremont Road</t>
  </si>
  <si>
    <t>08-961-3009</t>
  </si>
  <si>
    <t>41-825-5869</t>
  </si>
  <si>
    <t>01 Gateway Plaza</t>
  </si>
  <si>
    <t>33-440-2588</t>
  </si>
  <si>
    <t>68-596-5506</t>
  </si>
  <si>
    <t>Tagpad</t>
  </si>
  <si>
    <t xml:space="preserve">$4.40 </t>
  </si>
  <si>
    <t>4 6th Plaza</t>
  </si>
  <si>
    <t>24-009-1208</t>
  </si>
  <si>
    <t>96-405-4286</t>
  </si>
  <si>
    <t>Aivee</t>
  </si>
  <si>
    <t>99 Duke Lane</t>
  </si>
  <si>
    <t>71-300-2191</t>
  </si>
  <si>
    <t>98-677-4279</t>
  </si>
  <si>
    <t>7 Heffernan Drive</t>
  </si>
  <si>
    <t>74-430-8245</t>
  </si>
  <si>
    <t>51-213-5660</t>
  </si>
  <si>
    <t>7 Roxbury Circle</t>
  </si>
  <si>
    <t>68-636-4774</t>
  </si>
  <si>
    <t>40-436-0171</t>
  </si>
  <si>
    <t xml:space="preserve">$1.45 </t>
  </si>
  <si>
    <t>7744 Oxford Pass</t>
  </si>
  <si>
    <t>38-655-2312</t>
  </si>
  <si>
    <t>91-127-7174</t>
  </si>
  <si>
    <t>17 Reinke Circle</t>
  </si>
  <si>
    <t>16-632-1308</t>
  </si>
  <si>
    <t>45-903-0036</t>
  </si>
  <si>
    <t>60094 Goodland Junction</t>
  </si>
  <si>
    <t>37-606-0510</t>
  </si>
  <si>
    <t>09-489-6314</t>
  </si>
  <si>
    <t>Jabbercube</t>
  </si>
  <si>
    <t>53 Homewood Alley</t>
  </si>
  <si>
    <t>36-296-9609</t>
  </si>
  <si>
    <t>46-041-1131</t>
  </si>
  <si>
    <t>7 Rutledge Pass</t>
  </si>
  <si>
    <t>22-329-7791</t>
  </si>
  <si>
    <t>72-013-2438</t>
  </si>
  <si>
    <t>50687 Porter Park</t>
  </si>
  <si>
    <t>56-894-3733</t>
  </si>
  <si>
    <t>57-133-8386</t>
  </si>
  <si>
    <t>897 Independence Circle</t>
  </si>
  <si>
    <t>06-858-5680</t>
  </si>
  <si>
    <t>63-231-2829</t>
  </si>
  <si>
    <t>49476 Tony Hill</t>
  </si>
  <si>
    <t>71-954-4501</t>
  </si>
  <si>
    <t>26-135-6134</t>
  </si>
  <si>
    <t>290 Rusk Avenue</t>
  </si>
  <si>
    <t>12-046-2988</t>
  </si>
  <si>
    <t>37-630-2250</t>
  </si>
  <si>
    <t>931 Browning Center</t>
  </si>
  <si>
    <t>95-356-1566</t>
  </si>
  <si>
    <t>57-204-2098</t>
  </si>
  <si>
    <t>622 Buena Vista Trail</t>
  </si>
  <si>
    <t>34-291-4939</t>
  </si>
  <si>
    <t>39-284-1614</t>
  </si>
  <si>
    <t>983 Sommers Circle</t>
  </si>
  <si>
    <t>35-621-2546</t>
  </si>
  <si>
    <t>14-190-2260</t>
  </si>
  <si>
    <t>Skiptube</t>
  </si>
  <si>
    <t>3 Fairfield Center</t>
  </si>
  <si>
    <t>21-013-3508</t>
  </si>
  <si>
    <t>64-489-8494</t>
  </si>
  <si>
    <t>84305 Fair Oaks Plaza</t>
  </si>
  <si>
    <t>38-049-9319</t>
  </si>
  <si>
    <t>90-447-5123</t>
  </si>
  <si>
    <t>6 Lillian Junction</t>
  </si>
  <si>
    <t>94-697-2396</t>
  </si>
  <si>
    <t>34-161-7429</t>
  </si>
  <si>
    <t>Zoomlounge</t>
  </si>
  <si>
    <t>44 Thompson Terrace</t>
  </si>
  <si>
    <t>33-807-7247</t>
  </si>
  <si>
    <t>94-453-3755</t>
  </si>
  <si>
    <t>63464 Jana Court</t>
  </si>
  <si>
    <t>62-816-8794</t>
  </si>
  <si>
    <t>56-110-5754</t>
  </si>
  <si>
    <t>04 Blaine Lane</t>
  </si>
  <si>
    <t>33-507-9886</t>
  </si>
  <si>
    <t>11-445-3951</t>
  </si>
  <si>
    <t>0584 Lindbergh Alley</t>
  </si>
  <si>
    <t>40-003-7322</t>
  </si>
  <si>
    <t>41-644-3129</t>
  </si>
  <si>
    <t>Wordtune</t>
  </si>
  <si>
    <t>2693 6th Court</t>
  </si>
  <si>
    <t>95-090-2788</t>
  </si>
  <si>
    <t>95-715-6047</t>
  </si>
  <si>
    <t>0313 Rockefeller Street</t>
  </si>
  <si>
    <t>06-503-5891</t>
  </si>
  <si>
    <t>19-098-2529</t>
  </si>
  <si>
    <t>49646 Derek Lane</t>
  </si>
  <si>
    <t>38-555-9147</t>
  </si>
  <si>
    <t>35-370-7603</t>
  </si>
  <si>
    <t>Aimbu</t>
  </si>
  <si>
    <t>0 Oneill Hill</t>
  </si>
  <si>
    <t>64-854-8664</t>
  </si>
  <si>
    <t>19-893-7698</t>
  </si>
  <si>
    <t>Pixoboo</t>
  </si>
  <si>
    <t>76 Independence Drive</t>
  </si>
  <si>
    <t>50-942-2409</t>
  </si>
  <si>
    <t>69-472-4067</t>
  </si>
  <si>
    <t>7182 Summit Court</t>
  </si>
  <si>
    <t>17-493-4579</t>
  </si>
  <si>
    <t>67-541-7091</t>
  </si>
  <si>
    <t>Trudoo</t>
  </si>
  <si>
    <t>4627 Amoth Circle</t>
  </si>
  <si>
    <t>10-854-5467</t>
  </si>
  <si>
    <t>40-443-3362</t>
  </si>
  <si>
    <t>3 Oakridge Parkway</t>
  </si>
  <si>
    <t>11-604-6002</t>
  </si>
  <si>
    <t>50-862-4552</t>
  </si>
  <si>
    <t>Kimia</t>
  </si>
  <si>
    <t>17640 Cottonwood Place</t>
  </si>
  <si>
    <t>44-305-1866</t>
  </si>
  <si>
    <t>25-190-3172</t>
  </si>
  <si>
    <t>51205 Rieder Junction</t>
  </si>
  <si>
    <t>49-730-0159</t>
  </si>
  <si>
    <t>62-766-8232</t>
  </si>
  <si>
    <t>Riffpedia</t>
  </si>
  <si>
    <t>09189 2nd Drive</t>
  </si>
  <si>
    <t>70-534-7796</t>
  </si>
  <si>
    <t>62-044-8874</t>
  </si>
  <si>
    <t>76106 Anthes Junction</t>
  </si>
  <si>
    <t>95-738-4658</t>
  </si>
  <si>
    <t>67-404-3362</t>
  </si>
  <si>
    <t>35 Golf Course Alley</t>
  </si>
  <si>
    <t>20-405-4865</t>
  </si>
  <si>
    <t>16-019-7101</t>
  </si>
  <si>
    <t>Centimia</t>
  </si>
  <si>
    <t xml:space="preserve">$0.90 </t>
  </si>
  <si>
    <t>36483 Burning Wood Pass</t>
  </si>
  <si>
    <t>79-428-8753</t>
  </si>
  <si>
    <t>29-521-7910</t>
  </si>
  <si>
    <t>12/30/2024</t>
  </si>
  <si>
    <t>9 Holmberg Circle</t>
  </si>
  <si>
    <t>10-626-8536</t>
  </si>
  <si>
    <t>23-274-3305</t>
  </si>
  <si>
    <t>38583 2nd Pass</t>
  </si>
  <si>
    <t>27-216-9671</t>
  </si>
  <si>
    <t>40-773-7065</t>
  </si>
  <si>
    <t>4 Browning Terrace</t>
  </si>
  <si>
    <t>14-489-8669</t>
  </si>
  <si>
    <t>28-436-5158</t>
  </si>
  <si>
    <t>21629 Burrows Pass</t>
  </si>
  <si>
    <t>46-632-8420</t>
  </si>
  <si>
    <t>27-996-8883</t>
  </si>
  <si>
    <t>9 Meadow Ridge Center</t>
  </si>
  <si>
    <t>39-192-3521</t>
  </si>
  <si>
    <t>74-062-7176</t>
  </si>
  <si>
    <t>Dynazzy</t>
  </si>
  <si>
    <t xml:space="preserve">$30.50 </t>
  </si>
  <si>
    <t>428 Oriole Avenue</t>
  </si>
  <si>
    <t>94-528-8088</t>
  </si>
  <si>
    <t>68-885-5553</t>
  </si>
  <si>
    <t>21379 Stoughton Junction</t>
  </si>
  <si>
    <t>74-305-1263</t>
  </si>
  <si>
    <t>83-076-5024</t>
  </si>
  <si>
    <t>744 Lakewood Gardens Crossing</t>
  </si>
  <si>
    <t>53-151-5726</t>
  </si>
  <si>
    <t>93-180-4005</t>
  </si>
  <si>
    <t>84239 Meadow Vale Trail</t>
  </si>
  <si>
    <t>02-085-7218</t>
  </si>
  <si>
    <t>41-978-3326</t>
  </si>
  <si>
    <t>Oyonder</t>
  </si>
  <si>
    <t>2835 Schlimgen Parkway</t>
  </si>
  <si>
    <t>77-777-4536</t>
  </si>
  <si>
    <t>64-396-5538</t>
  </si>
  <si>
    <t>4784 Farmco Alley</t>
  </si>
  <si>
    <t>86-482-6451</t>
  </si>
  <si>
    <t>56-965-0404</t>
  </si>
  <si>
    <t>5501 Fuller Way</t>
  </si>
  <si>
    <t>36-127-4273</t>
  </si>
  <si>
    <t>05-719-6858</t>
  </si>
  <si>
    <t>10342 Division Place</t>
  </si>
  <si>
    <t>03-061-1344</t>
  </si>
  <si>
    <t>85-211-5357</t>
  </si>
  <si>
    <t>96420 Briar Crest Lane</t>
  </si>
  <si>
    <t>97-300-7511</t>
  </si>
  <si>
    <t>47-687-2255</t>
  </si>
  <si>
    <t>45190 Fordem Court</t>
  </si>
  <si>
    <t>83-108-1174</t>
  </si>
  <si>
    <t>56-439-3559</t>
  </si>
  <si>
    <t>3 Monument Street</t>
  </si>
  <si>
    <t>38-664-2155</t>
  </si>
  <si>
    <t>10-540-5841</t>
  </si>
  <si>
    <t xml:space="preserve">$2.55 </t>
  </si>
  <si>
    <t>843 Pepper Wood Hill</t>
  </si>
  <si>
    <t>80-459-5950</t>
  </si>
  <si>
    <t>04-866-2231</t>
  </si>
  <si>
    <t>Rhyzio</t>
  </si>
  <si>
    <t>5 Killdeer Trail</t>
  </si>
  <si>
    <t>93-015-0811</t>
  </si>
  <si>
    <t>07-055-5188</t>
  </si>
  <si>
    <t>1 Pleasure Hill</t>
  </si>
  <si>
    <t>02-888-9412</t>
  </si>
  <si>
    <t>22-307-4653</t>
  </si>
  <si>
    <t xml:space="preserve">$2.48 </t>
  </si>
  <si>
    <t>880 Calypso Road</t>
  </si>
  <si>
    <t>10-218-2680</t>
  </si>
  <si>
    <t>72-024-1595</t>
  </si>
  <si>
    <t>6810 Aberg Junction</t>
  </si>
  <si>
    <t>30-964-2694</t>
  </si>
  <si>
    <t>42-976-2737</t>
  </si>
  <si>
    <t>Edgeclub</t>
  </si>
  <si>
    <t>39 Dovetail Terrace</t>
  </si>
  <si>
    <t>15-144-9413</t>
  </si>
  <si>
    <t>08-912-0895</t>
  </si>
  <si>
    <t>3 Buhler Place</t>
  </si>
  <si>
    <t>17-253-5688</t>
  </si>
  <si>
    <t>42-638-2086</t>
  </si>
  <si>
    <t>7 Hooker Way</t>
  </si>
  <si>
    <t>31-608-1445</t>
  </si>
  <si>
    <t>75-286-4153</t>
  </si>
  <si>
    <t>227 Tennyson Plaza</t>
  </si>
  <si>
    <t>51-934-9117</t>
  </si>
  <si>
    <t>34-389-9922</t>
  </si>
  <si>
    <t>05944 Scott Parkway</t>
  </si>
  <si>
    <t>72-810-9753</t>
  </si>
  <si>
    <t>17-359-2527</t>
  </si>
  <si>
    <t>545 Farwell Lane</t>
  </si>
  <si>
    <t>53-146-9979</t>
  </si>
  <si>
    <t>44-388-2451</t>
  </si>
  <si>
    <t>42 Mandrake Alley</t>
  </si>
  <si>
    <t>46-622-3434</t>
  </si>
  <si>
    <t>85-473-1534</t>
  </si>
  <si>
    <t>Topdrive</t>
  </si>
  <si>
    <t>2 Miller Lane</t>
  </si>
  <si>
    <t>47-843-8207</t>
  </si>
  <si>
    <t>55-838-9088</t>
  </si>
  <si>
    <t>01 Northfield Road</t>
  </si>
  <si>
    <t>29-135-0791</t>
  </si>
  <si>
    <t>05-050-4384</t>
  </si>
  <si>
    <t>97 Utah Lane</t>
  </si>
  <si>
    <t>45-194-4094</t>
  </si>
  <si>
    <t>65-611-4749</t>
  </si>
  <si>
    <t>2 Scofield Street</t>
  </si>
  <si>
    <t>09-712-3630</t>
  </si>
  <si>
    <t>17-807-6972</t>
  </si>
  <si>
    <t>10 Golf Course Hill</t>
  </si>
  <si>
    <t>56-213-0577</t>
  </si>
  <si>
    <t>72-306-8602</t>
  </si>
  <si>
    <t>851 Hollow Ridge Center</t>
  </si>
  <si>
    <t>78-956-4737</t>
  </si>
  <si>
    <t>76-712-0418</t>
  </si>
  <si>
    <t>9 Burrows Junction</t>
  </si>
  <si>
    <t>29-436-6570</t>
  </si>
  <si>
    <t>12-140-7809</t>
  </si>
  <si>
    <t>30590 Bowman Alley</t>
  </si>
  <si>
    <t>04-038-1547</t>
  </si>
  <si>
    <t>61-912-9541</t>
  </si>
  <si>
    <t>76 Shelley Pass</t>
  </si>
  <si>
    <t>76-476-9996</t>
  </si>
  <si>
    <t>88-428-6227</t>
  </si>
  <si>
    <t>0 Larry Terrace</t>
  </si>
  <si>
    <t>43-469-7551</t>
  </si>
  <si>
    <t>64-361-4238</t>
  </si>
  <si>
    <t>760 Butternut Plaza</t>
  </si>
  <si>
    <t>15-169-8058</t>
  </si>
  <si>
    <t>14-009-8505</t>
  </si>
  <si>
    <t>26160 Independence Alley</t>
  </si>
  <si>
    <t>37-567-3218</t>
  </si>
  <si>
    <t>03-257-4437</t>
  </si>
  <si>
    <t>153 Caliangt Plaza</t>
  </si>
  <si>
    <t>92-455-2959</t>
  </si>
  <si>
    <t>13-109-8639</t>
  </si>
  <si>
    <t xml:space="preserve">$10.30 </t>
  </si>
  <si>
    <t>0 Ohio Hill</t>
  </si>
  <si>
    <t>75-672-4378</t>
  </si>
  <si>
    <t>20-103-9525</t>
  </si>
  <si>
    <t>Eare</t>
  </si>
  <si>
    <t>4 Esch Point</t>
  </si>
  <si>
    <t>66-806-6051</t>
  </si>
  <si>
    <t>19-875-5642</t>
  </si>
  <si>
    <t>8 Kensington Place</t>
  </si>
  <si>
    <t>65-527-9488</t>
  </si>
  <si>
    <t>23-482-0516</t>
  </si>
  <si>
    <t>23704 Algoma Park</t>
  </si>
  <si>
    <t>36-840-2728</t>
  </si>
  <si>
    <t>26-454-7297</t>
  </si>
  <si>
    <t>Dabfeed</t>
  </si>
  <si>
    <t>08545 Lillian Street</t>
  </si>
  <si>
    <t>07-389-5740</t>
  </si>
  <si>
    <t>72-784-3292</t>
  </si>
  <si>
    <t>59 Veith Center</t>
  </si>
  <si>
    <t>13-144-2169</t>
  </si>
  <si>
    <t>11-742-5033</t>
  </si>
  <si>
    <t>Blogpad</t>
  </si>
  <si>
    <t>52 Namekagon Junction</t>
  </si>
  <si>
    <t>13-798-3397</t>
  </si>
  <si>
    <t>89-992-6472</t>
  </si>
  <si>
    <t>Twimm</t>
  </si>
  <si>
    <t>93321 Kennedy Point</t>
  </si>
  <si>
    <t>85-806-0613</t>
  </si>
  <si>
    <t>06-286-2758</t>
  </si>
  <si>
    <t>9269 Main Trail</t>
  </si>
  <si>
    <t>67-248-6306</t>
  </si>
  <si>
    <t>86-173-6891</t>
  </si>
  <si>
    <t>Avamm</t>
  </si>
  <si>
    <t>05 Bartelt Street</t>
  </si>
  <si>
    <t>47-866-6589</t>
  </si>
  <si>
    <t>78-203-1075</t>
  </si>
  <si>
    <t>30880 Barnett Junction</t>
  </si>
  <si>
    <t>91-127-7489</t>
  </si>
  <si>
    <t>86-079-1525</t>
  </si>
  <si>
    <t xml:space="preserve">$2.95 </t>
  </si>
  <si>
    <t>43211 Anzinger Drive</t>
  </si>
  <si>
    <t>90-343-9640</t>
  </si>
  <si>
    <t>54-919-9424</t>
  </si>
  <si>
    <t>3622 Anhalt Lane</t>
  </si>
  <si>
    <t>01-018-6418</t>
  </si>
  <si>
    <t>78-888-6073</t>
  </si>
  <si>
    <t>481 Mifflin Hill</t>
  </si>
  <si>
    <t>80-375-9075</t>
  </si>
  <si>
    <t>86-487-3354</t>
  </si>
  <si>
    <t>3831 Goodland Road</t>
  </si>
  <si>
    <t>80-227-6886</t>
  </si>
  <si>
    <t>91-632-7343</t>
  </si>
  <si>
    <t>4374 Corry Terrace</t>
  </si>
  <si>
    <t>15-562-3712</t>
  </si>
  <si>
    <t>53-243-7800</t>
  </si>
  <si>
    <t>1 Hudson Hill</t>
  </si>
  <si>
    <t>10-137-9759</t>
  </si>
  <si>
    <t>23-688-6256</t>
  </si>
  <si>
    <t>Trupe</t>
  </si>
  <si>
    <t>402 Kings Road</t>
  </si>
  <si>
    <t>69-171-1305</t>
  </si>
  <si>
    <t>33-733-7313</t>
  </si>
  <si>
    <t>9951 Petterle Alley</t>
  </si>
  <si>
    <t>83-117-7658</t>
  </si>
  <si>
    <t>61-424-7670</t>
  </si>
  <si>
    <t>Yabox</t>
  </si>
  <si>
    <t>0282 Emmet Hill</t>
  </si>
  <si>
    <t>74-642-2435</t>
  </si>
  <si>
    <t>52-012-3409</t>
  </si>
  <si>
    <t>6292 Chive Street</t>
  </si>
  <si>
    <t>10-445-0741</t>
  </si>
  <si>
    <t>82-470-7146</t>
  </si>
  <si>
    <t>31 Loomis Park</t>
  </si>
  <si>
    <t>80-658-6456</t>
  </si>
  <si>
    <t>42-080-6579</t>
  </si>
  <si>
    <t>44051 Old Shore Junction</t>
  </si>
  <si>
    <t>81-354-4203</t>
  </si>
  <si>
    <t>15-466-5131</t>
  </si>
  <si>
    <t>12 Luster Terrace</t>
  </si>
  <si>
    <t>08-573-9997</t>
  </si>
  <si>
    <t>95-734-4024</t>
  </si>
  <si>
    <t>03 Little Fleur Pass</t>
  </si>
  <si>
    <t>74-610-2295</t>
  </si>
  <si>
    <t>22-959-6357</t>
  </si>
  <si>
    <t>Lajo</t>
  </si>
  <si>
    <t>87 Bluestem Parkway</t>
  </si>
  <si>
    <t>76-070-1411</t>
  </si>
  <si>
    <t>63-528-0643</t>
  </si>
  <si>
    <t>87578 Stoughton Parkway</t>
  </si>
  <si>
    <t>61-582-7399</t>
  </si>
  <si>
    <t>15-062-6342</t>
  </si>
  <si>
    <t>Topiczoom</t>
  </si>
  <si>
    <t>8 Hanover Center</t>
  </si>
  <si>
    <t>42-674-3917</t>
  </si>
  <si>
    <t>26-080-4944</t>
  </si>
  <si>
    <t xml:space="preserve">$2.65 </t>
  </si>
  <si>
    <t>78 Forest Dale Road</t>
  </si>
  <si>
    <t>05-899-1428</t>
  </si>
  <si>
    <t>17-494-5505</t>
  </si>
  <si>
    <t>591 Maple Junction</t>
  </si>
  <si>
    <t>74-548-9313</t>
  </si>
  <si>
    <t>69-832-7009</t>
  </si>
  <si>
    <t>1 Judy Street</t>
  </si>
  <si>
    <t>20-448-2972</t>
  </si>
  <si>
    <t>26-920-6626</t>
  </si>
  <si>
    <t>Buzzbean</t>
  </si>
  <si>
    <t>49770 Hoffman Court</t>
  </si>
  <si>
    <t>63-162-9244</t>
  </si>
  <si>
    <t>58-945-2944</t>
  </si>
  <si>
    <t>04 Rockefeller Terrace</t>
  </si>
  <si>
    <t>91-417-0366</t>
  </si>
  <si>
    <t>28-442-2578</t>
  </si>
  <si>
    <t>1 Elmside Parkway</t>
  </si>
  <si>
    <t>60-311-5701</t>
  </si>
  <si>
    <t>07-578-7055</t>
  </si>
  <si>
    <t>9 Meadow Vale Drive</t>
  </si>
  <si>
    <t>36-899-5324</t>
  </si>
  <si>
    <t>02-656-3112</t>
  </si>
  <si>
    <t>Flashdog</t>
  </si>
  <si>
    <t>3 Bashford Court</t>
  </si>
  <si>
    <t>22-266-9291</t>
  </si>
  <si>
    <t>15-550-0171</t>
  </si>
  <si>
    <t>111 David Hill</t>
  </si>
  <si>
    <t>76-584-4790</t>
  </si>
  <si>
    <t>58-213-1146</t>
  </si>
  <si>
    <t>1170 Shasta Circle</t>
  </si>
  <si>
    <t>82-948-2298</t>
  </si>
  <si>
    <t>53-749-6148</t>
  </si>
  <si>
    <t xml:space="preserve">$5.70 </t>
  </si>
  <si>
    <t>555 Butternut Hill</t>
  </si>
  <si>
    <t>97-283-4840</t>
  </si>
  <si>
    <t>64-604-1679</t>
  </si>
  <si>
    <t>7232 Ridgeway Center</t>
  </si>
  <si>
    <t>17-395-1121</t>
  </si>
  <si>
    <t>67-252-3923</t>
  </si>
  <si>
    <t>8 Oriole Terrace</t>
  </si>
  <si>
    <t>74-132-5528</t>
  </si>
  <si>
    <t>41-713-1053</t>
  </si>
  <si>
    <t>611 Fieldstone Drive</t>
  </si>
  <si>
    <t>52-029-2382</t>
  </si>
  <si>
    <t>16-474-4516</t>
  </si>
  <si>
    <t>Brightdog</t>
  </si>
  <si>
    <t>08896 Evergreen Avenue</t>
  </si>
  <si>
    <t>11-053-0107</t>
  </si>
  <si>
    <t>Cherry</t>
  </si>
  <si>
    <t>07-410-2867</t>
  </si>
  <si>
    <t>734 Thackeray Avenue</t>
  </si>
  <si>
    <t>99-194-5600</t>
  </si>
  <si>
    <t>70-064-6828</t>
  </si>
  <si>
    <t>973 Spaight Place</t>
  </si>
  <si>
    <t>48-289-0604</t>
  </si>
  <si>
    <t>94-261-1193</t>
  </si>
  <si>
    <t>5 Colorado Park</t>
  </si>
  <si>
    <t>73-010-8323</t>
  </si>
  <si>
    <t>80-622-6587</t>
  </si>
  <si>
    <t>Tagcat</t>
  </si>
  <si>
    <t>811 Dapin Center</t>
  </si>
  <si>
    <t>06-068-6793</t>
  </si>
  <si>
    <t>94-958-6101</t>
  </si>
  <si>
    <t>25 Nancy Place</t>
  </si>
  <si>
    <t>56-054-8664</t>
  </si>
  <si>
    <t>53-247-1844</t>
  </si>
  <si>
    <t>01 Straubel Hill</t>
  </si>
  <si>
    <t>36-330-5036</t>
  </si>
  <si>
    <t>52-359-1255</t>
  </si>
  <si>
    <t>Mycat</t>
  </si>
  <si>
    <t>21 Golden Leaf Hill</t>
  </si>
  <si>
    <t>65-674-6076</t>
  </si>
  <si>
    <t>16-933-3355</t>
  </si>
  <si>
    <t>9738 Old Shore Trail</t>
  </si>
  <si>
    <t>87-013-6488</t>
  </si>
  <si>
    <t>77-471-0792</t>
  </si>
  <si>
    <t>Tekfly</t>
  </si>
  <si>
    <t>07855 Goodland Lane</t>
  </si>
  <si>
    <t>95-449-1286</t>
  </si>
  <si>
    <t>Egg (Chicken)</t>
  </si>
  <si>
    <t>18-260-7354</t>
  </si>
  <si>
    <t>Realfire</t>
  </si>
  <si>
    <t xml:space="preserve">$0.20 </t>
  </si>
  <si>
    <t>1 Jackson Pass</t>
  </si>
  <si>
    <t>95-640-0293</t>
  </si>
  <si>
    <t>43-575-2151</t>
  </si>
  <si>
    <t>31 Sullivan Hill</t>
  </si>
  <si>
    <t>08-495-6853</t>
  </si>
  <si>
    <t>07-432-0137</t>
  </si>
  <si>
    <t>7943 Amoth Parkway</t>
  </si>
  <si>
    <t>42-495-7698</t>
  </si>
  <si>
    <t>93-625-4768</t>
  </si>
  <si>
    <t>91 Gateway Pass</t>
  </si>
  <si>
    <t>83-727-0814</t>
  </si>
  <si>
    <t>79-656-1990</t>
  </si>
  <si>
    <t>28 Boyd Pass</t>
  </si>
  <si>
    <t>01-050-2246</t>
  </si>
  <si>
    <t>80-462-5807</t>
  </si>
  <si>
    <t>38 Esch Pass</t>
  </si>
  <si>
    <t>07-858-5487</t>
  </si>
  <si>
    <t>92-991-6167</t>
  </si>
  <si>
    <t>6 Susan Alley</t>
  </si>
  <si>
    <t>20-283-0111</t>
  </si>
  <si>
    <t>60-394-8955</t>
  </si>
  <si>
    <t>Cogidoo</t>
  </si>
  <si>
    <t>0 Ruskin Way</t>
  </si>
  <si>
    <t>87-391-9658</t>
  </si>
  <si>
    <t>51-054-1226</t>
  </si>
  <si>
    <t>92486 Laurel Alley</t>
  </si>
  <si>
    <t>44-782-1395</t>
  </si>
  <si>
    <t>54-132-9762</t>
  </si>
  <si>
    <t>365 Vera Terrace</t>
  </si>
  <si>
    <t>12-828-1063</t>
  </si>
  <si>
    <t>48-707-5857</t>
  </si>
  <si>
    <t xml:space="preserve">$7.10 </t>
  </si>
  <si>
    <t>018 Oxford Crossing</t>
  </si>
  <si>
    <t>72-989-2512</t>
  </si>
  <si>
    <t>03-117-6217</t>
  </si>
  <si>
    <t>Yakijo</t>
  </si>
  <si>
    <t>61 Waubesa Court</t>
  </si>
  <si>
    <t>53-667-4109</t>
  </si>
  <si>
    <t>40-800-4739</t>
  </si>
  <si>
    <t>992 East Point</t>
  </si>
  <si>
    <t>93-772-3085</t>
  </si>
  <si>
    <t>61-807-0746</t>
  </si>
  <si>
    <t>Edgetag</t>
  </si>
  <si>
    <t xml:space="preserve">$13.99 </t>
  </si>
  <si>
    <t>07359 Porter Park</t>
  </si>
  <si>
    <t>92-652-3737</t>
  </si>
  <si>
    <t>42-361-6981</t>
  </si>
  <si>
    <t>Quimm</t>
  </si>
  <si>
    <t>66330 Northridge Street</t>
  </si>
  <si>
    <t>74-404-0582</t>
  </si>
  <si>
    <t>31-628-6696</t>
  </si>
  <si>
    <t>07 Maple Wood Drive</t>
  </si>
  <si>
    <t>19-244-9890</t>
  </si>
  <si>
    <t>98-107-0604</t>
  </si>
  <si>
    <t>Wikido</t>
  </si>
  <si>
    <t>620 Mockingbird Pass</t>
  </si>
  <si>
    <t>01-839-6534</t>
  </si>
  <si>
    <t>51-519-4588</t>
  </si>
  <si>
    <t>8 Hazelcrest Street</t>
  </si>
  <si>
    <t>58-229-1358</t>
  </si>
  <si>
    <t>66-883-2383</t>
  </si>
  <si>
    <t xml:space="preserve">$2.35 </t>
  </si>
  <si>
    <t>1 Lillian Plaza</t>
  </si>
  <si>
    <t>80-025-6757</t>
  </si>
  <si>
    <t>49-608-3851</t>
  </si>
  <si>
    <t>Thoughtmix</t>
  </si>
  <si>
    <t>183 Algoma Trail</t>
  </si>
  <si>
    <t>35-031-1497</t>
  </si>
  <si>
    <t>84-835-1656</t>
  </si>
  <si>
    <t>581 Oneill Crossing</t>
  </si>
  <si>
    <t>26-629-5920</t>
  </si>
  <si>
    <t>19-264-7608</t>
  </si>
  <si>
    <t>77563 Russell Lane</t>
  </si>
  <si>
    <t>51-000-8113</t>
  </si>
  <si>
    <t>56-825-0880</t>
  </si>
  <si>
    <t>51369 Dawn Hill</t>
  </si>
  <si>
    <t>93-571-7294</t>
  </si>
  <si>
    <t>77-842-0920</t>
  </si>
  <si>
    <t xml:space="preserve">$4.35 </t>
  </si>
  <si>
    <t>76 Fisk Park</t>
  </si>
  <si>
    <t>48-770-6319</t>
  </si>
  <si>
    <t>64-452-2395</t>
  </si>
  <si>
    <t>34 Fremont Point</t>
  </si>
  <si>
    <t>74-818-3306</t>
  </si>
  <si>
    <t>75-536-2986</t>
  </si>
  <si>
    <t>Eabox</t>
  </si>
  <si>
    <t>62 Thackeray Center</t>
  </si>
  <si>
    <t>15-082-9124</t>
  </si>
  <si>
    <t>02-997-1489</t>
  </si>
  <si>
    <t>LiveZ</t>
  </si>
  <si>
    <t>38 Dawn Street</t>
  </si>
  <si>
    <t>66-854-5736</t>
  </si>
  <si>
    <t>98-591-1051</t>
  </si>
  <si>
    <t xml:space="preserve">$5.80 </t>
  </si>
  <si>
    <t>50880 Nobel Road</t>
  </si>
  <si>
    <t>90-128-7973</t>
  </si>
  <si>
    <t>91-417-6283</t>
  </si>
  <si>
    <t xml:space="preserve">$6.25 </t>
  </si>
  <si>
    <t>46989 Crescent Oaks Junction</t>
  </si>
  <si>
    <t>60-198-7050</t>
  </si>
  <si>
    <t>27-493-6787</t>
  </si>
  <si>
    <t>5306 Arkansas Avenue</t>
  </si>
  <si>
    <t>70-206-4860</t>
  </si>
  <si>
    <t>82-527-9395</t>
  </si>
  <si>
    <t>Meejo</t>
  </si>
  <si>
    <t>75 High Crossing Junction</t>
  </si>
  <si>
    <t>25-353-2067</t>
  </si>
  <si>
    <t>01-210-3485</t>
  </si>
  <si>
    <t>59449 Sherman Parkway</t>
  </si>
  <si>
    <t>93-218-8108</t>
  </si>
  <si>
    <t>05-966-6460</t>
  </si>
  <si>
    <t>9848 Little Fleur Point</t>
  </si>
  <si>
    <t>95-262-6208</t>
  </si>
  <si>
    <t>66-227-1125</t>
  </si>
  <si>
    <t>44662 American Plaza</t>
  </si>
  <si>
    <t>02-484-0206</t>
  </si>
  <si>
    <t>62-011-9357</t>
  </si>
  <si>
    <t>60 Main Pass</t>
  </si>
  <si>
    <t>08-226-5155</t>
  </si>
  <si>
    <t>64-584-7898</t>
  </si>
  <si>
    <t>81503 Graedel Plaza</t>
  </si>
  <si>
    <t>47-581-0363</t>
  </si>
  <si>
    <t>08-359-2568</t>
  </si>
  <si>
    <t>8 Dawn Court</t>
  </si>
  <si>
    <t>04-104-6993</t>
  </si>
  <si>
    <t>06-776-1072</t>
  </si>
  <si>
    <t>55095 Northview Drive</t>
  </si>
  <si>
    <t>45-380-4627</t>
  </si>
  <si>
    <t>20-201-5639</t>
  </si>
  <si>
    <t>0 Thackeray Point</t>
  </si>
  <si>
    <t>41-240-8856</t>
  </si>
  <si>
    <t>28-162-7486</t>
  </si>
  <si>
    <t>8 Autumn Leaf Drive</t>
  </si>
  <si>
    <t>81-573-0943</t>
  </si>
  <si>
    <t>07-754-2313</t>
  </si>
  <si>
    <t>20 Marcy Circle</t>
  </si>
  <si>
    <t>67-725-6830</t>
  </si>
  <si>
    <t>05-727-0033</t>
  </si>
  <si>
    <t>9 Victoria Point</t>
  </si>
  <si>
    <t>55-154-4728</t>
  </si>
  <si>
    <t>33-466-7894</t>
  </si>
  <si>
    <t>96 Westridge Junction</t>
  </si>
  <si>
    <t>41-526-4036</t>
  </si>
  <si>
    <t>45-923-7206</t>
  </si>
  <si>
    <t>38726 Gina Pass</t>
  </si>
  <si>
    <t>86-273-9377</t>
  </si>
  <si>
    <t>38-330-5543</t>
  </si>
  <si>
    <t>1 Hollow Ridge Park</t>
  </si>
  <si>
    <t>98-499-2220</t>
  </si>
  <si>
    <t>69-666-2257</t>
  </si>
  <si>
    <t>27 School Court</t>
  </si>
  <si>
    <t>50-930-4751</t>
  </si>
  <si>
    <t>40-260-8547</t>
  </si>
  <si>
    <t>80380 Valley Edge Road</t>
  </si>
  <si>
    <t>88-304-2855</t>
  </si>
  <si>
    <t>59-570-2020</t>
  </si>
  <si>
    <t>0 Delladonna Place</t>
  </si>
  <si>
    <t>69-743-0161</t>
  </si>
  <si>
    <t>29-774-6779</t>
  </si>
  <si>
    <t>583 Loftsgordon Road</t>
  </si>
  <si>
    <t>40-902-1995</t>
  </si>
  <si>
    <t>86-879-7811</t>
  </si>
  <si>
    <t>Zoomzone</t>
  </si>
  <si>
    <t>1519 Delaware Court</t>
  </si>
  <si>
    <t>50-329-3360</t>
  </si>
  <si>
    <t>85-594-2570</t>
  </si>
  <si>
    <t>72 Crownhardt Circle</t>
  </si>
  <si>
    <t>03-441-4252</t>
  </si>
  <si>
    <t>11-430-6041</t>
  </si>
  <si>
    <t>6 Bobwhite Alley</t>
  </si>
  <si>
    <t>97-093-4278</t>
  </si>
  <si>
    <t>38-200-4863</t>
  </si>
  <si>
    <t>Twitterlist</t>
  </si>
  <si>
    <t>467 Dexter Pass</t>
  </si>
  <si>
    <t>01-820-5784</t>
  </si>
  <si>
    <t>80-567-5598</t>
  </si>
  <si>
    <t>6982 Crownhardt Circle</t>
  </si>
  <si>
    <t>31-803-5001</t>
  </si>
  <si>
    <t>14-414-1945</t>
  </si>
  <si>
    <t>Voonder</t>
  </si>
  <si>
    <t>64 1st Plaza</t>
  </si>
  <si>
    <t>61-317-9944</t>
  </si>
  <si>
    <t>03-220-5535</t>
  </si>
  <si>
    <t>21844 Artisan Trail</t>
  </si>
  <si>
    <t>56-303-5256</t>
  </si>
  <si>
    <t>29-821-5359</t>
  </si>
  <si>
    <t>3 Hermina Circle</t>
  </si>
  <si>
    <t>86-672-4191</t>
  </si>
  <si>
    <t>79-219-8469</t>
  </si>
  <si>
    <t>Einti</t>
  </si>
  <si>
    <t>18 Troy Avenue</t>
  </si>
  <si>
    <t>34-547-0827</t>
  </si>
  <si>
    <t>30-853-8580</t>
  </si>
  <si>
    <t>18 Comanche Junction</t>
  </si>
  <si>
    <t>20-387-7746</t>
  </si>
  <si>
    <t>08-218-9429</t>
  </si>
  <si>
    <t>9050 Dorton Pass</t>
  </si>
  <si>
    <t>50-329-3145</t>
  </si>
  <si>
    <t>88-418-3855</t>
  </si>
  <si>
    <t>591 Maple Wood Drive</t>
  </si>
  <si>
    <t>02-559-8196</t>
  </si>
  <si>
    <t>44-495-6660</t>
  </si>
  <si>
    <t xml:space="preserve">$5.20 </t>
  </si>
  <si>
    <t>545 Linden Alley</t>
  </si>
  <si>
    <t>69-834-2874</t>
  </si>
  <si>
    <t>51-600-6076</t>
  </si>
  <si>
    <t>39 Oxford Drive</t>
  </si>
  <si>
    <t>27-474-0056</t>
  </si>
  <si>
    <t>56-969-3705</t>
  </si>
  <si>
    <t>538 Bayside Parkway</t>
  </si>
  <si>
    <t>66-378-7532</t>
  </si>
  <si>
    <t>15-365-5585</t>
  </si>
  <si>
    <t>88678 Bayside Park</t>
  </si>
  <si>
    <t>28-185-7303</t>
  </si>
  <si>
    <t>97-143-0641</t>
  </si>
  <si>
    <t>25696 Westerfield Alley</t>
  </si>
  <si>
    <t>19-854-3663</t>
  </si>
  <si>
    <t>72-509-7548</t>
  </si>
  <si>
    <t>4 Dakota Avenue</t>
  </si>
  <si>
    <t>42-175-1648</t>
  </si>
  <si>
    <t>67-272-8844</t>
  </si>
  <si>
    <t>72778 Loftsgordon Center</t>
  </si>
  <si>
    <t>56-657-4387</t>
  </si>
  <si>
    <t>78-629-7560</t>
  </si>
  <si>
    <t>5 Lyons Street</t>
  </si>
  <si>
    <t>05-720-8792</t>
  </si>
  <si>
    <t>33-265-4588</t>
  </si>
  <si>
    <t>2 Northview Avenue</t>
  </si>
  <si>
    <t>84-151-2114</t>
  </si>
  <si>
    <t>79-704-1471</t>
  </si>
  <si>
    <t>12 Rigney Street</t>
  </si>
  <si>
    <t>10-378-9729</t>
  </si>
  <si>
    <t>83-941-9620</t>
  </si>
  <si>
    <t xml:space="preserve">$66.55 </t>
  </si>
  <si>
    <t>2 Butterfield Pass</t>
  </si>
  <si>
    <t>53-930-2215</t>
  </si>
  <si>
    <t>42-210-6541</t>
  </si>
  <si>
    <t>Gabvine</t>
  </si>
  <si>
    <t>292 Utah Street</t>
  </si>
  <si>
    <t>02-034-6209</t>
  </si>
  <si>
    <t>34-724-1913</t>
  </si>
  <si>
    <t>Yodel</t>
  </si>
  <si>
    <t>96 Brown Drive</t>
  </si>
  <si>
    <t>28-003-8065</t>
  </si>
  <si>
    <t>42-579-7177</t>
  </si>
  <si>
    <t>Voonte</t>
  </si>
  <si>
    <t>65 Merry Circle</t>
  </si>
  <si>
    <t>19-021-5024</t>
  </si>
  <si>
    <t>75-369-5047</t>
  </si>
  <si>
    <t>4 Heffernan Lane</t>
  </si>
  <si>
    <t>07-846-4804</t>
  </si>
  <si>
    <t>30-605-2164</t>
  </si>
  <si>
    <t>2 Fair Oaks Pass</t>
  </si>
  <si>
    <t>70-542-4269</t>
  </si>
  <si>
    <t>27-772-7906</t>
  </si>
  <si>
    <t>7 Victoria Hill</t>
  </si>
  <si>
    <t>52-797-6961</t>
  </si>
  <si>
    <t>75-793-8978</t>
  </si>
  <si>
    <t>13799 Quincy Park</t>
  </si>
  <si>
    <t>66-327-2821</t>
  </si>
  <si>
    <t>82-525-7224</t>
  </si>
  <si>
    <t>703 Hermina Center</t>
  </si>
  <si>
    <t>12-093-9863</t>
  </si>
  <si>
    <t>21-416-3796</t>
  </si>
  <si>
    <t>Feednation</t>
  </si>
  <si>
    <t>6748 Mitchell Road</t>
  </si>
  <si>
    <t>08-396-2704</t>
  </si>
  <si>
    <t>94-186-9620</t>
  </si>
  <si>
    <t>160 Crowley Center</t>
  </si>
  <si>
    <t>72-970-0239</t>
  </si>
  <si>
    <t>64-752-3122</t>
  </si>
  <si>
    <t>Divanoodle</t>
  </si>
  <si>
    <t>73966 Pond Trail</t>
  </si>
  <si>
    <t>03-940-0630</t>
  </si>
  <si>
    <t>49-762-8263</t>
  </si>
  <si>
    <t>27408 Burning Wood Street</t>
  </si>
  <si>
    <t>67-130-4114</t>
  </si>
  <si>
    <t>53-718-1768</t>
  </si>
  <si>
    <t>9327 Hanover Way</t>
  </si>
  <si>
    <t>32-270-1385</t>
  </si>
  <si>
    <t>81-072-8266</t>
  </si>
  <si>
    <t>Quaxo</t>
  </si>
  <si>
    <t xml:space="preserve">$42.58 </t>
  </si>
  <si>
    <t>0500 Calypso Pass</t>
  </si>
  <si>
    <t>85-510-2915</t>
  </si>
  <si>
    <t>55-134-2668</t>
  </si>
  <si>
    <t>8 Merrick Lane</t>
  </si>
  <si>
    <t>00-842-9790</t>
  </si>
  <si>
    <t>37-079-2530</t>
  </si>
  <si>
    <t>53894 Myrtle Place</t>
  </si>
  <si>
    <t>49-377-9731</t>
  </si>
  <si>
    <t>56-823-5908</t>
  </si>
  <si>
    <t>Livefish</t>
  </si>
  <si>
    <t>3 Meadow Valley Court</t>
  </si>
  <si>
    <t>96-682-8546</t>
  </si>
  <si>
    <t>03-882-3517</t>
  </si>
  <si>
    <t>Kaymbo</t>
  </si>
  <si>
    <t>97 Walton Avenue</t>
  </si>
  <si>
    <t>92-837-8839</t>
  </si>
  <si>
    <t>95-484-3134</t>
  </si>
  <si>
    <t>95 Lerdahl Park</t>
  </si>
  <si>
    <t>68-732-5919</t>
  </si>
  <si>
    <t>07-500-2023</t>
  </si>
  <si>
    <t>56 Bonner Point</t>
  </si>
  <si>
    <t>37-064-7275</t>
  </si>
  <si>
    <t>63-522-2633</t>
  </si>
  <si>
    <t>149 Lawn Way</t>
  </si>
  <si>
    <t>43-193-9915</t>
  </si>
  <si>
    <t>23-931-2988</t>
  </si>
  <si>
    <t>Roodel</t>
  </si>
  <si>
    <t>61 Transport Parkway</t>
  </si>
  <si>
    <t>45-992-5653</t>
  </si>
  <si>
    <t>22-050-5775</t>
  </si>
  <si>
    <t>Jaxworks</t>
  </si>
  <si>
    <t>5 Fisk Point</t>
  </si>
  <si>
    <t>45-852-2446</t>
  </si>
  <si>
    <t>37-567-5710</t>
  </si>
  <si>
    <t>Fanoodle</t>
  </si>
  <si>
    <t>56 Petterle Circle</t>
  </si>
  <si>
    <t>57-394-4703</t>
  </si>
  <si>
    <t>52-130-3457</t>
  </si>
  <si>
    <t>Agivu</t>
  </si>
  <si>
    <t>10/16/2024</t>
  </si>
  <si>
    <t>38 Banding Lane</t>
  </si>
  <si>
    <t>07-679-1199</t>
  </si>
  <si>
    <t>75-406-6250</t>
  </si>
  <si>
    <t>1991 Kropf Way</t>
  </si>
  <si>
    <t>47-221-3391</t>
  </si>
  <si>
    <t>21-450-5520</t>
  </si>
  <si>
    <t>0023 Upham Road</t>
  </si>
  <si>
    <t>80-698-0324</t>
  </si>
  <si>
    <t>98-587-7923</t>
  </si>
  <si>
    <t>Bluejam</t>
  </si>
  <si>
    <t>7 Duke Parkway</t>
  </si>
  <si>
    <t>36-383-3677</t>
  </si>
  <si>
    <t>88-020-6814</t>
  </si>
  <si>
    <t>7 Anzinger Lane</t>
  </si>
  <si>
    <t>42-907-6946</t>
  </si>
  <si>
    <t>32-386-9832</t>
  </si>
  <si>
    <t>093 Anhalt Crossing</t>
  </si>
  <si>
    <t>96-209-1739</t>
  </si>
  <si>
    <t>82-930-7733</t>
  </si>
  <si>
    <t>779 Ridgeway Street</t>
  </si>
  <si>
    <t>36-679-4670</t>
  </si>
  <si>
    <t>60-508-7567</t>
  </si>
  <si>
    <t>Fatz</t>
  </si>
  <si>
    <t>5 Warner Court</t>
  </si>
  <si>
    <t>08-637-9335</t>
  </si>
  <si>
    <t>99-178-0951</t>
  </si>
  <si>
    <t>9 Cardinal Alley</t>
  </si>
  <si>
    <t>56-875-3717</t>
  </si>
  <si>
    <t>39-257-6162</t>
  </si>
  <si>
    <t>32 Cottonwood Pass</t>
  </si>
  <si>
    <t>86-978-6666</t>
  </si>
  <si>
    <t>43-979-2253</t>
  </si>
  <si>
    <t xml:space="preserve">$2.70 </t>
  </si>
  <si>
    <t>21343 Brentwood Circle</t>
  </si>
  <si>
    <t>41-475-5305</t>
  </si>
  <si>
    <t>93-900-1170</t>
  </si>
  <si>
    <t>Kwideo</t>
  </si>
  <si>
    <t>88 Hooker Parkway</t>
  </si>
  <si>
    <t>25-911-7736</t>
  </si>
  <si>
    <t>40-180-0752</t>
  </si>
  <si>
    <t>72090 Northfield Place</t>
  </si>
  <si>
    <t>28-433-8533</t>
  </si>
  <si>
    <t>81-694-0300</t>
  </si>
  <si>
    <t>Topicware</t>
  </si>
  <si>
    <t>8 Mayer Trail</t>
  </si>
  <si>
    <t>84-624-0201</t>
  </si>
  <si>
    <t>25-769-3792</t>
  </si>
  <si>
    <t>Skaboo</t>
  </si>
  <si>
    <t>9 Eastlawn Crossing</t>
  </si>
  <si>
    <t>45-634-0679</t>
  </si>
  <si>
    <t>29-542-9338</t>
  </si>
  <si>
    <t>Rhybox</t>
  </si>
  <si>
    <t>9 Anhalt Trail</t>
  </si>
  <si>
    <t>93-014-4256</t>
  </si>
  <si>
    <t>37-599-8579</t>
  </si>
  <si>
    <t>6 Bay Road</t>
  </si>
  <si>
    <t>24-989-3302</t>
  </si>
  <si>
    <t>89-159-0852</t>
  </si>
  <si>
    <t>Eazzy</t>
  </si>
  <si>
    <t>736 Redwing Parkway</t>
  </si>
  <si>
    <t>46-415-8633</t>
  </si>
  <si>
    <t>32-497-0478</t>
  </si>
  <si>
    <t>5 Eggendart Parkway</t>
  </si>
  <si>
    <t>73-117-6105</t>
  </si>
  <si>
    <t>74-729-7466</t>
  </si>
  <si>
    <t>955 4th Road</t>
  </si>
  <si>
    <t>53-710-7630</t>
  </si>
  <si>
    <t>46-171-9624</t>
  </si>
  <si>
    <t>996 Thierer Center</t>
  </si>
  <si>
    <t>10-617-7581</t>
  </si>
  <si>
    <t>86-995-7254</t>
  </si>
  <si>
    <t>0 Lawn Parkway</t>
  </si>
  <si>
    <t>66-312-5511</t>
  </si>
  <si>
    <t>99-553-6838</t>
  </si>
  <si>
    <t>959 Dorton Pass</t>
  </si>
  <si>
    <t>87-423-8486</t>
  </si>
  <si>
    <t>12-947-4739</t>
  </si>
  <si>
    <t>5 Homewood Street</t>
  </si>
  <si>
    <t>64-493-5270</t>
  </si>
  <si>
    <t>36-964-9838</t>
  </si>
  <si>
    <t>4571 Fremont Way</t>
  </si>
  <si>
    <t>31-255-9616</t>
  </si>
  <si>
    <t>11-031-9939</t>
  </si>
  <si>
    <t>9440 Coleman Drive</t>
  </si>
  <si>
    <t>26-799-3714</t>
  </si>
  <si>
    <t>50-877-0990</t>
  </si>
  <si>
    <t>Mymm</t>
  </si>
  <si>
    <t>49225 Homewood Place</t>
  </si>
  <si>
    <t>64-119-7804</t>
  </si>
  <si>
    <t>53-497-9614</t>
  </si>
  <si>
    <t>Jaxbean</t>
  </si>
  <si>
    <t>06584 Mendota Avenue</t>
  </si>
  <si>
    <t>74-181-4135</t>
  </si>
  <si>
    <t>00-487-2428</t>
  </si>
  <si>
    <t>79878 Katie Trail</t>
  </si>
  <si>
    <t>34-369-7712</t>
  </si>
  <si>
    <t>95-241-9348</t>
  </si>
  <si>
    <t>0 Lerdahl Parkway</t>
  </si>
  <si>
    <t>31-157-1822</t>
  </si>
  <si>
    <t>53-998-1422</t>
  </si>
  <si>
    <t>803 Cottonwood Crossing</t>
  </si>
  <si>
    <t>27-459-0724</t>
  </si>
  <si>
    <t>45-331-8563</t>
  </si>
  <si>
    <t>4 Duke Way</t>
  </si>
  <si>
    <t>47-441-7682</t>
  </si>
  <si>
    <t>90-998-1236</t>
  </si>
  <si>
    <t>4247 David Crossing</t>
  </si>
  <si>
    <t>32-676-1026</t>
  </si>
  <si>
    <t>98-155-9583</t>
  </si>
  <si>
    <t>9433 Jenna Lane</t>
  </si>
  <si>
    <t>77-959-1018</t>
  </si>
  <si>
    <t>00-912-3545</t>
  </si>
  <si>
    <t>03 Ryan Circle</t>
  </si>
  <si>
    <t>60-911-3745</t>
  </si>
  <si>
    <t>87-570-0273</t>
  </si>
  <si>
    <t xml:space="preserve">$6.35 </t>
  </si>
  <si>
    <t>75054 Ramsey Parkway</t>
  </si>
  <si>
    <t>57-101-0060</t>
  </si>
  <si>
    <t>40-070-5881</t>
  </si>
  <si>
    <t>78919 East Crossing</t>
  </si>
  <si>
    <t>54-758-4622</t>
  </si>
  <si>
    <t>94-903-2643</t>
  </si>
  <si>
    <t>865 Eagle Crest Park</t>
  </si>
  <si>
    <t>92-152-5820</t>
  </si>
  <si>
    <t>50-747-2259</t>
  </si>
  <si>
    <t xml:space="preserve">$5.30 </t>
  </si>
  <si>
    <t>0920 Monica Pass</t>
  </si>
  <si>
    <t>44-637-5512</t>
  </si>
  <si>
    <t>27-541-2645</t>
  </si>
  <si>
    <t>00064 Mosinee Circle</t>
  </si>
  <si>
    <t>65-854-9364</t>
  </si>
  <si>
    <t>64-800-4141</t>
  </si>
  <si>
    <t xml:space="preserve">$6.30 </t>
  </si>
  <si>
    <t>752 Mccormick Way</t>
  </si>
  <si>
    <t>60-747-8704</t>
  </si>
  <si>
    <t>93-793-4398</t>
  </si>
  <si>
    <t>561 Pennsylvania Way</t>
  </si>
  <si>
    <t>85-835-3445</t>
  </si>
  <si>
    <t>13-433-4930</t>
  </si>
  <si>
    <t>288 Fair Oaks Place</t>
  </si>
  <si>
    <t>66-716-8221</t>
  </si>
  <si>
    <t>67-024-9832</t>
  </si>
  <si>
    <t>54 Weeping Birch Lane</t>
  </si>
  <si>
    <t>01-026-2772</t>
  </si>
  <si>
    <t>20-532-0144</t>
  </si>
  <si>
    <t>3 Bunting Point</t>
  </si>
  <si>
    <t>21-252-1360</t>
  </si>
  <si>
    <t>28-314-1189</t>
  </si>
  <si>
    <t>32 Charing Cross Pass</t>
  </si>
  <si>
    <t>80-039-1261</t>
  </si>
  <si>
    <t>37-994-7932</t>
  </si>
  <si>
    <t>1 Havey Park</t>
  </si>
  <si>
    <t>48-427-0551</t>
  </si>
  <si>
    <t>01-900-4509</t>
  </si>
  <si>
    <t>2 7th Center</t>
  </si>
  <si>
    <t>02-575-1980</t>
  </si>
  <si>
    <t>61-100-8296</t>
  </si>
  <si>
    <t>Yambee</t>
  </si>
  <si>
    <t>34832 Autumn Leaf Terrace</t>
  </si>
  <si>
    <t>61-293-6327</t>
  </si>
  <si>
    <t>00-023-7719</t>
  </si>
  <si>
    <t>4353 Dixon Circle</t>
  </si>
  <si>
    <t>08-519-5579</t>
  </si>
  <si>
    <t>32-178-2765</t>
  </si>
  <si>
    <t>89 Karstens Alley</t>
  </si>
  <si>
    <t>33-670-6797</t>
  </si>
  <si>
    <t>74-032-7560</t>
  </si>
  <si>
    <t>2869 Hudson Drive</t>
  </si>
  <si>
    <t>29-741-8132</t>
  </si>
  <si>
    <t>49-384-4540</t>
  </si>
  <si>
    <t>85 Farwell Parkway</t>
  </si>
  <si>
    <t>89-713-6071</t>
  </si>
  <si>
    <t>84-123-7159</t>
  </si>
  <si>
    <t>60 Dottie Hill</t>
  </si>
  <si>
    <t>00-641-8691</t>
  </si>
  <si>
    <t>34-824-0575</t>
  </si>
  <si>
    <t>797 Mcbride Lane</t>
  </si>
  <si>
    <t>68-977-6854</t>
  </si>
  <si>
    <t>73-830-9633</t>
  </si>
  <si>
    <t>2633 Shasta Alley</t>
  </si>
  <si>
    <t>86-257-4613</t>
  </si>
  <si>
    <t>70-402-4816</t>
  </si>
  <si>
    <t>5 Prentice Pass</t>
  </si>
  <si>
    <t>06-340-6856</t>
  </si>
  <si>
    <t>11-005-7835</t>
  </si>
  <si>
    <t>Podcat</t>
  </si>
  <si>
    <t xml:space="preserve">$9.75 </t>
  </si>
  <si>
    <t>84 Rusk Terrace</t>
  </si>
  <si>
    <t>11-338-4598</t>
  </si>
  <si>
    <t>72-360-6358</t>
  </si>
  <si>
    <t>9067 Valley Edge Park</t>
  </si>
  <si>
    <t>82-711-0772</t>
  </si>
  <si>
    <t>78-877-1866</t>
  </si>
  <si>
    <t>463 Oxford Crossing</t>
  </si>
  <si>
    <t>05-184-4175</t>
  </si>
  <si>
    <t>31-676-5646</t>
  </si>
  <si>
    <t>57 Di Loreto Circle</t>
  </si>
  <si>
    <t>17-274-6898</t>
  </si>
  <si>
    <t>34-738-1209</t>
  </si>
  <si>
    <t>657 Texas Street</t>
  </si>
  <si>
    <t>79-569-8856</t>
  </si>
  <si>
    <t>04-854-7165</t>
  </si>
  <si>
    <t>03643 Oakridge Lane</t>
  </si>
  <si>
    <t>00-534-9775</t>
  </si>
  <si>
    <t>79-955-6260</t>
  </si>
  <si>
    <t xml:space="preserve">$14.90 </t>
  </si>
  <si>
    <t>68 Dakota Center</t>
  </si>
  <si>
    <t>94-071-2261</t>
  </si>
  <si>
    <t>25-706-2146</t>
  </si>
  <si>
    <t>2004 Cody Plaza</t>
  </si>
  <si>
    <t>94-355-3070</t>
  </si>
  <si>
    <t>73-393-9432</t>
  </si>
  <si>
    <t xml:space="preserve">$6.80 </t>
  </si>
  <si>
    <t>116 Spaight Park</t>
  </si>
  <si>
    <t>17-265-1899</t>
  </si>
  <si>
    <t>61-793-0279</t>
  </si>
  <si>
    <t>4826 Drewry Center</t>
  </si>
  <si>
    <t>13-888-0149</t>
  </si>
  <si>
    <t>09-902-6272</t>
  </si>
  <si>
    <t>1 Logan Road</t>
  </si>
  <si>
    <t>21-890-2826</t>
  </si>
  <si>
    <t>32-371-1686</t>
  </si>
  <si>
    <t>84 Hoffman Way</t>
  </si>
  <si>
    <t>05-425-0746</t>
  </si>
  <si>
    <t>23-450-0301</t>
  </si>
  <si>
    <t>49884 Brickson Park Plaza</t>
  </si>
  <si>
    <t>88-807-8431</t>
  </si>
  <si>
    <t>66-563-9462</t>
  </si>
  <si>
    <t>2 Russell Alley</t>
  </si>
  <si>
    <t>77-377-1659</t>
  </si>
  <si>
    <t>64-674-3902</t>
  </si>
  <si>
    <t>6 Acker Street</t>
  </si>
  <si>
    <t>92-362-3567</t>
  </si>
  <si>
    <t>40-056-7748</t>
  </si>
  <si>
    <t>826 Melvin Pass</t>
  </si>
  <si>
    <t>99-961-0767</t>
  </si>
  <si>
    <t>78-954-5649</t>
  </si>
  <si>
    <t>Tambee</t>
  </si>
  <si>
    <t>40113 Blaine Place</t>
  </si>
  <si>
    <t>94-092-3355</t>
  </si>
  <si>
    <t>76-641-2070</t>
  </si>
  <si>
    <t>929 Thierer Lane</t>
  </si>
  <si>
    <t>29-344-3658</t>
  </si>
  <si>
    <t>33-546-5056</t>
  </si>
  <si>
    <t>7 Talmadge Street</t>
  </si>
  <si>
    <t>60-327-4114</t>
  </si>
  <si>
    <t>59-968-8346</t>
  </si>
  <si>
    <t>3 Bellgrove Way</t>
  </si>
  <si>
    <t>13-409-9040</t>
  </si>
  <si>
    <t>34-303-5097</t>
  </si>
  <si>
    <t>Jazzy</t>
  </si>
  <si>
    <t xml:space="preserve">$25.25 </t>
  </si>
  <si>
    <t>9623 Cottonwood Park</t>
  </si>
  <si>
    <t>75-927-9108</t>
  </si>
  <si>
    <t>27-406-7972</t>
  </si>
  <si>
    <t>43 Washington Street</t>
  </si>
  <si>
    <t>30-806-3823</t>
  </si>
  <si>
    <t>36-451-3173</t>
  </si>
  <si>
    <t>07 Pankratz Point</t>
  </si>
  <si>
    <t>65-780-5622</t>
  </si>
  <si>
    <t>69-460-9770</t>
  </si>
  <si>
    <t>65 Forster Way</t>
  </si>
  <si>
    <t>94-598-3383</t>
  </si>
  <si>
    <t>39-488-0039</t>
  </si>
  <si>
    <t>7403 Fuller Hill</t>
  </si>
  <si>
    <t>45-250-4679</t>
  </si>
  <si>
    <t>80-328-4990</t>
  </si>
  <si>
    <t>49148 Meadow Ridge Way</t>
  </si>
  <si>
    <t>45-317-9731</t>
  </si>
  <si>
    <t>05-779-0378</t>
  </si>
  <si>
    <t>Wordware</t>
  </si>
  <si>
    <t>70156 7th Junction</t>
  </si>
  <si>
    <t>41-131-3841</t>
  </si>
  <si>
    <t>55-269-1746</t>
  </si>
  <si>
    <t>16 Fair Oaks Pass</t>
  </si>
  <si>
    <t>15-905-7750</t>
  </si>
  <si>
    <t>48-176-1622</t>
  </si>
  <si>
    <t>36687 Maple Avenue</t>
  </si>
  <si>
    <t>68-973-8812</t>
  </si>
  <si>
    <t>31-955-7362</t>
  </si>
  <si>
    <t>55 Cherokee Circle</t>
  </si>
  <si>
    <t>49-570-8214</t>
  </si>
  <si>
    <t>17-345-5800</t>
  </si>
  <si>
    <t>1823 Elgar Park</t>
  </si>
  <si>
    <t>57-779-4955</t>
  </si>
  <si>
    <t>84-869-9980</t>
  </si>
  <si>
    <t>38436 Anthes Way</t>
  </si>
  <si>
    <t>85-781-5386</t>
  </si>
  <si>
    <t>89-439-6947</t>
  </si>
  <si>
    <t>10577 Thierer Plaza</t>
  </si>
  <si>
    <t>72-341-1154</t>
  </si>
  <si>
    <t>84-090-6472</t>
  </si>
  <si>
    <t>8682 Golf Course Junction</t>
  </si>
  <si>
    <t>28-986-8001</t>
  </si>
  <si>
    <t>37-281-2537</t>
  </si>
  <si>
    <t>4 Old Shore Avenue</t>
  </si>
  <si>
    <t>82-811-7988</t>
  </si>
  <si>
    <t>41-772-9238</t>
  </si>
  <si>
    <t>65 Chinook Circle</t>
  </si>
  <si>
    <t>27-495-1912</t>
  </si>
  <si>
    <t>34-667-8907</t>
  </si>
  <si>
    <t>Thoughtbridge</t>
  </si>
  <si>
    <t>12710 Gulseth Circle</t>
  </si>
  <si>
    <t>44-480-9446</t>
  </si>
  <si>
    <t>35-000-6015</t>
  </si>
  <si>
    <t>43591 East Road</t>
  </si>
  <si>
    <t>77-937-1108</t>
  </si>
  <si>
    <t>41-007-0132</t>
  </si>
  <si>
    <t>01 Hansons Crossing</t>
  </si>
  <si>
    <t>82-538-4809</t>
  </si>
  <si>
    <t>74-357-2990</t>
  </si>
  <si>
    <t>700 Northland Crossing</t>
  </si>
  <si>
    <t>69-895-3397</t>
  </si>
  <si>
    <t>02-575-2074</t>
  </si>
  <si>
    <t>98 Melody Street</t>
  </si>
  <si>
    <t>44-112-3331</t>
  </si>
  <si>
    <t>90-453-4096</t>
  </si>
  <si>
    <t>63787 Arkansas Street</t>
  </si>
  <si>
    <t>93-682-2069</t>
  </si>
  <si>
    <t>60-038-7810</t>
  </si>
  <si>
    <t>2718 Londonderry Plaza</t>
  </si>
  <si>
    <t>49-199-6836</t>
  </si>
  <si>
    <t>81-999-7392</t>
  </si>
  <si>
    <t>77 Brown Circle</t>
  </si>
  <si>
    <t>47-221-2470</t>
  </si>
  <si>
    <t>30-780-7583</t>
  </si>
  <si>
    <t>Teklist</t>
  </si>
  <si>
    <t>60 Messerschmidt Pass</t>
  </si>
  <si>
    <t>71-067-3278</t>
  </si>
  <si>
    <t>76-797-9430</t>
  </si>
  <si>
    <t>5521 Wayridge Center</t>
  </si>
  <si>
    <t>89-388-3239</t>
  </si>
  <si>
    <t>28-521-7083</t>
  </si>
  <si>
    <t>4346 Columbus Way</t>
  </si>
  <si>
    <t>10-555-5971</t>
  </si>
  <si>
    <t>30-410-3509</t>
  </si>
  <si>
    <t>8425 New Castle Parkway</t>
  </si>
  <si>
    <t>82-931-7126</t>
  </si>
  <si>
    <t>67-596-1997</t>
  </si>
  <si>
    <t>856 School Plaza</t>
  </si>
  <si>
    <t>24-228-6840</t>
  </si>
  <si>
    <t>26-280-5472</t>
  </si>
  <si>
    <t>Myworks</t>
  </si>
  <si>
    <t>68241 Hanson Circle</t>
  </si>
  <si>
    <t>52-392-5312</t>
  </si>
  <si>
    <t>78-092-4768</t>
  </si>
  <si>
    <t>336 Old Shore Lane</t>
  </si>
  <si>
    <t>36-531-4087</t>
  </si>
  <si>
    <t>83-172-5527</t>
  </si>
  <si>
    <t>2 Columbus Drive</t>
  </si>
  <si>
    <t>39-810-2042</t>
  </si>
  <si>
    <t>65-620-9866</t>
  </si>
  <si>
    <t>47817 Oneill Park</t>
  </si>
  <si>
    <t>55-164-7723</t>
  </si>
  <si>
    <t>85-454-9252</t>
  </si>
  <si>
    <t>6410 Northwestern Pass</t>
  </si>
  <si>
    <t>61-680-9496</t>
  </si>
  <si>
    <t>75-448-1356</t>
  </si>
  <si>
    <t>2 Northridge Street</t>
  </si>
  <si>
    <t>24-143-4957</t>
  </si>
  <si>
    <t>29-968-4976</t>
  </si>
  <si>
    <t>685 Independence Junction</t>
  </si>
  <si>
    <t>26-456-1992</t>
  </si>
  <si>
    <t>60-159-3514</t>
  </si>
  <si>
    <t>1792 Crownhardt Street</t>
  </si>
  <si>
    <t>62-998-7250</t>
  </si>
  <si>
    <t>72-002-3904</t>
  </si>
  <si>
    <t>9171 Redwing Street</t>
  </si>
  <si>
    <t>38-617-7226</t>
  </si>
  <si>
    <t>91-215-9838</t>
  </si>
  <si>
    <t>33145 Butterfield Avenue</t>
  </si>
  <si>
    <t>00-366-9496</t>
  </si>
  <si>
    <t>40-515-1141</t>
  </si>
  <si>
    <t>898 Rowland Trail</t>
  </si>
  <si>
    <t>76-027-4850</t>
  </si>
  <si>
    <t>75-256-5638</t>
  </si>
  <si>
    <t>425 Shasta Terrace</t>
  </si>
  <si>
    <t>27-269-5260</t>
  </si>
  <si>
    <t>54-724-8610</t>
  </si>
  <si>
    <t>1661 Springview Terrace</t>
  </si>
  <si>
    <t>40-126-0515</t>
  </si>
  <si>
    <t>78-379-0369</t>
  </si>
  <si>
    <t>28351 Cascade Plaza</t>
  </si>
  <si>
    <t>31-387-5020</t>
  </si>
  <si>
    <t>02-811-7933</t>
  </si>
  <si>
    <t xml:space="preserve">$11.90 </t>
  </si>
  <si>
    <t>12/17/2024</t>
  </si>
  <si>
    <t>854 Kipling Point</t>
  </si>
  <si>
    <t>13-673-7016</t>
  </si>
  <si>
    <t>78-726-6352</t>
  </si>
  <si>
    <t>04 Hagan Crossing</t>
  </si>
  <si>
    <t>85-212-2729</t>
  </si>
  <si>
    <t>58-226-6435</t>
  </si>
  <si>
    <t>93 Longview Junction</t>
  </si>
  <si>
    <t>99-048-8310</t>
  </si>
  <si>
    <t>70-453-8646</t>
  </si>
  <si>
    <t>43 Lakewood Junction</t>
  </si>
  <si>
    <t>19-112-1616</t>
  </si>
  <si>
    <t>55-251-3001</t>
  </si>
  <si>
    <t>7698 Logan Drive</t>
  </si>
  <si>
    <t>98-546-7398</t>
  </si>
  <si>
    <t>37-921-2953</t>
  </si>
  <si>
    <t>Thoughtworks</t>
  </si>
  <si>
    <t>15658 Talisman Lane</t>
  </si>
  <si>
    <t>63-874-9747</t>
  </si>
  <si>
    <t>22-506-4911</t>
  </si>
  <si>
    <t>183 Buell Park</t>
  </si>
  <si>
    <t>58-946-5152</t>
  </si>
  <si>
    <t>42-201-4328</t>
  </si>
  <si>
    <t>06 Lake View Trail</t>
  </si>
  <si>
    <t>65-867-4029</t>
  </si>
  <si>
    <t>70-591-9841</t>
  </si>
  <si>
    <t>36124 Carberry Junction</t>
  </si>
  <si>
    <t>89-328-9019</t>
  </si>
  <si>
    <t>63-057-0462</t>
  </si>
  <si>
    <t>33774 Carberry Circle</t>
  </si>
  <si>
    <t>02-170-5225</t>
  </si>
  <si>
    <t>90-940-9550</t>
  </si>
  <si>
    <t>36 Bobwhite Parkway</t>
  </si>
  <si>
    <t>24-478-8277</t>
  </si>
  <si>
    <t>64-070-7611</t>
  </si>
  <si>
    <t xml:space="preserve">$3.25 </t>
  </si>
  <si>
    <t>55276 Golf Hill</t>
  </si>
  <si>
    <t>91-290-9062</t>
  </si>
  <si>
    <t>95-609-1485</t>
  </si>
  <si>
    <t>9821 Novick Hill</t>
  </si>
  <si>
    <t>44-546-5713</t>
  </si>
  <si>
    <t>61-382-5182</t>
  </si>
  <si>
    <t>832 Goodland Alley</t>
  </si>
  <si>
    <t>20-031-0532</t>
  </si>
  <si>
    <t>35-835-8848</t>
  </si>
  <si>
    <t xml:space="preserve">$4.90 </t>
  </si>
  <si>
    <t>8239 Laurel Way</t>
  </si>
  <si>
    <t>48-242-8445</t>
  </si>
  <si>
    <t>84-941-3034</t>
  </si>
  <si>
    <t>29 Vera Drive</t>
  </si>
  <si>
    <t>33-378-1365</t>
  </si>
  <si>
    <t>31-483-9201</t>
  </si>
  <si>
    <t>23560 Talmadge Center</t>
  </si>
  <si>
    <t>57-763-5501</t>
  </si>
  <si>
    <t>25-790-1641</t>
  </si>
  <si>
    <t>46 Colorado Place</t>
  </si>
  <si>
    <t>71-015-9181</t>
  </si>
  <si>
    <t>56-196-9896</t>
  </si>
  <si>
    <t>62238 Mallory Place</t>
  </si>
  <si>
    <t>14-115-8371</t>
  </si>
  <si>
    <t>80-833-3051</t>
  </si>
  <si>
    <t>40 Cody Pass</t>
  </si>
  <si>
    <t>83-568-3475</t>
  </si>
  <si>
    <t>10-950-0546</t>
  </si>
  <si>
    <t>29150 Farmco Crossing</t>
  </si>
  <si>
    <t>79-884-8810</t>
  </si>
  <si>
    <t>14-108-0409</t>
  </si>
  <si>
    <t>546 Declaration Place</t>
  </si>
  <si>
    <t>50-772-2613</t>
  </si>
  <si>
    <t>74-619-4608</t>
  </si>
  <si>
    <t>7 Lunder Hill</t>
  </si>
  <si>
    <t>19-377-5021</t>
  </si>
  <si>
    <t>34-014-5873</t>
  </si>
  <si>
    <t>884 Sloan Drive</t>
  </si>
  <si>
    <t>39-913-2999</t>
  </si>
  <si>
    <t>74-119-8973</t>
  </si>
  <si>
    <t>15 Oriole Park</t>
  </si>
  <si>
    <t>46-911-1159</t>
  </si>
  <si>
    <t>30-820-2883</t>
  </si>
  <si>
    <t>9171 Norway Maple Trail</t>
  </si>
  <si>
    <t>40-630-1431</t>
  </si>
  <si>
    <t>61-040-9004</t>
  </si>
  <si>
    <t>8119 Homewood Drive</t>
  </si>
  <si>
    <t>15-797-4824</t>
  </si>
  <si>
    <t>46-830-4835</t>
  </si>
  <si>
    <t>Mudo</t>
  </si>
  <si>
    <t>25923 Loeprich Junction</t>
  </si>
  <si>
    <t>37-248-6266</t>
  </si>
  <si>
    <t>75-553-7424</t>
  </si>
  <si>
    <t>7051 Calypso Place</t>
  </si>
  <si>
    <t>22-760-4605</t>
  </si>
  <si>
    <t>01-495-9336</t>
  </si>
  <si>
    <t>09264 Forest Dale Drive</t>
  </si>
  <si>
    <t>80-020-8041</t>
  </si>
  <si>
    <t>66-684-1941</t>
  </si>
  <si>
    <t>662 Vernon Point</t>
  </si>
  <si>
    <t>44-634-8292</t>
  </si>
  <si>
    <t>48-557-5036</t>
  </si>
  <si>
    <t>46 Orin Drive</t>
  </si>
  <si>
    <t>19-610-2236</t>
  </si>
  <si>
    <t>53-799-3174</t>
  </si>
  <si>
    <t>8524 Shelley Way</t>
  </si>
  <si>
    <t>49-579-4325</t>
  </si>
  <si>
    <t>98-558-5813</t>
  </si>
  <si>
    <t>6 Anniversary Circle</t>
  </si>
  <si>
    <t>42-134-9798</t>
  </si>
  <si>
    <t>16-869-7328</t>
  </si>
  <si>
    <t>0087 Bluejay Plaza</t>
  </si>
  <si>
    <t>84-546-7624</t>
  </si>
  <si>
    <t>34-730-9079</t>
  </si>
  <si>
    <t>61057 Hallows Junction</t>
  </si>
  <si>
    <t>11-891-8213</t>
  </si>
  <si>
    <t>25-741-5987</t>
  </si>
  <si>
    <t>13 Westport Hill</t>
  </si>
  <si>
    <t>03-597-9488</t>
  </si>
  <si>
    <t>03-983-0515</t>
  </si>
  <si>
    <t>53 Lawn Circle</t>
  </si>
  <si>
    <t>89-624-7462</t>
  </si>
  <si>
    <t>39-506-2186</t>
  </si>
  <si>
    <t>25 Drewry Alley</t>
  </si>
  <si>
    <t>89-335-0155</t>
  </si>
  <si>
    <t>83-780-4531</t>
  </si>
  <si>
    <t>9 Kipling Road</t>
  </si>
  <si>
    <t>59-725-4038</t>
  </si>
  <si>
    <t>39-055-1703</t>
  </si>
  <si>
    <t>Zoozzy</t>
  </si>
  <si>
    <t xml:space="preserve">$20.50 </t>
  </si>
  <si>
    <t>697 Hoepker Center</t>
  </si>
  <si>
    <t>78-953-2073</t>
  </si>
  <si>
    <t>28-465-9141</t>
  </si>
  <si>
    <t>085 Reinke Pass</t>
  </si>
  <si>
    <t>91-426-3204</t>
  </si>
  <si>
    <t>86-184-4829</t>
  </si>
  <si>
    <t>269 Dakota Trail</t>
  </si>
  <si>
    <t>40-913-9772</t>
  </si>
  <si>
    <t>51-215-2283</t>
  </si>
  <si>
    <t>553 Hooker Trail</t>
  </si>
  <si>
    <t>89-922-4773</t>
  </si>
  <si>
    <t>99-455-0707</t>
  </si>
  <si>
    <t>11 Thackeray Hill</t>
  </si>
  <si>
    <t>17-236-0566</t>
  </si>
  <si>
    <t>32-402-9679</t>
  </si>
  <si>
    <t>803 5th Alley</t>
  </si>
  <si>
    <t>74-234-0628</t>
  </si>
  <si>
    <t>49-559-7092</t>
  </si>
  <si>
    <t>2 Veith Crossing</t>
  </si>
  <si>
    <t>80-441-7249</t>
  </si>
  <si>
    <t>35-979-6839</t>
  </si>
  <si>
    <t>652 High Crossing Lane</t>
  </si>
  <si>
    <t>54-708-7327</t>
  </si>
  <si>
    <t>46-316-6919</t>
  </si>
  <si>
    <t>8182 Hazelcrest Place</t>
  </si>
  <si>
    <t>15-846-7959</t>
  </si>
  <si>
    <t>47-026-0505</t>
  </si>
  <si>
    <t>6251 Eliot Hill</t>
  </si>
  <si>
    <t>44-368-7112</t>
  </si>
  <si>
    <t>85-978-7855</t>
  </si>
  <si>
    <t>82 Hintze Court</t>
  </si>
  <si>
    <t>03-833-3577</t>
  </si>
  <si>
    <t>87-032-6971</t>
  </si>
  <si>
    <t>38 Killdeer Point</t>
  </si>
  <si>
    <t>47-548-6500</t>
  </si>
  <si>
    <t>27-061-4764</t>
  </si>
  <si>
    <t>06 Shopko Pass</t>
  </si>
  <si>
    <t>12-342-4482</t>
  </si>
  <si>
    <t>71-300-8176</t>
  </si>
  <si>
    <t xml:space="preserve">$11.60 </t>
  </si>
  <si>
    <t>374 Blue Bill Park Point</t>
  </si>
  <si>
    <t>07-834-3320</t>
  </si>
  <si>
    <t>47-831-9154</t>
  </si>
  <si>
    <t>79 Monterey Avenue</t>
  </si>
  <si>
    <t>16-187-5729</t>
  </si>
  <si>
    <t>79-366-7207</t>
  </si>
  <si>
    <t>Zoombeat</t>
  </si>
  <si>
    <t>22555 Macpherson Plaza</t>
  </si>
  <si>
    <t>64-109-7362</t>
  </si>
  <si>
    <t>38-603-6412</t>
  </si>
  <si>
    <t>7 Harper Drive</t>
  </si>
  <si>
    <t>06-655-5498</t>
  </si>
  <si>
    <t>89-574-3430</t>
  </si>
  <si>
    <t>8569 Bashford Court</t>
  </si>
  <si>
    <t>24-975-4231</t>
  </si>
  <si>
    <t>99-145-4924</t>
  </si>
  <si>
    <t>62494 Longview Drive</t>
  </si>
  <si>
    <t>98-652-9569</t>
  </si>
  <si>
    <t>65-160-1426</t>
  </si>
  <si>
    <t>Ooba</t>
  </si>
  <si>
    <t>32 6th Lane</t>
  </si>
  <si>
    <t>25-522-6043</t>
  </si>
  <si>
    <t>29-122-7037</t>
  </si>
  <si>
    <t>890 Eggendart Pass</t>
  </si>
  <si>
    <t>28-275-5901</t>
  </si>
  <si>
    <t>44-760-4337</t>
  </si>
  <si>
    <t>4 Doe Crossing Avenue</t>
  </si>
  <si>
    <t>96-164-0607</t>
  </si>
  <si>
    <t>15-655-3923</t>
  </si>
  <si>
    <t>1275 Lawn Center</t>
  </si>
  <si>
    <t>93-815-0565</t>
  </si>
  <si>
    <t>56-422-1480</t>
  </si>
  <si>
    <t>8868 Armistice Place</t>
  </si>
  <si>
    <t>63-918-8253</t>
  </si>
  <si>
    <t>94-157-1762</t>
  </si>
  <si>
    <t>917 Westerfield Terrace</t>
  </si>
  <si>
    <t>57-167-0669</t>
  </si>
  <si>
    <t>30-934-3251</t>
  </si>
  <si>
    <t>1005 Lyons Junction</t>
  </si>
  <si>
    <t>52-402-9245</t>
  </si>
  <si>
    <t>37-519-7762</t>
  </si>
  <si>
    <t>185 Stone Corner Parkway</t>
  </si>
  <si>
    <t>17-647-0503</t>
  </si>
  <si>
    <t>69-416-9493</t>
  </si>
  <si>
    <t>0 Village Green Street</t>
  </si>
  <si>
    <t>67-984-5368</t>
  </si>
  <si>
    <t>39-714-7313</t>
  </si>
  <si>
    <t>Yakidoo</t>
  </si>
  <si>
    <t>0 Fordem Place</t>
  </si>
  <si>
    <t>77-827-0820</t>
  </si>
  <si>
    <t>46-590-7639</t>
  </si>
  <si>
    <t>8851 Superior Park</t>
  </si>
  <si>
    <t>27-387-0428</t>
  </si>
  <si>
    <t>62-312-2748</t>
  </si>
  <si>
    <t>1715 Dottie Pass</t>
  </si>
  <si>
    <t>79-350-5841</t>
  </si>
  <si>
    <t>81-676-3345</t>
  </si>
  <si>
    <t>75 Cascade Avenue</t>
  </si>
  <si>
    <t>44-128-2185</t>
  </si>
  <si>
    <t>79-091-7381</t>
  </si>
  <si>
    <t>012 Mockingbird Court</t>
  </si>
  <si>
    <t>48-789-9187</t>
  </si>
  <si>
    <t>95-944-5323</t>
  </si>
  <si>
    <t>41 Stephen Crossing</t>
  </si>
  <si>
    <t>21-809-7115</t>
  </si>
  <si>
    <t>57-774-4116</t>
  </si>
  <si>
    <t>3053 Sachs Center</t>
  </si>
  <si>
    <t>19-323-0506</t>
  </si>
  <si>
    <t>28-977-3789</t>
  </si>
  <si>
    <t>5 Ohio Lane</t>
  </si>
  <si>
    <t>04-637-8815</t>
  </si>
  <si>
    <t>60-959-6355</t>
  </si>
  <si>
    <t>537 Maple Alley</t>
  </si>
  <si>
    <t>60-644-6596</t>
  </si>
  <si>
    <t>32-745-8366</t>
  </si>
  <si>
    <t>22 Hudson Pass</t>
  </si>
  <si>
    <t>58-005-5343</t>
  </si>
  <si>
    <t>83-401-2709</t>
  </si>
  <si>
    <t>43211 Lakeland Place</t>
  </si>
  <si>
    <t>67-382-4435</t>
  </si>
  <si>
    <t>49-901-0828</t>
  </si>
  <si>
    <t>Fivespan</t>
  </si>
  <si>
    <t>92 Bartelt Terrace</t>
  </si>
  <si>
    <t>09-335-7793</t>
  </si>
  <si>
    <t>96-918-7047</t>
  </si>
  <si>
    <t>5649 Vidon Plaza</t>
  </si>
  <si>
    <t>46-496-2930</t>
  </si>
  <si>
    <t>29-295-9755</t>
  </si>
  <si>
    <t>156 Golf Course Alley</t>
  </si>
  <si>
    <t>35-353-4068</t>
  </si>
  <si>
    <t>44-199-6832</t>
  </si>
  <si>
    <t>8583 Northwestern Terrace</t>
  </si>
  <si>
    <t>45-050-4720</t>
  </si>
  <si>
    <t>98-791-5014</t>
  </si>
  <si>
    <t>7 Ridge Oak Pass</t>
  </si>
  <si>
    <t>87-104-0187</t>
  </si>
  <si>
    <t>41-881-1166</t>
  </si>
  <si>
    <t>0 Moose Lane</t>
  </si>
  <si>
    <t>85-806-8672</t>
  </si>
  <si>
    <t>44-646-7502</t>
  </si>
  <si>
    <t>24 South Trail</t>
  </si>
  <si>
    <t>54-281-3746</t>
  </si>
  <si>
    <t>08-824-4585</t>
  </si>
  <si>
    <t>00 Ridgeway Plaza</t>
  </si>
  <si>
    <t>35-257-9312</t>
  </si>
  <si>
    <t>35-927-4986</t>
  </si>
  <si>
    <t>9463 Northland Court</t>
  </si>
  <si>
    <t>63-897-8088</t>
  </si>
  <si>
    <t>82-313-4469</t>
  </si>
  <si>
    <t>7944 Elgar Alley</t>
  </si>
  <si>
    <t>24-986-5091</t>
  </si>
  <si>
    <t>51-076-1164</t>
  </si>
  <si>
    <t>88 Lighthouse Bay Crossing</t>
  </si>
  <si>
    <t>17-504-3699</t>
  </si>
  <si>
    <t>81-276-8218</t>
  </si>
  <si>
    <t>18 Daystar Parkway</t>
  </si>
  <si>
    <t>23-395-3157</t>
  </si>
  <si>
    <t>48-538-8538</t>
  </si>
  <si>
    <t>74 Sugar Plaza</t>
  </si>
  <si>
    <t>28-107-4953</t>
  </si>
  <si>
    <t>01-165-8830</t>
  </si>
  <si>
    <t>Babbleblab</t>
  </si>
  <si>
    <t>29755 Daystar Street</t>
  </si>
  <si>
    <t>46-083-7058</t>
  </si>
  <si>
    <t>26-730-0925</t>
  </si>
  <si>
    <t>21530 Prentice Place</t>
  </si>
  <si>
    <t>68-436-1268</t>
  </si>
  <si>
    <t>10-694-6636</t>
  </si>
  <si>
    <t>1 Mockingbird Parkway</t>
  </si>
  <si>
    <t>93-198-5984</t>
  </si>
  <si>
    <t>86-441-7850</t>
  </si>
  <si>
    <t>54706 Prairieview Point</t>
  </si>
  <si>
    <t>24-571-1080</t>
  </si>
  <si>
    <t>07-520-1107</t>
  </si>
  <si>
    <t>5325 Milwaukee Lane</t>
  </si>
  <si>
    <t>73-874-7534</t>
  </si>
  <si>
    <t>12-566-2563</t>
  </si>
  <si>
    <t>901 Norway Maple Crossing</t>
  </si>
  <si>
    <t>07-337-9889</t>
  </si>
  <si>
    <t>84-949-8378</t>
  </si>
  <si>
    <t>4 Loomis Way</t>
  </si>
  <si>
    <t>28-197-9246</t>
  </si>
  <si>
    <t>31-281-2352</t>
  </si>
  <si>
    <t>8499 Hanover Terrace</t>
  </si>
  <si>
    <t>83-400-9746</t>
  </si>
  <si>
    <t>02-510-0629</t>
  </si>
  <si>
    <t>40 Merchant Terrace</t>
  </si>
  <si>
    <t>24-579-6500</t>
  </si>
  <si>
    <t>60-309-5783</t>
  </si>
  <si>
    <t>4 Stang Place</t>
  </si>
  <si>
    <t>64-418-8356</t>
  </si>
  <si>
    <t>91-451-2016</t>
  </si>
  <si>
    <t>1 Green Hill</t>
  </si>
  <si>
    <t>15-884-7413</t>
  </si>
  <si>
    <t>39-412-7454</t>
  </si>
  <si>
    <t>6225 Westend Pass</t>
  </si>
  <si>
    <t>79-494-2472</t>
  </si>
  <si>
    <t>04-391-8892</t>
  </si>
  <si>
    <t>1615 Bellgrove Crossing</t>
  </si>
  <si>
    <t>36-177-0573</t>
  </si>
  <si>
    <t>62-687-0951</t>
  </si>
  <si>
    <t>35 Portage Road</t>
  </si>
  <si>
    <t>79-920-2395</t>
  </si>
  <si>
    <t>70-825-7341</t>
  </si>
  <si>
    <t>911 Merry Junction</t>
  </si>
  <si>
    <t>96-961-2193</t>
  </si>
  <si>
    <t>71-467-4910</t>
  </si>
  <si>
    <t>Babbleset</t>
  </si>
  <si>
    <t>63578 Butternut Hill</t>
  </si>
  <si>
    <t>69-578-7930</t>
  </si>
  <si>
    <t>37-728-5274</t>
  </si>
  <si>
    <t>83291 Hansons Crossing</t>
  </si>
  <si>
    <t>40-205-8252</t>
  </si>
  <si>
    <t>68-493-0378</t>
  </si>
  <si>
    <t>883 Marcy Place</t>
  </si>
  <si>
    <t>18-107-7886</t>
  </si>
  <si>
    <t>11-466-3182</t>
  </si>
  <si>
    <t>55309 6th Junction</t>
  </si>
  <si>
    <t>35-328-8392</t>
  </si>
  <si>
    <t>52-340-4509</t>
  </si>
  <si>
    <t>09 Londonderry Hill</t>
  </si>
  <si>
    <t>21-650-9319</t>
  </si>
  <si>
    <t>73-445-3017</t>
  </si>
  <si>
    <t>4 Hagan Court</t>
  </si>
  <si>
    <t>99-894-4351</t>
  </si>
  <si>
    <t>45-602-6533</t>
  </si>
  <si>
    <t>185 Saint Paul Road</t>
  </si>
  <si>
    <t>63-168-6018</t>
  </si>
  <si>
    <t>01-853-2191</t>
  </si>
  <si>
    <t>0847 Artisan Hill</t>
  </si>
  <si>
    <t>26-000-1012</t>
  </si>
  <si>
    <t>60-284-1974</t>
  </si>
  <si>
    <t>3 Bayside Point</t>
  </si>
  <si>
    <t>13-900-9016</t>
  </si>
  <si>
    <t>63-969-9608</t>
  </si>
  <si>
    <t>Meetz</t>
  </si>
  <si>
    <t>521 Burning Wood Trail</t>
  </si>
  <si>
    <t>88-408-0310</t>
  </si>
  <si>
    <t>91-002-3027</t>
  </si>
  <si>
    <t>5 Mesta Center</t>
  </si>
  <si>
    <t>73-997-6251</t>
  </si>
  <si>
    <t>17-167-4304</t>
  </si>
  <si>
    <t>1666 Dayton Terrace</t>
  </si>
  <si>
    <t>50-679-2072</t>
  </si>
  <si>
    <t>81-588-5701</t>
  </si>
  <si>
    <t>20 Butterfield Lane</t>
  </si>
  <si>
    <t>89-673-1543</t>
  </si>
  <si>
    <t>43-679-7350</t>
  </si>
  <si>
    <t>297 Petterle Way</t>
  </si>
  <si>
    <t>56-937-8675</t>
  </si>
  <si>
    <t>37-996-3243</t>
  </si>
  <si>
    <t>Trilith</t>
  </si>
  <si>
    <t>668 Claremont Place</t>
  </si>
  <si>
    <t>14-836-2894</t>
  </si>
  <si>
    <t>82-157-4299</t>
  </si>
  <si>
    <t>2 Hooker Terrace</t>
  </si>
  <si>
    <t>87-903-3486</t>
  </si>
  <si>
    <t>90-378-8463</t>
  </si>
  <si>
    <t>99 Twin Pines Alley</t>
  </si>
  <si>
    <t>07-617-6934</t>
  </si>
  <si>
    <t>48-700-8059</t>
  </si>
  <si>
    <t>9262 Sullivan Crossing</t>
  </si>
  <si>
    <t>31-403-6234</t>
  </si>
  <si>
    <t>00-258-2525</t>
  </si>
  <si>
    <t>35 Waxwing Center</t>
  </si>
  <si>
    <t>29-092-3453</t>
  </si>
  <si>
    <t>41-867-9911</t>
  </si>
  <si>
    <t xml:space="preserve">$2.52 </t>
  </si>
  <si>
    <t>676 Redwing Trail</t>
  </si>
  <si>
    <t>34-709-9237</t>
  </si>
  <si>
    <t>66-680-8738</t>
  </si>
  <si>
    <t>1509 Hoard Circle</t>
  </si>
  <si>
    <t>13-962-6263</t>
  </si>
  <si>
    <t>26-061-5253</t>
  </si>
  <si>
    <t>7015 Ramsey Lane</t>
  </si>
  <si>
    <t>06-731-2162</t>
  </si>
  <si>
    <t>17-546-8875</t>
  </si>
  <si>
    <t>30968 Anzinger Court</t>
  </si>
  <si>
    <t>10-768-2443</t>
  </si>
  <si>
    <t>44-451-2764</t>
  </si>
  <si>
    <t>4 Orin Lane</t>
  </si>
  <si>
    <t>36-372-2295</t>
  </si>
  <si>
    <t>85-823-7428</t>
  </si>
  <si>
    <t>98 Bartillon Trail</t>
  </si>
  <si>
    <t>34-538-1180</t>
  </si>
  <si>
    <t>40-907-4937</t>
  </si>
  <si>
    <t>19 Aberg Trail</t>
  </si>
  <si>
    <t>98-148-0940</t>
  </si>
  <si>
    <t>06-175-9657</t>
  </si>
  <si>
    <t>588 Waywood Trail</t>
  </si>
  <si>
    <t>38-390-2115</t>
  </si>
  <si>
    <t>12-433-6490</t>
  </si>
  <si>
    <t>3 Del Mar Point</t>
  </si>
  <si>
    <t>02-974-8526</t>
  </si>
  <si>
    <t>09-387-1119</t>
  </si>
  <si>
    <t>42 Green Ridge Terrace</t>
  </si>
  <si>
    <t>29-377-7040</t>
  </si>
  <si>
    <t>59-979-6740</t>
  </si>
  <si>
    <t>9431 Clarendon Pass</t>
  </si>
  <si>
    <t>84-327-7787</t>
  </si>
  <si>
    <t>97-571-0561</t>
  </si>
  <si>
    <t>739 Rowland Way</t>
  </si>
  <si>
    <t>82-231-4245</t>
  </si>
  <si>
    <t>96-177-4040</t>
  </si>
  <si>
    <t>77 Monument Court</t>
  </si>
  <si>
    <t>70-005-5970</t>
  </si>
  <si>
    <t>18-490-4140</t>
  </si>
  <si>
    <t>82955 Dayton Street</t>
  </si>
  <si>
    <t>63-936-0145</t>
  </si>
  <si>
    <t>69-415-3675</t>
  </si>
  <si>
    <t>95 Kingsford Terrace</t>
  </si>
  <si>
    <t>08-196-2703</t>
  </si>
  <si>
    <t>34-315-1199</t>
  </si>
  <si>
    <t>56 Esker Park</t>
  </si>
  <si>
    <t>22-778-3553</t>
  </si>
  <si>
    <t>49-590-1752</t>
  </si>
  <si>
    <t>0782 Dapin Avenue</t>
  </si>
  <si>
    <t>37-610-1999</t>
  </si>
  <si>
    <t>19-985-9694</t>
  </si>
  <si>
    <t>3 John Wall Point</t>
  </si>
  <si>
    <t>09-618-2842</t>
  </si>
  <si>
    <t>68-415-1025</t>
  </si>
  <si>
    <t>642 Arizona Point</t>
  </si>
  <si>
    <t>28-968-4195</t>
  </si>
  <si>
    <t>17-562-1176</t>
  </si>
  <si>
    <t>5 Loftsgordon Trail</t>
  </si>
  <si>
    <t>55-680-0982</t>
  </si>
  <si>
    <t>57-412-5368</t>
  </si>
  <si>
    <t>0 Sutteridge Trail</t>
  </si>
  <si>
    <t>43-851-9440</t>
  </si>
  <si>
    <t>67-674-0287</t>
  </si>
  <si>
    <t>4033 Sloan Hill</t>
  </si>
  <si>
    <t>14-331-3739</t>
  </si>
  <si>
    <t>87-159-6467</t>
  </si>
  <si>
    <t>8 Thackeray Drive</t>
  </si>
  <si>
    <t>54-830-6971</t>
  </si>
  <si>
    <t>94-006-6480</t>
  </si>
  <si>
    <t>674 Ryan Alley</t>
  </si>
  <si>
    <t>53-008-2419</t>
  </si>
  <si>
    <t>86-841-6074</t>
  </si>
  <si>
    <t>63 Debra Park</t>
  </si>
  <si>
    <t>39-358-3340</t>
  </si>
  <si>
    <t>86-841-4440</t>
  </si>
  <si>
    <t>308 Doe Crossing Pass</t>
  </si>
  <si>
    <t>28-146-2641</t>
  </si>
  <si>
    <t>82-995-0739</t>
  </si>
  <si>
    <t>73 Graedel Street</t>
  </si>
  <si>
    <t>83-556-0996</t>
  </si>
  <si>
    <t>81-234-0741</t>
  </si>
  <si>
    <t>53 Forest Run Plaza</t>
  </si>
  <si>
    <t>53-805-9523</t>
  </si>
  <si>
    <t>99-864-0256</t>
  </si>
  <si>
    <t>94 Mallory Center</t>
  </si>
  <si>
    <t>82-977-7752</t>
  </si>
  <si>
    <t>57-473-8672</t>
  </si>
  <si>
    <t>58 Corscot Terrace</t>
  </si>
  <si>
    <t>62-393-9939</t>
  </si>
  <si>
    <t>93-877-9384</t>
  </si>
  <si>
    <t>Gabcube</t>
  </si>
  <si>
    <t>5 Oxford Pass</t>
  </si>
  <si>
    <t>31-745-6850</t>
  </si>
  <si>
    <t>96-215-2767</t>
  </si>
  <si>
    <t>081 Jana Lane</t>
  </si>
  <si>
    <t>86-692-2312</t>
  </si>
  <si>
    <t>77-783-4107</t>
  </si>
  <si>
    <t>00616 Manitowish Parkway</t>
  </si>
  <si>
    <t>28-044-4102</t>
  </si>
  <si>
    <t>93-358-1118</t>
  </si>
  <si>
    <t>309 Burning Wood Center</t>
  </si>
  <si>
    <t>dairy</t>
  </si>
  <si>
    <t>Cleaned_Unit_price</t>
  </si>
  <si>
    <t>Cleaned_Date_Received</t>
  </si>
  <si>
    <t>Cleaned_Last_Order_date</t>
  </si>
  <si>
    <t>Cleaned_Expiration_Date</t>
  </si>
  <si>
    <t>REVENUE</t>
  </si>
  <si>
    <t>INVENTORY_VALUE</t>
  </si>
  <si>
    <t>REORDER_STATUS</t>
  </si>
  <si>
    <t>Month_Year</t>
  </si>
  <si>
    <t>Shelf_Life_Days</t>
  </si>
  <si>
    <t>Expiry_Risk</t>
  </si>
  <si>
    <t>Row Labels</t>
  </si>
  <si>
    <t>Grand Total</t>
  </si>
  <si>
    <t>Sum of REVENUE</t>
  </si>
  <si>
    <t>Jan</t>
  </si>
  <si>
    <t>Feb</t>
  </si>
  <si>
    <t>Mar</t>
  </si>
  <si>
    <t>Apr</t>
  </si>
  <si>
    <t>May</t>
  </si>
  <si>
    <t>Jun</t>
  </si>
  <si>
    <t>Jul</t>
  </si>
  <si>
    <t>Aug</t>
  </si>
  <si>
    <t>Sep</t>
  </si>
  <si>
    <t>Oct</t>
  </si>
  <si>
    <t>Nov</t>
  </si>
  <si>
    <t>Dec</t>
  </si>
  <si>
    <t>Sum of Sales_Volume</t>
  </si>
  <si>
    <t>Sum of INVENTORY_VALUE</t>
  </si>
  <si>
    <t>Reorder Required</t>
  </si>
  <si>
    <t>Sufficient Stock</t>
  </si>
  <si>
    <t>Count of Product_ID</t>
  </si>
  <si>
    <t>Average of Inventory_Turnover_Rate</t>
  </si>
  <si>
    <t>Total Products</t>
  </si>
  <si>
    <t>Total Revenue</t>
  </si>
  <si>
    <t>Inventory value</t>
  </si>
  <si>
    <t xml:space="preserve"> Total Units Sold</t>
  </si>
  <si>
    <t>AVG Inventory turn over rate</t>
  </si>
  <si>
    <t>Reorder Products</t>
  </si>
  <si>
    <t>Sufficient stock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</si>
</sst>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164" formatCode="_-[$$-409]* #,##0.00_ ;_-[$$-409]* \-#,##0.00\ ;_-[$$-409]* &quot;-&quot;??_ ;_-@_ "/>
    <numFmt numFmtId="165" formatCode="mmmm/yyyy"/>
    <numFmt numFmtId="166" formatCode="0.0"/>
    <numFmt numFmtId="167" formatCode="_-[$$-409]* #,##0_ ;_-[$$-409]* \-#,##0\ ;_-[$$-409]* &quot;-&quot;??_ ;_-@_ "/>
    <numFmt numFmtId="168" formatCode="_ * #,##0_ ;_ * \-#,##0_ ;_ * &quot;-&quot;??_ ;_ @_ "/>
    <numFmt numFmtId="172" formatCode="\$#,##0.0,&quot;K&quot;"/>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rgb="FF7030A0"/>
      <name val="Calibri"/>
      <family val="2"/>
      <scheme val="minor"/>
    </font>
    <font>
      <b/>
      <sz val="12"/>
      <color rgb="FFFFFF00"/>
      <name val="Calibri"/>
      <family val="2"/>
      <scheme val="minor"/>
    </font>
    <font>
      <b/>
      <sz val="11"/>
      <color rgb="FFFFFF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2">
    <xf numFmtId="0" fontId="0" fillId="0" borderId="0" xfId="0"/>
    <xf numFmtId="14" fontId="0" fillId="0" borderId="0" xfId="0" applyNumberFormat="1"/>
    <xf numFmtId="0" fontId="18" fillId="33" borderId="0" xfId="0" applyFont="1" applyFill="1"/>
    <xf numFmtId="0" fontId="19" fillId="33" borderId="0" xfId="0" applyFont="1" applyFill="1"/>
    <xf numFmtId="0" fontId="20" fillId="33" borderId="0" xfId="0" applyFont="1" applyFill="1"/>
    <xf numFmtId="165" fontId="20" fillId="33" borderId="0" xfId="0" applyNumberFormat="1" applyFont="1" applyFill="1"/>
    <xf numFmtId="0" fontId="0" fillId="33" borderId="0" xfId="0" applyFill="1"/>
    <xf numFmtId="164" fontId="0" fillId="0" borderId="0" xfId="1" applyNumberFormat="1" applyFon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166" fontId="0" fillId="0" borderId="0" xfId="0" applyNumberFormat="1"/>
    <xf numFmtId="167" fontId="0" fillId="0" borderId="0" xfId="0" applyNumberFormat="1"/>
    <xf numFmtId="168" fontId="0" fillId="0" borderId="0" xfId="0" applyNumberFormat="1"/>
    <xf numFmtId="9" fontId="0" fillId="0" borderId="0" xfId="0" applyNumberFormat="1"/>
    <xf numFmtId="9" fontId="0" fillId="0" borderId="0" xfId="43" applyFont="1"/>
    <xf numFmtId="0" fontId="17" fillId="34" borderId="0" xfId="0" applyFont="1" applyFill="1"/>
    <xf numFmtId="0" fontId="0" fillId="0" borderId="0" xfId="0" applyNumberFormat="1"/>
    <xf numFmtId="3" fontId="0" fillId="0" borderId="0" xfId="0" applyNumberFormat="1"/>
    <xf numFmtId="172" fontId="0" fillId="0" borderId="0" xfId="0" applyNumberForma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43" builtinId="5"/>
    <cellStyle name="Title" xfId="2" builtinId="15" customBuiltin="1"/>
    <cellStyle name="Total" xfId="18" builtinId="25" customBuiltin="1"/>
    <cellStyle name="Warning Text" xfId="15" builtinId="11" customBuiltin="1"/>
  </cellStyles>
  <dxfs count="66">
    <dxf>
      <numFmt numFmtId="166" formatCode="0.0"/>
    </dxf>
    <dxf>
      <numFmt numFmtId="167" formatCode="_-[$$-409]* #,##0_ ;_-[$$-409]* \-#,##0\ ;_-[$$-409]* &quot;-&quot;??_ ;_-@_ "/>
    </dxf>
    <dxf>
      <numFmt numFmtId="2" formatCode="0.00"/>
    </dxf>
    <dxf>
      <numFmt numFmtId="168" formatCode="_ * #,##0_ ;_ * \-#,##0_ ;_ * &quot;-&quot;??_ ;_ @_ "/>
    </dxf>
    <dxf>
      <numFmt numFmtId="167" formatCode="_-[$$-409]* #,##0_ ;_-[$$-409]* \-#,##0\ ;_-[$$-409]* &quot;-&quot;??_ ;_-@_ "/>
    </dxf>
    <dxf>
      <numFmt numFmtId="167" formatCode="_-[$$-409]* #,##0_ ;_-[$$-409]* \-#,##0\ ;_-[$$-409]* &quot;-&quot;??_ ;_-@_ "/>
    </dxf>
    <dxf>
      <numFmt numFmtId="2" formatCode="0.00"/>
    </dxf>
    <dxf>
      <numFmt numFmtId="168" formatCode="_ * #,##0_ ;_ * \-#,##0_ ;_ * &quot;-&quot;??_ ;_ @_ "/>
    </dxf>
    <dxf>
      <numFmt numFmtId="167" formatCode="_-[$$-409]* #,##0_ ;_-[$$-409]* \-#,##0\ ;_-[$$-409]* &quot;-&quot;??_ ;_-@_ "/>
    </dxf>
    <dxf>
      <numFmt numFmtId="166" formatCode="0.0"/>
    </dxf>
    <dxf>
      <numFmt numFmtId="167" formatCode="_-[$$-409]* #,##0_ ;_-[$$-409]* \-#,##0\ ;_-[$$-409]* &quot;-&quot;??_ ;_-@_ "/>
    </dxf>
    <dxf>
      <numFmt numFmtId="2" formatCode="0.00"/>
    </dxf>
    <dxf>
      <numFmt numFmtId="168" formatCode="_ * #,##0_ ;_ * \-#,##0_ ;_ * &quot;-&quot;??_ ;_ @_ "/>
    </dxf>
    <dxf>
      <numFmt numFmtId="167" formatCode="_-[$$-409]* #,##0_ ;_-[$$-409]* \-#,##0\ ;_-[$$-409]* &quot;-&quot;??_ ;_-@_ "/>
    </dxf>
    <dxf>
      <numFmt numFmtId="166" formatCode="0.0"/>
    </dxf>
    <dxf>
      <numFmt numFmtId="166" formatCode="0.0"/>
    </dxf>
    <dxf>
      <numFmt numFmtId="167" formatCode="_-[$$-409]* #,##0_ ;_-[$$-409]* \-#,##0\ ;_-[$$-409]* &quot;-&quot;??_ ;_-@_ "/>
    </dxf>
    <dxf>
      <numFmt numFmtId="2" formatCode="0.00"/>
    </dxf>
    <dxf>
      <numFmt numFmtId="168" formatCode="_ * #,##0_ ;_ * \-#,##0_ ;_ * &quot;-&quot;??_ ;_ @_ "/>
    </dxf>
    <dxf>
      <numFmt numFmtId="167" formatCode="_-[$$-409]* #,##0_ ;_-[$$-409]* \-#,##0\ ;_-[$$-409]* &quot;-&quot;??_ ;_-@_ "/>
    </dxf>
    <dxf>
      <numFmt numFmtId="166" formatCode="0.0"/>
    </dxf>
    <dxf>
      <numFmt numFmtId="167" formatCode="_-[$$-409]* #,##0_ ;_-[$$-409]* \-#,##0\ ;_-[$$-409]* &quot;-&quot;??_ ;_-@_ "/>
    </dxf>
    <dxf>
      <numFmt numFmtId="2" formatCode="0.00"/>
    </dxf>
    <dxf>
      <numFmt numFmtId="168" formatCode="_ * #,##0_ ;_ * \-#,##0_ ;_ * &quot;-&quot;??_ ;_ @_ "/>
    </dxf>
    <dxf>
      <numFmt numFmtId="167" formatCode="_-[$$-409]* #,##0_ ;_-[$$-409]* \-#,##0\ ;_-[$$-409]* &quot;-&quot;??_ ;_-@_ "/>
    </dxf>
    <dxf>
      <numFmt numFmtId="166" formatCode="0.0"/>
    </dxf>
    <dxf>
      <numFmt numFmtId="167" formatCode="_-[$$-409]* #,##0_ ;_-[$$-409]* \-#,##0\ ;_-[$$-409]* &quot;-&quot;??_ ;_-@_ "/>
    </dxf>
    <dxf>
      <numFmt numFmtId="2" formatCode="0.00"/>
    </dxf>
    <dxf>
      <numFmt numFmtId="168" formatCode="_ * #,##0_ ;_ * \-#,##0_ ;_ * &quot;-&quot;??_ ;_ @_ "/>
    </dxf>
    <dxf>
      <numFmt numFmtId="167" formatCode="_-[$$-409]* #,##0_ ;_-[$$-409]* \-#,##0\ ;_-[$$-409]* &quot;-&quot;??_ ;_-@_ "/>
    </dxf>
    <dxf>
      <numFmt numFmtId="166" formatCode="0.0"/>
    </dxf>
    <dxf>
      <numFmt numFmtId="167" formatCode="_-[$$-409]* #,##0_ ;_-[$$-409]* \-#,##0\ ;_-[$$-409]* &quot;-&quot;??_ ;_-@_ "/>
    </dxf>
    <dxf>
      <numFmt numFmtId="2" formatCode="0.00"/>
    </dxf>
    <dxf>
      <numFmt numFmtId="168" formatCode="_ * #,##0_ ;_ * \-#,##0_ ;_ * &quot;-&quot;??_ ;_ @_ "/>
    </dxf>
    <dxf>
      <numFmt numFmtId="167" formatCode="_-[$$-409]* #,##0_ ;_-[$$-409]* \-#,##0\ ;_-[$$-409]* &quot;-&quot;??_ ;_-@_ "/>
    </dxf>
    <dxf>
      <numFmt numFmtId="166" formatCode="0.0"/>
    </dxf>
    <dxf>
      <numFmt numFmtId="167" formatCode="_-[$$-409]* #,##0_ ;_-[$$-409]* \-#,##0\ ;_-[$$-409]* &quot;-&quot;??_ ;_-@_ "/>
    </dxf>
    <dxf>
      <numFmt numFmtId="2" formatCode="0.00"/>
    </dxf>
    <dxf>
      <numFmt numFmtId="168" formatCode="_ * #,##0_ ;_ * \-#,##0_ ;_ * &quot;-&quot;??_ ;_ @_ "/>
    </dxf>
    <dxf>
      <numFmt numFmtId="167" formatCode="_-[$$-409]* #,##0_ ;_-[$$-409]* \-#,##0\ ;_-[$$-409]* &quot;-&quot;??_ ;_-@_ "/>
    </dxf>
    <dxf>
      <numFmt numFmtId="166" formatCode="0.0"/>
    </dxf>
    <dxf>
      <numFmt numFmtId="167" formatCode="_-[$$-409]* #,##0_ ;_-[$$-409]* \-#,##0\ ;_-[$$-409]* &quot;-&quot;??_ ;_-@_ "/>
    </dxf>
    <dxf>
      <numFmt numFmtId="2" formatCode="0.00"/>
    </dxf>
    <dxf>
      <numFmt numFmtId="168" formatCode="_ * #,##0_ ;_ * \-#,##0_ ;_ * &quot;-&quot;??_ ;_ @_ "/>
    </dxf>
    <dxf>
      <numFmt numFmtId="167" formatCode="_-[$$-409]* #,##0_ ;_-[$$-409]* \-#,##0\ ;_-[$$-409]* &quot;-&quot;??_ ;_-@_ "/>
    </dxf>
    <dxf>
      <numFmt numFmtId="166" formatCode="0.0"/>
    </dxf>
    <dxf>
      <numFmt numFmtId="167" formatCode="_-[$$-409]* #,##0_ ;_-[$$-409]* \-#,##0\ ;_-[$$-409]* &quot;-&quot;??_ ;_-@_ "/>
    </dxf>
    <dxf>
      <numFmt numFmtId="2" formatCode="0.00"/>
    </dxf>
    <dxf>
      <numFmt numFmtId="168" formatCode="_ * #,##0_ ;_ * \-#,##0_ ;_ * &quot;-&quot;??_ ;_ @_ "/>
    </dxf>
    <dxf>
      <numFmt numFmtId="167" formatCode="_-[$$-409]* #,##0_ ;_-[$$-409]* \-#,##0\ ;_-[$$-409]* &quot;-&quot;??_ ;_-@_ "/>
    </dxf>
    <dxf>
      <numFmt numFmtId="166" formatCode="0.0"/>
    </dxf>
    <dxf>
      <numFmt numFmtId="167" formatCode="_-[$$-409]* #,##0_ ;_-[$$-409]* \-#,##0\ ;_-[$$-409]* &quot;-&quot;??_ ;_-@_ "/>
    </dxf>
    <dxf>
      <numFmt numFmtId="168" formatCode="_ * #,##0_ ;_ * \-#,##0_ ;_ * &quot;-&quot;??_ ;_ @_ "/>
    </dxf>
    <dxf>
      <numFmt numFmtId="2" formatCode="0.00"/>
    </dxf>
    <dxf>
      <numFmt numFmtId="167" formatCode="_-[$$-409]* #,##0_ ;_-[$$-409]* \-#,##0\ ;_-[$$-409]* &quot;-&quot;??_ ;_-@_ "/>
    </dxf>
    <dxf>
      <numFmt numFmtId="165" formatCode="mmmm/yyyy"/>
    </dxf>
    <dxf>
      <numFmt numFmtId="164" formatCode="_-[$$-409]* #,##0.00_ ;_-[$$-409]* \-#,##0.00\ ;_-[$$-409]* &quot;-&quot;??_ ;_-@_ "/>
    </dxf>
    <dxf>
      <numFmt numFmtId="164" formatCode="_-[$$-409]* #,##0.00_ ;_-[$$-409]* \-#,##0.00\ ;_-[$$-409]* &quot;-&quot;??_ ;_-@_ "/>
    </dxf>
    <dxf>
      <numFmt numFmtId="19" formatCode="dd/mm/yyyy"/>
    </dxf>
    <dxf>
      <numFmt numFmtId="19" formatCode="dd/mm/yyyy"/>
    </dxf>
    <dxf>
      <numFmt numFmtId="19" formatCode="dd/mm/yyyy"/>
    </dxf>
    <dxf>
      <numFmt numFmtId="19" formatCode="dd/mm/yyyy"/>
    </dxf>
    <dxf>
      <numFmt numFmtId="19" formatCode="dd/mm/yyyy"/>
    </dxf>
    <dxf>
      <numFmt numFmtId="19" formatCode="dd/mm/yyyy"/>
    </dxf>
    <dxf>
      <font>
        <b val="0"/>
        <i val="0"/>
        <strike val="0"/>
        <condense val="0"/>
        <extend val="0"/>
        <outline val="0"/>
        <shadow val="0"/>
        <u val="none"/>
        <vertAlign val="baseline"/>
        <sz val="11"/>
        <color theme="1"/>
        <name val="Calibri"/>
        <family val="2"/>
        <scheme val="minor"/>
      </font>
      <numFmt numFmtId="164" formatCode="_-[$$-409]* #,##0.00_ ;_-[$$-409]* \-#,##0.00\ ;_-[$$-409]* &quot;-&quot;??_ ;_-@_ "/>
    </dxf>
    <dxf>
      <font>
        <b/>
        <i val="0"/>
        <strike val="0"/>
        <condense val="0"/>
        <extend val="0"/>
        <outline val="0"/>
        <shadow val="0"/>
        <u val="none"/>
        <vertAlign val="baseline"/>
        <sz val="11"/>
        <color rgb="FFFFFF00"/>
        <name val="Calibri"/>
        <family val="2"/>
        <scheme val="minor"/>
      </font>
      <numFmt numFmtId="165" formatCode="mmmm/yyyy"/>
      <fill>
        <patternFill patternType="solid">
          <fgColor indexed="64"/>
          <bgColor theme="6"/>
        </patternFill>
      </fill>
    </dxf>
  </dxfs>
  <tableStyles count="0" defaultTableStyle="TableStyleMedium2" defaultPivotStyle="PivotStyleLight16"/>
  <colors>
    <mruColors>
      <color rgb="FFF2F2F2"/>
      <color rgb="FFECECEC"/>
      <color rgb="FFFEF4F3"/>
      <color rgb="FFFCF7FD"/>
      <color rgb="FFFFF9EB"/>
      <color rgb="FFFDFDFD"/>
      <color rgb="FFEEF6E9"/>
      <color rgb="FF0D3D31"/>
      <color rgb="FFA0D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[Grocery_Inventory^0Sales_Dashboard^.xlsx]Monthly _Trends!tbl_Monthly _Trends</c:name>
    <c:fmtId val="9"/>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503504850472301E-2"/>
          <c:y val="0.12308633259209201"/>
          <c:w val="0.90081474190726163"/>
          <c:h val="0.73922582470068909"/>
        </c:manualLayout>
      </c:layout>
      <c:lineChart>
        <c:grouping val="standard"/>
        <c:varyColors val="0"/>
        <c:ser>
          <c:idx val="0"/>
          <c:order val="0"/>
          <c:tx>
            <c:strRef>
              <c:f>'Monthly _Trends'!$B$3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_Trends'!$A$4:$A$16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_Trends'!$B$4:$B$16</c:f>
              <c:numCache>
                <c:formatCode>General</c:formatCode>
                <c:ptCount val="12"/>
                <c:pt idx="0">
                  <c:v>4186</c:v>
                </c:pt>
                <c:pt idx="1">
                  <c:v>4182</c:v>
                </c:pt>
                <c:pt idx="2">
                  <c:v>5146</c:v>
                </c:pt>
                <c:pt idx="3">
                  <c:v>4244</c:v>
                </c:pt>
                <c:pt idx="4">
                  <c:v>4907</c:v>
                </c:pt>
                <c:pt idx="5">
                  <c:v>5506</c:v>
                </c:pt>
                <c:pt idx="6">
                  <c:v>4839</c:v>
                </c:pt>
                <c:pt idx="7">
                  <c:v>6133</c:v>
                </c:pt>
                <c:pt idx="8">
                  <c:v>4022</c:v>
                </c:pt>
                <c:pt idx="9">
                  <c:v>5815</c:v>
                </c:pt>
                <c:pt idx="10">
                  <c:v>4660</c:v>
                </c:pt>
                <c:pt idx="11">
                  <c:v>4696</c:v>
                </c:pt>
              </c:numCache>
            </c:numRef>
          </c:val>
          <c:smooth val="0"/>
          <c:extLst>
            <c:ext xmlns:c16="http://schemas.microsoft.com/office/drawing/2014/chart" uri="{C3380CC4-5D6E-409C-BE32-E72D297353CC}">
              <c16:uniqueId val="{00000000-C2D2-468E-A5A6-A0AAE05326A6}"/>
            </c:ext>
          </c:extLst>
        </c:ser>
        <c:dLbls>
          <c:dLblPos val="t"/>
          <c:showLegendKey val="0"/>
          <c:showVal val="1"/>
          <c:showCatName val="0"/>
          <c:showSerName val="0"/>
          <c:showPercent val="0"/>
          <c:showBubbleSize val="0"/>
        </c:dLbls>
        <c:marker val="1"/>
        <c:smooth val="0"/>
        <c:axId val="1081840703"/>
        <c:axId val="1941623663"/>
      </c:lineChart>
      <c:catAx>
        <c:axId val="108184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j-lt"/>
                <a:ea typeface="+mn-ea"/>
                <a:cs typeface="+mn-cs"/>
              </a:defRPr>
            </a:pPr>
            <a:endParaRPr lang="en-US"/>
          </a:p>
        </c:txPr>
        <c:crossAx val="1941623663"/>
        <c:crosses val="autoZero"/>
        <c:auto val="1"/>
        <c:lblAlgn val="ctr"/>
        <c:lblOffset val="100"/>
        <c:noMultiLvlLbl val="0"/>
      </c:catAx>
      <c:valAx>
        <c:axId val="1941623663"/>
        <c:scaling>
          <c:orientation val="minMax"/>
          <c:max val="8000"/>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1081840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[Grocery_Inventory^0Sales_Dashboard^.xlsx]Invt value by category!tbl_Invt value by category</c:name>
    <c:fmtId val="3"/>
  </c:pivotSource>
  <c:chart>
    <c:autoTitleDeleted val="1"/>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Bahnschrift SemiBol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Bahnschrift SemiBol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alpha val="89000"/>
            </a:schemeClr>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lang="en-US" sz="800" b="1" i="0" u="none" strike="noStrike" kern="1200" baseline="0">
                  <a:solidFill>
                    <a:schemeClr val="tx1"/>
                  </a:solidFill>
                  <a:latin typeface="+mn-lt"/>
                  <a:ea typeface="Calibri Light" panose="020F0302020204030204" pitchFamily="34" charset="0"/>
                  <a:cs typeface="Calibri Light" panose="020F03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048903004711767"/>
          <c:y val="2.0533841291950732E-2"/>
          <c:w val="0.59595068091753967"/>
          <c:h val="0.83309419655876349"/>
        </c:manualLayout>
      </c:layout>
      <c:barChart>
        <c:barDir val="bar"/>
        <c:grouping val="clustered"/>
        <c:varyColors val="0"/>
        <c:ser>
          <c:idx val="0"/>
          <c:order val="0"/>
          <c:tx>
            <c:strRef>
              <c:f>'Invt value by category'!$B$3</c:f>
              <c:strCache>
                <c:ptCount val="1"/>
                <c:pt idx="0">
                  <c:v>Total</c:v>
                </c:pt>
              </c:strCache>
            </c:strRef>
          </c:tx>
          <c:spPr>
            <a:solidFill>
              <a:schemeClr val="accent5">
                <a:lumMod val="50000"/>
                <a:alpha val="89000"/>
              </a:schemeClr>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lang="en-US" sz="800" b="1" i="0" u="none" strike="noStrike" kern="1200" baseline="0">
                    <a:solidFill>
                      <a:schemeClr val="tx1"/>
                    </a:solidFill>
                    <a:latin typeface="+mn-lt"/>
                    <a:ea typeface="Calibri Light" panose="020F0302020204030204" pitchFamily="34" charset="0"/>
                    <a:cs typeface="Calibri Light" panose="020F03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'Invt value by category'!$A$4:$A$11</c:f>
              <c:strCache>
                <c:ptCount val="7"/>
                <c:pt idx="0">
                  <c:v>Bakery</c:v>
                </c:pt>
                <c:pt idx="1">
                  <c:v>Oils &amp; Fats</c:v>
                </c:pt>
                <c:pt idx="2">
                  <c:v>Grains &amp; Pulses</c:v>
                </c:pt>
                <c:pt idx="3">
                  <c:v>Dairy</c:v>
                </c:pt>
                <c:pt idx="4">
                  <c:v>Seafood</c:v>
                </c:pt>
                <c:pt idx="5">
                  <c:v>Beverages</c:v>
                </c:pt>
                <c:pt idx="6">
                  <c:v>Fruits &amp; Vegetables</c:v>
                </c:pt>
              </c:strCache>
            </c:strRef>
          </c:cat>
          <c:val>
            <c:numRef>
              <c:f>'Invt value by category'!$B$4:$B$11</c:f>
              <c:numCache>
                <c:formatCode>_-[$$-409]* #,##0.00_ ;_-[$$-409]* \-#,##0.00\ ;_-[$$-409]* "-"??_ ;_-@_ </c:formatCode>
                <c:ptCount val="7"/>
                <c:pt idx="0">
                  <c:v>16788.8</c:v>
                </c:pt>
                <c:pt idx="1">
                  <c:v>17211.500000000004</c:v>
                </c:pt>
                <c:pt idx="2">
                  <c:v>31922.7</c:v>
                </c:pt>
                <c:pt idx="3">
                  <c:v>50648.44999999999</c:v>
                </c:pt>
                <c:pt idx="4">
                  <c:v>62515.899999999994</c:v>
                </c:pt>
                <c:pt idx="5">
                  <c:v>62942.25</c:v>
                </c:pt>
                <c:pt idx="6">
                  <c:v>90625.11</c:v>
                </c:pt>
              </c:numCache>
            </c:numRef>
          </c:val>
          <c:extLst>
            <c:ext xmlns:c16="http://schemas.microsoft.com/office/drawing/2014/chart" uri="{C3380CC4-5D6E-409C-BE32-E72D297353CC}">
              <c16:uniqueId val="{00000000-826E-40DA-874A-CB95CEB60BB0}"/>
            </c:ext>
          </c:extLst>
        </c:ser>
        <c:dLbls>
          <c:showLegendKey val="0"/>
          <c:showVal val="0"/>
          <c:showCatName val="0"/>
          <c:showSerName val="0"/>
          <c:showPercent val="0"/>
          <c:showBubbleSize val="0"/>
        </c:dLbls>
        <c:gapWidth val="75"/>
        <c:axId val="1081744655"/>
        <c:axId val="1941667823"/>
      </c:barChart>
      <c:catAx>
        <c:axId val="1081744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crossAx val="1941667823"/>
        <c:crosses val="autoZero"/>
        <c:auto val="1"/>
        <c:lblAlgn val="ctr"/>
        <c:lblOffset val="100"/>
        <c:noMultiLvlLbl val="0"/>
      </c:catAx>
      <c:valAx>
        <c:axId val="1941667823"/>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8174465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[Grocery_Inventory^0Sales_Dashboard^.xlsx]Reorder status Dist!tbl_Reorder status Dist</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w="19050">
            <a:solidFill>
              <a:schemeClr val="lt1"/>
            </a:solidFill>
          </a:ln>
          <a:effectLst/>
        </c:spPr>
      </c:pivotFmt>
      <c:pivotFmt>
        <c:idx val="8"/>
        <c:spPr>
          <a:solidFill>
            <a:srgbClr val="92D050"/>
          </a:solidFill>
          <a:ln w="19050">
            <a:solidFill>
              <a:schemeClr val="lt1"/>
            </a:solidFill>
          </a:ln>
          <a:effectLst/>
        </c:spPr>
      </c:pivotFmt>
    </c:pivotFmts>
    <c:plotArea>
      <c:layout>
        <c:manualLayout>
          <c:layoutTarget val="inner"/>
          <c:xMode val="edge"/>
          <c:yMode val="edge"/>
          <c:x val="0.1960350248556838"/>
          <c:y val="0.22389298073297775"/>
          <c:w val="0.62109368434525947"/>
          <c:h val="0.55666501927334311"/>
        </c:manualLayout>
      </c:layout>
      <c:doughnutChart>
        <c:varyColors val="1"/>
        <c:ser>
          <c:idx val="0"/>
          <c:order val="0"/>
          <c:tx>
            <c:strRef>
              <c:f>'Reorder status Dist'!$B$3</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87C1-4D89-9656-7513DFAC855C}"/>
              </c:ext>
            </c:extLst>
          </c:dPt>
          <c:dPt>
            <c:idx val="1"/>
            <c:bubble3D val="0"/>
            <c:spPr>
              <a:solidFill>
                <a:srgbClr val="92D050"/>
              </a:solidFill>
              <a:ln w="19050">
                <a:solidFill>
                  <a:schemeClr val="lt1"/>
                </a:solidFill>
              </a:ln>
              <a:effectLst/>
            </c:spPr>
            <c:extLst>
              <c:ext xmlns:c16="http://schemas.microsoft.com/office/drawing/2014/chart" uri="{C3380CC4-5D6E-409C-BE32-E72D297353CC}">
                <c16:uniqueId val="{00000003-87C1-4D89-9656-7513DFAC855C}"/>
              </c:ext>
            </c:extLst>
          </c:dPt>
          <c:cat>
            <c:strRef>
              <c:f>'Reorder status Dist'!$A$4:$A$6</c:f>
              <c:strCache>
                <c:ptCount val="2"/>
                <c:pt idx="0">
                  <c:v>Reorder Required</c:v>
                </c:pt>
                <c:pt idx="1">
                  <c:v>Sufficient Stock</c:v>
                </c:pt>
              </c:strCache>
            </c:strRef>
          </c:cat>
          <c:val>
            <c:numRef>
              <c:f>'Reorder status Dist'!$B$4:$B$6</c:f>
              <c:numCache>
                <c:formatCode>General</c:formatCode>
                <c:ptCount val="2"/>
                <c:pt idx="0">
                  <c:v>465</c:v>
                </c:pt>
                <c:pt idx="1">
                  <c:v>525</c:v>
                </c:pt>
              </c:numCache>
            </c:numRef>
          </c:val>
          <c:extLst>
            <c:ext xmlns:c16="http://schemas.microsoft.com/office/drawing/2014/chart" uri="{C3380CC4-5D6E-409C-BE32-E72D297353CC}">
              <c16:uniqueId val="{00000004-87C1-4D89-9656-7513DFAC855C}"/>
            </c:ext>
          </c:extLst>
        </c:ser>
        <c:dLbls>
          <c:showLegendKey val="0"/>
          <c:showVal val="0"/>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[Grocery_Inventory^0Sales_Dashboard^.xlsx]Top Products!tbl_Top Products</c:name>
    <c:fmtId val="5"/>
  </c:pivotSource>
  <c:chart>
    <c:autoTitleDeleted val="1"/>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7030A0"/>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560611438076925"/>
          <c:y val="6.5554926654128709E-2"/>
          <c:w val="0.71951806990497058"/>
          <c:h val="0.79739355584809501"/>
        </c:manualLayout>
      </c:layout>
      <c:barChart>
        <c:barDir val="bar"/>
        <c:grouping val="clustered"/>
        <c:varyColors val="0"/>
        <c:ser>
          <c:idx val="0"/>
          <c:order val="0"/>
          <c:tx>
            <c:strRef>
              <c:f>'Top Products'!$B$3</c:f>
              <c:strCache>
                <c:ptCount val="1"/>
                <c:pt idx="0">
                  <c:v>Total</c:v>
                </c:pt>
              </c:strCache>
            </c:strRef>
          </c:tx>
          <c:spPr>
            <a:solidFill>
              <a:srgbClr val="7030A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Products'!$A$4:$A$14</c:f>
              <c:strCache>
                <c:ptCount val="10"/>
                <c:pt idx="0">
                  <c:v>Tuna</c:v>
                </c:pt>
                <c:pt idx="1">
                  <c:v>Salmon</c:v>
                </c:pt>
                <c:pt idx="2">
                  <c:v>Greek Yogurt</c:v>
                </c:pt>
                <c:pt idx="3">
                  <c:v>Haddock</c:v>
                </c:pt>
                <c:pt idx="4">
                  <c:v>Black Coffee</c:v>
                </c:pt>
                <c:pt idx="5">
                  <c:v>Herbal Tea</c:v>
                </c:pt>
                <c:pt idx="6">
                  <c:v>Banana</c:v>
                </c:pt>
                <c:pt idx="7">
                  <c:v>Halibut</c:v>
                </c:pt>
                <c:pt idx="8">
                  <c:v>White Tea</c:v>
                </c:pt>
                <c:pt idx="9">
                  <c:v>Arabica Coffee</c:v>
                </c:pt>
              </c:strCache>
            </c:strRef>
          </c:cat>
          <c:val>
            <c:numRef>
              <c:f>'Top Products'!$B$4:$B$14</c:f>
              <c:numCache>
                <c:formatCode>_-[$$-409]* #,##0.00_ ;_-[$$-409]* \-#,##0.00\ ;_-[$$-409]* "-"??_ ;_-@_ </c:formatCode>
                <c:ptCount val="10"/>
                <c:pt idx="0">
                  <c:v>7416</c:v>
                </c:pt>
                <c:pt idx="1">
                  <c:v>7425</c:v>
                </c:pt>
                <c:pt idx="2">
                  <c:v>7495.4800000000005</c:v>
                </c:pt>
                <c:pt idx="3">
                  <c:v>8028</c:v>
                </c:pt>
                <c:pt idx="4">
                  <c:v>9978</c:v>
                </c:pt>
                <c:pt idx="5">
                  <c:v>10113</c:v>
                </c:pt>
                <c:pt idx="6">
                  <c:v>10117.68</c:v>
                </c:pt>
                <c:pt idx="7">
                  <c:v>10700</c:v>
                </c:pt>
                <c:pt idx="8">
                  <c:v>15965.65</c:v>
                </c:pt>
                <c:pt idx="9">
                  <c:v>17644</c:v>
                </c:pt>
              </c:numCache>
            </c:numRef>
          </c:val>
          <c:extLst>
            <c:ext xmlns:c16="http://schemas.microsoft.com/office/drawing/2014/chart" uri="{C3380CC4-5D6E-409C-BE32-E72D297353CC}">
              <c16:uniqueId val="{00000000-B282-4225-A275-3CDDA0352DC5}"/>
            </c:ext>
          </c:extLst>
        </c:ser>
        <c:dLbls>
          <c:dLblPos val="outEnd"/>
          <c:showLegendKey val="0"/>
          <c:showVal val="1"/>
          <c:showCatName val="0"/>
          <c:showSerName val="0"/>
          <c:showPercent val="0"/>
          <c:showBubbleSize val="0"/>
        </c:dLbls>
        <c:gapWidth val="75"/>
        <c:axId val="1440081216"/>
        <c:axId val="1424401776"/>
      </c:barChart>
      <c:catAx>
        <c:axId val="1440081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1424401776"/>
        <c:crosses val="autoZero"/>
        <c:auto val="1"/>
        <c:lblAlgn val="ctr"/>
        <c:lblOffset val="100"/>
        <c:noMultiLvlLbl val="0"/>
      </c:catAx>
      <c:valAx>
        <c:axId val="1424401776"/>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144008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[Grocery_Inventory^0Sales_Dashboard^.xlsx]Inventory Turnover rate!tbl_Inventory Turnover rate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301977028400297E-2"/>
          <c:y val="9.970590604446096E-2"/>
          <c:w val="0.86125608420540278"/>
          <c:h val="0.71470130221427142"/>
        </c:manualLayout>
      </c:layout>
      <c:barChart>
        <c:barDir val="col"/>
        <c:grouping val="clustered"/>
        <c:varyColors val="0"/>
        <c:ser>
          <c:idx val="0"/>
          <c:order val="0"/>
          <c:tx>
            <c:strRef>
              <c:f>'Inventory Turnover rate'!$B$3</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'Inventory Turnover rate'!$A$4:$A$11</c:f>
              <c:strCache>
                <c:ptCount val="7"/>
                <c:pt idx="0">
                  <c:v>Seafood</c:v>
                </c:pt>
                <c:pt idx="1">
                  <c:v>Dairy</c:v>
                </c:pt>
                <c:pt idx="2">
                  <c:v>Beverages</c:v>
                </c:pt>
                <c:pt idx="3">
                  <c:v>Bakery</c:v>
                </c:pt>
                <c:pt idx="4">
                  <c:v>Fruits &amp; Vegetables</c:v>
                </c:pt>
                <c:pt idx="5">
                  <c:v>Grains &amp; Pulses</c:v>
                </c:pt>
                <c:pt idx="6">
                  <c:v>Oils &amp; Fats</c:v>
                </c:pt>
              </c:strCache>
            </c:strRef>
          </c:cat>
          <c:val>
            <c:numRef>
              <c:f>'Inventory Turnover rate'!$B$4:$B$11</c:f>
              <c:numCache>
                <c:formatCode>0.0</c:formatCode>
                <c:ptCount val="7"/>
                <c:pt idx="0">
                  <c:v>53.733333333333334</c:v>
                </c:pt>
                <c:pt idx="1">
                  <c:v>53.563535911602209</c:v>
                </c:pt>
                <c:pt idx="2">
                  <c:v>51.306666666666665</c:v>
                </c:pt>
                <c:pt idx="3">
                  <c:v>50.527027027027025</c:v>
                </c:pt>
                <c:pt idx="4">
                  <c:v>49.373493975903614</c:v>
                </c:pt>
                <c:pt idx="5">
                  <c:v>47.559006211180126</c:v>
                </c:pt>
                <c:pt idx="6">
                  <c:v>45.220779220779221</c:v>
                </c:pt>
              </c:numCache>
            </c:numRef>
          </c:val>
          <c:extLst>
            <c:ext xmlns:c16="http://schemas.microsoft.com/office/drawing/2014/chart" uri="{C3380CC4-5D6E-409C-BE32-E72D297353CC}">
              <c16:uniqueId val="{00000000-E716-4614-BF15-0ECC3D073FB5}"/>
            </c:ext>
          </c:extLst>
        </c:ser>
        <c:dLbls>
          <c:dLblPos val="outEnd"/>
          <c:showLegendKey val="0"/>
          <c:showVal val="1"/>
          <c:showCatName val="0"/>
          <c:showSerName val="0"/>
          <c:showPercent val="0"/>
          <c:showBubbleSize val="0"/>
        </c:dLbls>
        <c:gapWidth val="110"/>
        <c:overlap val="-27"/>
        <c:axId val="1810307648"/>
        <c:axId val="1166733680"/>
      </c:barChart>
      <c:catAx>
        <c:axId val="181030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j-lt"/>
                <a:ea typeface="+mn-ea"/>
                <a:cs typeface="+mn-cs"/>
              </a:defRPr>
            </a:pPr>
            <a:endParaRPr lang="en-US"/>
          </a:p>
        </c:txPr>
        <c:crossAx val="1166733680"/>
        <c:crosses val="autoZero"/>
        <c:auto val="1"/>
        <c:lblAlgn val="ctr"/>
        <c:lblOffset val="100"/>
        <c:noMultiLvlLbl val="0"/>
      </c:catAx>
      <c:valAx>
        <c:axId val="1166733680"/>
        <c:scaling>
          <c:orientation val="minMax"/>
          <c:max val="8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307648"/>
        <c:crosses val="autoZero"/>
        <c:crossBetween val="between"/>
        <c:majorUnit val="2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9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[Grocery_Inventory^0Sales_Dashboard^.xlsx]Revenue by category!tbl_Revenue by category</c:name>
    <c:fmtId val="3"/>
  </c:pivotSource>
  <c:chart>
    <c:autoTitleDeleted val="1"/>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46617848483549"/>
          <c:y val="5.5963004499204133E-2"/>
          <c:w val="0.87234769701141179"/>
          <c:h val="0.76036792017820631"/>
        </c:manualLayout>
      </c:layout>
      <c:barChart>
        <c:barDir val="col"/>
        <c:grouping val="clustered"/>
        <c:varyColors val="0"/>
        <c:ser>
          <c:idx val="0"/>
          <c:order val="0"/>
          <c:tx>
            <c:strRef>
              <c:f>'Revenue by category'!$B$3</c:f>
              <c:strCache>
                <c:ptCount val="1"/>
                <c:pt idx="0">
                  <c:v>Total</c:v>
                </c:pt>
              </c:strCache>
            </c:strRef>
          </c:tx>
          <c:spPr>
            <a:solidFill>
              <a:schemeClr val="accent6">
                <a:lumMod val="5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category'!$A$4:$A$11</c:f>
              <c:strCache>
                <c:ptCount val="7"/>
                <c:pt idx="0">
                  <c:v>Fruits &amp; Vegetables</c:v>
                </c:pt>
                <c:pt idx="1">
                  <c:v>Beverages</c:v>
                </c:pt>
                <c:pt idx="2">
                  <c:v>Seafood</c:v>
                </c:pt>
                <c:pt idx="3">
                  <c:v>Dairy</c:v>
                </c:pt>
                <c:pt idx="4">
                  <c:v>Grains &amp; Pulses</c:v>
                </c:pt>
                <c:pt idx="5">
                  <c:v>Oils &amp; Fats</c:v>
                </c:pt>
                <c:pt idx="6">
                  <c:v>Bakery</c:v>
                </c:pt>
              </c:strCache>
            </c:strRef>
          </c:cat>
          <c:val>
            <c:numRef>
              <c:f>'Revenue by category'!$B$4:$B$11</c:f>
              <c:numCache>
                <c:formatCode>_-[$$-409]* #,##0.00_ ;_-[$$-409]* \-#,##0.00\ ;_-[$$-409]* "-"??_ ;_-@_ </c:formatCode>
                <c:ptCount val="7"/>
                <c:pt idx="0">
                  <c:v>91874.49000000002</c:v>
                </c:pt>
                <c:pt idx="1">
                  <c:v>71517.55</c:v>
                </c:pt>
                <c:pt idx="2">
                  <c:v>61539.1</c:v>
                </c:pt>
                <c:pt idx="3">
                  <c:v>48413.950000000019</c:v>
                </c:pt>
                <c:pt idx="4">
                  <c:v>33728.050000000003</c:v>
                </c:pt>
                <c:pt idx="5">
                  <c:v>18841.899999999998</c:v>
                </c:pt>
                <c:pt idx="6">
                  <c:v>18354.300000000003</c:v>
                </c:pt>
              </c:numCache>
            </c:numRef>
          </c:val>
          <c:extLst>
            <c:ext xmlns:c16="http://schemas.microsoft.com/office/drawing/2014/chart" uri="{C3380CC4-5D6E-409C-BE32-E72D297353CC}">
              <c16:uniqueId val="{00000000-D394-4172-ABB7-9915D9600C1F}"/>
            </c:ext>
          </c:extLst>
        </c:ser>
        <c:dLbls>
          <c:dLblPos val="outEnd"/>
          <c:showLegendKey val="0"/>
          <c:showVal val="1"/>
          <c:showCatName val="0"/>
          <c:showSerName val="0"/>
          <c:showPercent val="0"/>
          <c:showBubbleSize val="0"/>
        </c:dLbls>
        <c:gapWidth val="150"/>
        <c:overlap val="-27"/>
        <c:axId val="1272419712"/>
        <c:axId val="1867868784"/>
      </c:barChart>
      <c:catAx>
        <c:axId val="127241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j-lt"/>
                <a:ea typeface="+mn-ea"/>
                <a:cs typeface="+mn-cs"/>
              </a:defRPr>
            </a:pPr>
            <a:endParaRPr lang="en-US"/>
          </a:p>
        </c:txPr>
        <c:crossAx val="1867868784"/>
        <c:crosses val="autoZero"/>
        <c:auto val="1"/>
        <c:lblAlgn val="ctr"/>
        <c:lblOffset val="100"/>
        <c:noMultiLvlLbl val="0"/>
      </c:catAx>
      <c:valAx>
        <c:axId val="1867868784"/>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419712"/>
        <c:crosses val="autoZero"/>
        <c:crossBetween val="between"/>
        <c:majorUnit val="2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CB2D-4B08-AD2A-6C4226F470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2D-4B08-AD2A-6C4226F47025}"/>
              </c:ext>
            </c:extLst>
          </c:dPt>
          <c:val>
            <c:numRef>
              <c:f>'KPI''s'!$I$5:$I$6</c:f>
              <c:numCache>
                <c:formatCode>0%</c:formatCode>
                <c:ptCount val="2"/>
                <c:pt idx="0">
                  <c:v>0.53030303030303028</c:v>
                </c:pt>
                <c:pt idx="1">
                  <c:v>0.46969696969696972</c:v>
                </c:pt>
              </c:numCache>
            </c:numRef>
          </c:val>
          <c:extLst>
            <c:ext xmlns:c16="http://schemas.microsoft.com/office/drawing/2014/chart" uri="{C3380CC4-5D6E-409C-BE32-E72D297353CC}">
              <c16:uniqueId val="{00000004-CB2D-4B08-AD2A-6C4226F47025}"/>
            </c:ext>
          </c:extLst>
        </c:ser>
        <c:dLbls>
          <c:showLegendKey val="0"/>
          <c:showVal val="0"/>
          <c:showCatName val="0"/>
          <c:showSerName val="0"/>
          <c:showPercent val="0"/>
          <c:showBubbleSize val="0"/>
          <c:showLeaderLines val="1"/>
        </c:dLbls>
        <c:firstSliceAng val="18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E373-4352-BAF5-3892A1B93C7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A0-4467-BC63-55855DA90A6D}"/>
              </c:ext>
            </c:extLst>
          </c:dPt>
          <c:val>
            <c:numRef>
              <c:f>'KPI''s'!$I$5:$I$6</c:f>
              <c:numCache>
                <c:formatCode>0%</c:formatCode>
                <c:ptCount val="2"/>
                <c:pt idx="0">
                  <c:v>0.53030303030303028</c:v>
                </c:pt>
                <c:pt idx="1">
                  <c:v>0.46969696969696972</c:v>
                </c:pt>
              </c:numCache>
            </c:numRef>
          </c:val>
          <c:extLst>
            <c:ext xmlns:c16="http://schemas.microsoft.com/office/drawing/2014/chart" uri="{C3380CC4-5D6E-409C-BE32-E72D297353CC}">
              <c16:uniqueId val="{00000000-E373-4352-BAF5-3892A1B93C71}"/>
            </c:ext>
          </c:extLst>
        </c:ser>
        <c:dLbls>
          <c:showLegendKey val="0"/>
          <c:showVal val="0"/>
          <c:showCatName val="0"/>
          <c:showSerName val="0"/>
          <c:showPercent val="0"/>
          <c:showBubbleSize val="0"/>
          <c:showLeaderLines val="1"/>
        </c:dLbls>
        <c:firstSliceAng val="18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[Grocery_Inventory^0Sales_Dashboard^.xlsx]Monthly _Trends!tbl_Monthly _Trends</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_Trends'!$B$3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_Trends'!$A$4:$A$16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_Trends'!$B$4:$B$16</c:f>
              <c:numCache>
                <c:formatCode>General</c:formatCode>
                <c:ptCount val="12"/>
                <c:pt idx="0">
                  <c:v>4186</c:v>
                </c:pt>
                <c:pt idx="1">
                  <c:v>4182</c:v>
                </c:pt>
                <c:pt idx="2">
                  <c:v>5146</c:v>
                </c:pt>
                <c:pt idx="3">
                  <c:v>4244</c:v>
                </c:pt>
                <c:pt idx="4">
                  <c:v>4907</c:v>
                </c:pt>
                <c:pt idx="5">
                  <c:v>5506</c:v>
                </c:pt>
                <c:pt idx="6">
                  <c:v>4839</c:v>
                </c:pt>
                <c:pt idx="7">
                  <c:v>6133</c:v>
                </c:pt>
                <c:pt idx="8">
                  <c:v>4022</c:v>
                </c:pt>
                <c:pt idx="9">
                  <c:v>5815</c:v>
                </c:pt>
                <c:pt idx="10">
                  <c:v>4660</c:v>
                </c:pt>
                <c:pt idx="11">
                  <c:v>4696</c:v>
                </c:pt>
              </c:numCache>
            </c:numRef>
          </c:val>
          <c:smooth val="0"/>
          <c:extLst>
            <c:ext xmlns:c16="http://schemas.microsoft.com/office/drawing/2014/chart" uri="{C3380CC4-5D6E-409C-BE32-E72D297353CC}">
              <c16:uniqueId val="{00000000-811B-4A67-A0F5-445C220C0509}"/>
            </c:ext>
          </c:extLst>
        </c:ser>
        <c:dLbls>
          <c:dLblPos val="t"/>
          <c:showLegendKey val="0"/>
          <c:showVal val="1"/>
          <c:showCatName val="0"/>
          <c:showSerName val="0"/>
          <c:showPercent val="0"/>
          <c:showBubbleSize val="0"/>
        </c:dLbls>
        <c:marker val="1"/>
        <c:smooth val="0"/>
        <c:axId val="1081840703"/>
        <c:axId val="1941623663"/>
      </c:lineChart>
      <c:catAx>
        <c:axId val="108184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1941623663"/>
        <c:crosses val="autoZero"/>
        <c:auto val="1"/>
        <c:lblAlgn val="ctr"/>
        <c:lblOffset val="100"/>
        <c:noMultiLvlLbl val="0"/>
      </c:catAx>
      <c:valAx>
        <c:axId val="1941623663"/>
        <c:scaling>
          <c:orientation val="minMax"/>
          <c:max val="8000"/>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1081840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[Grocery_Inventory^0Sales_Dashboard^.xlsx]Revenue by category!tbl_Revenue by category</c:name>
    <c:fmtId val="0"/>
  </c:pivotSource>
  <c:chart>
    <c:autoTitleDeleted val="1"/>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category'!$B$3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ahnschrift SemiBold"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category'!$A$4:$A$11</c:f>
              <c:strCache>
                <c:ptCount val="7"/>
                <c:pt idx="0">
                  <c:v>Fruits &amp; Vegetables</c:v>
                </c:pt>
                <c:pt idx="1">
                  <c:v>Beverages</c:v>
                </c:pt>
                <c:pt idx="2">
                  <c:v>Seafood</c:v>
                </c:pt>
                <c:pt idx="3">
                  <c:v>Dairy</c:v>
                </c:pt>
                <c:pt idx="4">
                  <c:v>Grains &amp; Pulses</c:v>
                </c:pt>
                <c:pt idx="5">
                  <c:v>Oils &amp; Fats</c:v>
                </c:pt>
                <c:pt idx="6">
                  <c:v>Bakery</c:v>
                </c:pt>
              </c:strCache>
            </c:strRef>
          </c:cat>
          <c:val>
            <c:numRef>
              <c:f>'Revenue by category'!$B$4:$B$11</c:f>
              <c:numCache>
                <c:formatCode>_-[$$-409]* #,##0.00_ ;_-[$$-409]* \-#,##0.00\ ;_-[$$-409]* "-"??_ ;_-@_ </c:formatCode>
                <c:ptCount val="7"/>
                <c:pt idx="0">
                  <c:v>91874.49000000002</c:v>
                </c:pt>
                <c:pt idx="1">
                  <c:v>71517.55</c:v>
                </c:pt>
                <c:pt idx="2">
                  <c:v>61539.1</c:v>
                </c:pt>
                <c:pt idx="3">
                  <c:v>48413.950000000019</c:v>
                </c:pt>
                <c:pt idx="4">
                  <c:v>33728.050000000003</c:v>
                </c:pt>
                <c:pt idx="5">
                  <c:v>18841.899999999998</c:v>
                </c:pt>
                <c:pt idx="6">
                  <c:v>18354.300000000003</c:v>
                </c:pt>
              </c:numCache>
            </c:numRef>
          </c:val>
          <c:extLst>
            <c:ext xmlns:c16="http://schemas.microsoft.com/office/drawing/2014/chart" uri="{C3380CC4-5D6E-409C-BE32-E72D297353CC}">
              <c16:uniqueId val="{00000000-0462-4A47-9505-A609E0FAC297}"/>
            </c:ext>
          </c:extLst>
        </c:ser>
        <c:dLbls>
          <c:dLblPos val="outEnd"/>
          <c:showLegendKey val="0"/>
          <c:showVal val="1"/>
          <c:showCatName val="0"/>
          <c:showSerName val="0"/>
          <c:showPercent val="0"/>
          <c:showBubbleSize val="0"/>
        </c:dLbls>
        <c:gapWidth val="150"/>
        <c:overlap val="-27"/>
        <c:axId val="1272419712"/>
        <c:axId val="1867868784"/>
      </c:barChart>
      <c:catAx>
        <c:axId val="127241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867868784"/>
        <c:crosses val="autoZero"/>
        <c:auto val="1"/>
        <c:lblAlgn val="ctr"/>
        <c:lblOffset val="100"/>
        <c:noMultiLvlLbl val="0"/>
      </c:catAx>
      <c:valAx>
        <c:axId val="1867868784"/>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419712"/>
        <c:crosses val="autoZero"/>
        <c:crossBetween val="between"/>
        <c:majorUnit val="2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[Grocery_Inventory^0Sales_Dashboard^.xlsx]Invt value by category!tbl_Invt value by category</c:name>
    <c:fmtId val="0"/>
  </c:pivotSource>
  <c:chart>
    <c:autoTitleDeleted val="1"/>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Bahnschrift SemiBold"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'Invt value by category'!$B$3</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Bahnschrift SemiBold"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'Invt value by category'!$A$4:$A$11</c:f>
              <c:strCache>
                <c:ptCount val="7"/>
                <c:pt idx="0">
                  <c:v>Bakery</c:v>
                </c:pt>
                <c:pt idx="1">
                  <c:v>Oils &amp; Fats</c:v>
                </c:pt>
                <c:pt idx="2">
                  <c:v>Grains &amp; Pulses</c:v>
                </c:pt>
                <c:pt idx="3">
                  <c:v>Dairy</c:v>
                </c:pt>
                <c:pt idx="4">
                  <c:v>Seafood</c:v>
                </c:pt>
                <c:pt idx="5">
                  <c:v>Beverages</c:v>
                </c:pt>
                <c:pt idx="6">
                  <c:v>Fruits &amp; Vegetables</c:v>
                </c:pt>
              </c:strCache>
            </c:strRef>
          </c:cat>
          <c:val>
            <c:numRef>
              <c:f>'Invt value by category'!$B$4:$B$11</c:f>
              <c:numCache>
                <c:formatCode>_-[$$-409]* #,##0.00_ ;_-[$$-409]* \-#,##0.00\ ;_-[$$-409]* "-"??_ ;_-@_ </c:formatCode>
                <c:ptCount val="7"/>
                <c:pt idx="0">
                  <c:v>16788.8</c:v>
                </c:pt>
                <c:pt idx="1">
                  <c:v>17211.500000000004</c:v>
                </c:pt>
                <c:pt idx="2">
                  <c:v>31922.7</c:v>
                </c:pt>
                <c:pt idx="3">
                  <c:v>50648.44999999999</c:v>
                </c:pt>
                <c:pt idx="4">
                  <c:v>62515.899999999994</c:v>
                </c:pt>
                <c:pt idx="5">
                  <c:v>62942.25</c:v>
                </c:pt>
                <c:pt idx="6">
                  <c:v>90625.11</c:v>
                </c:pt>
              </c:numCache>
            </c:numRef>
          </c:val>
          <c:extLst>
            <c:ext xmlns:c16="http://schemas.microsoft.com/office/drawing/2014/chart" uri="{C3380CC4-5D6E-409C-BE32-E72D297353CC}">
              <c16:uniqueId val="{00000000-C562-4DDC-86C0-8280AB1FFF87}"/>
            </c:ext>
          </c:extLst>
        </c:ser>
        <c:dLbls>
          <c:showLegendKey val="0"/>
          <c:showVal val="0"/>
          <c:showCatName val="0"/>
          <c:showSerName val="0"/>
          <c:showPercent val="0"/>
          <c:showBubbleSize val="0"/>
        </c:dLbls>
        <c:gapWidth val="75"/>
        <c:axId val="1081744655"/>
        <c:axId val="1941667823"/>
      </c:barChart>
      <c:catAx>
        <c:axId val="1081744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941667823"/>
        <c:crosses val="autoZero"/>
        <c:auto val="1"/>
        <c:lblAlgn val="ctr"/>
        <c:lblOffset val="100"/>
        <c:noMultiLvlLbl val="0"/>
      </c:catAx>
      <c:valAx>
        <c:axId val="1941667823"/>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8174465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[Grocery_Inventory^0Sales_Dashboard^.xlsx]Reorder status Dist!tbl_Reorder status Dist</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'Reorder status Dist'!$B$3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0D-4217-BF3F-200A1F3EAD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0D-4217-BF3F-200A1F3EADE3}"/>
              </c:ext>
            </c:extLst>
          </c:dPt>
          <c:cat>
            <c:strRef>
              <c:f>'Reorder status Dist'!$A$4:$A$6</c:f>
              <c:strCache>
                <c:ptCount val="2"/>
                <c:pt idx="0">
                  <c:v>Reorder Required</c:v>
                </c:pt>
                <c:pt idx="1">
                  <c:v>Sufficient Stock</c:v>
                </c:pt>
              </c:strCache>
            </c:strRef>
          </c:cat>
          <c:val>
            <c:numRef>
              <c:f>'Reorder status Dist'!$B$4:$B$6</c:f>
              <c:numCache>
                <c:formatCode>General</c:formatCode>
                <c:ptCount val="2"/>
                <c:pt idx="0">
                  <c:v>465</c:v>
                </c:pt>
                <c:pt idx="1">
                  <c:v>525</c:v>
                </c:pt>
              </c:numCache>
            </c:numRef>
          </c:val>
          <c:extLst>
            <c:ext xmlns:c16="http://schemas.microsoft.com/office/drawing/2014/chart" uri="{C3380CC4-5D6E-409C-BE32-E72D297353CC}">
              <c16:uniqueId val="{00000000-1C23-40D0-A900-CFEF68CEE9F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[Grocery_Inventory^0Sales_Dashboard^.xlsx]Top Products!tbl_Top Products</c:name>
    <c:fmtId val="0"/>
  </c:pivotSource>
  <c:chart>
    <c:autoTitleDeleted val="1"/>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s>
    <c:plotArea>
      <c:layout/>
      <c:barChart>
        <c:barDir val="bar"/>
        <c:grouping val="clustered"/>
        <c:varyColors val="0"/>
        <c:ser>
          <c:idx val="0"/>
          <c:order val="0"/>
          <c:tx>
            <c:strRef>
              <c:f>'Top Products'!$B$3</c:f>
              <c:strCache>
                <c:ptCount val="1"/>
                <c:pt idx="0">
                  <c:v>Total</c:v>
                </c:pt>
              </c:strCache>
            </c:strRef>
          </c:tx>
          <c:spPr>
            <a:solidFill>
              <a:schemeClr val="accent1"/>
            </a:solidFill>
            <a:ln>
              <a:noFill/>
            </a:ln>
            <a:effectLst/>
          </c:spPr>
          <c:invertIfNegative val="0"/>
          <c:dPt>
            <c:idx val="7"/>
            <c:invertIfNegative val="0"/>
            <c:bubble3D val="0"/>
            <c:extLst>
              <c:ext xmlns:c16="http://schemas.microsoft.com/office/drawing/2014/chart" uri="{C3380CC4-5D6E-409C-BE32-E72D297353CC}">
                <c16:uniqueId val="{00000000-69A2-405D-A05E-D3DCA7DEE8A8}"/>
              </c:ext>
            </c:extLst>
          </c:dPt>
          <c:dPt>
            <c:idx val="8"/>
            <c:invertIfNegative val="0"/>
            <c:bubble3D val="0"/>
            <c:extLst>
              <c:ext xmlns:c16="http://schemas.microsoft.com/office/drawing/2014/chart" uri="{C3380CC4-5D6E-409C-BE32-E72D297353CC}">
                <c16:uniqueId val="{00000001-993C-4051-936B-C55ACB0EA474}"/>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Products'!$A$4:$A$14</c:f>
              <c:strCache>
                <c:ptCount val="10"/>
                <c:pt idx="0">
                  <c:v>Tuna</c:v>
                </c:pt>
                <c:pt idx="1">
                  <c:v>Salmon</c:v>
                </c:pt>
                <c:pt idx="2">
                  <c:v>Greek Yogurt</c:v>
                </c:pt>
                <c:pt idx="3">
                  <c:v>Haddock</c:v>
                </c:pt>
                <c:pt idx="4">
                  <c:v>Black Coffee</c:v>
                </c:pt>
                <c:pt idx="5">
                  <c:v>Herbal Tea</c:v>
                </c:pt>
                <c:pt idx="6">
                  <c:v>Banana</c:v>
                </c:pt>
                <c:pt idx="7">
                  <c:v>Halibut</c:v>
                </c:pt>
                <c:pt idx="8">
                  <c:v>White Tea</c:v>
                </c:pt>
                <c:pt idx="9">
                  <c:v>Arabica Coffee</c:v>
                </c:pt>
              </c:strCache>
            </c:strRef>
          </c:cat>
          <c:val>
            <c:numRef>
              <c:f>'Top Products'!$B$4:$B$14</c:f>
              <c:numCache>
                <c:formatCode>_-[$$-409]* #,##0.00_ ;_-[$$-409]* \-#,##0.00\ ;_-[$$-409]* "-"??_ ;_-@_ </c:formatCode>
                <c:ptCount val="10"/>
                <c:pt idx="0">
                  <c:v>7416</c:v>
                </c:pt>
                <c:pt idx="1">
                  <c:v>7425</c:v>
                </c:pt>
                <c:pt idx="2">
                  <c:v>7495.4800000000005</c:v>
                </c:pt>
                <c:pt idx="3">
                  <c:v>8028</c:v>
                </c:pt>
                <c:pt idx="4">
                  <c:v>9978</c:v>
                </c:pt>
                <c:pt idx="5">
                  <c:v>10113</c:v>
                </c:pt>
                <c:pt idx="6">
                  <c:v>10117.68</c:v>
                </c:pt>
                <c:pt idx="7">
                  <c:v>10700</c:v>
                </c:pt>
                <c:pt idx="8">
                  <c:v>15965.65</c:v>
                </c:pt>
                <c:pt idx="9">
                  <c:v>17644</c:v>
                </c:pt>
              </c:numCache>
            </c:numRef>
          </c:val>
          <c:extLst>
            <c:ext xmlns:c16="http://schemas.microsoft.com/office/drawing/2014/chart" uri="{C3380CC4-5D6E-409C-BE32-E72D297353CC}">
              <c16:uniqueId val="{00000000-58AD-4FC7-BD61-E779C4B06C69}"/>
            </c:ext>
          </c:extLst>
        </c:ser>
        <c:dLbls>
          <c:dLblPos val="outEnd"/>
          <c:showLegendKey val="0"/>
          <c:showVal val="1"/>
          <c:showCatName val="0"/>
          <c:showSerName val="0"/>
          <c:showPercent val="0"/>
          <c:showBubbleSize val="0"/>
        </c:dLbls>
        <c:gapWidth val="75"/>
        <c:axId val="1440081216"/>
        <c:axId val="1424401776"/>
      </c:barChart>
      <c:catAx>
        <c:axId val="1440081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1424401776"/>
        <c:crosses val="autoZero"/>
        <c:auto val="1"/>
        <c:lblAlgn val="ctr"/>
        <c:lblOffset val="100"/>
        <c:noMultiLvlLbl val="0"/>
      </c:catAx>
      <c:valAx>
        <c:axId val="1424401776"/>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144008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[Grocery_Inventory^0Sales_Dashboard^.xlsx]Inventory Turnover rate!tbl_Inventory Turnover rate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'Inventory Turnover rate'!$B$3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'Inventory Turnover rate'!$A$4:$A$11</c:f>
              <c:strCache>
                <c:ptCount val="7"/>
                <c:pt idx="0">
                  <c:v>Seafood</c:v>
                </c:pt>
                <c:pt idx="1">
                  <c:v>Dairy</c:v>
                </c:pt>
                <c:pt idx="2">
                  <c:v>Beverages</c:v>
                </c:pt>
                <c:pt idx="3">
                  <c:v>Bakery</c:v>
                </c:pt>
                <c:pt idx="4">
                  <c:v>Fruits &amp; Vegetables</c:v>
                </c:pt>
                <c:pt idx="5">
                  <c:v>Grains &amp; Pulses</c:v>
                </c:pt>
                <c:pt idx="6">
                  <c:v>Oils &amp; Fats</c:v>
                </c:pt>
              </c:strCache>
            </c:strRef>
          </c:cat>
          <c:val>
            <c:numRef>
              <c:f>'Inventory Turnover rate'!$B$4:$B$11</c:f>
              <c:numCache>
                <c:formatCode>0.0</c:formatCode>
                <c:ptCount val="7"/>
                <c:pt idx="0">
                  <c:v>53.733333333333334</c:v>
                </c:pt>
                <c:pt idx="1">
                  <c:v>53.563535911602209</c:v>
                </c:pt>
                <c:pt idx="2">
                  <c:v>51.306666666666665</c:v>
                </c:pt>
                <c:pt idx="3">
                  <c:v>50.527027027027025</c:v>
                </c:pt>
                <c:pt idx="4">
                  <c:v>49.373493975903614</c:v>
                </c:pt>
                <c:pt idx="5">
                  <c:v>47.559006211180126</c:v>
                </c:pt>
                <c:pt idx="6">
                  <c:v>45.220779220779221</c:v>
                </c:pt>
              </c:numCache>
            </c:numRef>
          </c:val>
          <c:extLst>
            <c:ext xmlns:c16="http://schemas.microsoft.com/office/drawing/2014/chart" uri="{C3380CC4-5D6E-409C-BE32-E72D297353CC}">
              <c16:uniqueId val="{00000000-F4A9-416D-9858-338B140ADAA1}"/>
            </c:ext>
          </c:extLst>
        </c:ser>
        <c:dLbls>
          <c:dLblPos val="outEnd"/>
          <c:showLegendKey val="0"/>
          <c:showVal val="1"/>
          <c:showCatName val="0"/>
          <c:showSerName val="0"/>
          <c:showPercent val="0"/>
          <c:showBubbleSize val="0"/>
        </c:dLbls>
        <c:gapWidth val="110"/>
        <c:overlap val="-27"/>
        <c:axId val="1810307648"/>
        <c:axId val="1166733680"/>
      </c:barChart>
      <c:catAx>
        <c:axId val="1810307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1166733680"/>
        <c:crosses val="autoZero"/>
        <c:auto val="1"/>
        <c:lblAlgn val="ctr"/>
        <c:lblOffset val="100"/>
        <c:noMultiLvlLbl val="0"/>
      </c:catAx>
      <c:valAx>
        <c:axId val="1166733680"/>
        <c:scaling>
          <c:orientation val="minMax"/>
          <c:max val="80"/>
          <c:min val="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ahnschrift SemiBold" panose="020B0502040204020203" pitchFamily="34" charset="0"/>
                <a:ea typeface="+mn-ea"/>
                <a:cs typeface="+mn-cs"/>
              </a:defRPr>
            </a:pPr>
            <a:endParaRPr lang="en-US"/>
          </a:p>
        </c:txPr>
        <c:crossAx val="1810307648"/>
        <c:crosses val="autoZero"/>
        <c:crossBetween val="between"/>
        <c:majorUnit val="2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6.svg"/><Relationship Id="rId18" Type="http://schemas.openxmlformats.org/officeDocument/2006/relationships/image" Target="../media/image10.png"/><Relationship Id="rId3" Type="http://schemas.openxmlformats.org/officeDocument/2006/relationships/chart" Target="../charts/chart3.xml"/><Relationship Id="rId7" Type="http://schemas.openxmlformats.org/officeDocument/2006/relationships/image" Target="../media/image1.jpeg"/><Relationship Id="rId12" Type="http://schemas.openxmlformats.org/officeDocument/2006/relationships/image" Target="../media/image5.png"/><Relationship Id="rId17" Type="http://schemas.microsoft.com/office/2007/relationships/hdphoto" Target="../media/hdphoto2.wdp"/><Relationship Id="rId2" Type="http://schemas.openxmlformats.org/officeDocument/2006/relationships/chart" Target="../charts/chart2.xml"/><Relationship Id="rId16"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image" Target="../media/image8.svg"/><Relationship Id="rId10" Type="http://schemas.openxmlformats.org/officeDocument/2006/relationships/image" Target="../media/image3.png"/><Relationship Id="rId19" Type="http://schemas.openxmlformats.org/officeDocument/2006/relationships/chart" Target="../charts/chart7.xml"/><Relationship Id="rId4" Type="http://schemas.openxmlformats.org/officeDocument/2006/relationships/chart" Target="../charts/chart4.xml"/><Relationship Id="rId9" Type="http://schemas.microsoft.com/office/2007/relationships/hdphoto" Target="../media/hdphoto1.wdp"/><Relationship Id="rId14"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285961</xdr:colOff>
      <xdr:row>1</xdr:row>
      <xdr:rowOff>14323</xdr:rowOff>
    </xdr:from>
    <xdr:to>
      <xdr:col>20</xdr:col>
      <xdr:colOff>479709</xdr:colOff>
      <xdr:row>33</xdr:row>
      <xdr:rowOff>95725</xdr:rowOff>
    </xdr:to>
    <xdr:sp macro="" textlink="">
      <xdr:nvSpPr>
        <xdr:cNvPr id="16" name="Rectangle 15">
          <a:extLst>
            <a:ext uri="{FF2B5EF4-FFF2-40B4-BE49-F238E27FC236}">
              <a16:creationId xmlns:a16="http://schemas.microsoft.com/office/drawing/2014/main" id="{3D11C605-FA39-3965-F17F-D76B9DD87AC6}"/>
            </a:ext>
          </a:extLst>
        </xdr:cNvPr>
        <xdr:cNvSpPr/>
      </xdr:nvSpPr>
      <xdr:spPr>
        <a:xfrm>
          <a:off x="1595937" y="198826"/>
          <a:ext cx="12011206" cy="5985519"/>
        </a:xfrm>
        <a:prstGeom prst="rect">
          <a:avLst/>
        </a:prstGeom>
        <a:solidFill>
          <a:srgbClr val="F2F2F2"/>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71617</xdr:colOff>
      <xdr:row>22</xdr:row>
      <xdr:rowOff>57294</xdr:rowOff>
    </xdr:from>
    <xdr:to>
      <xdr:col>20</xdr:col>
      <xdr:colOff>418075</xdr:colOff>
      <xdr:row>33</xdr:row>
      <xdr:rowOff>47331</xdr:rowOff>
    </xdr:to>
    <xdr:sp macro="" textlink="">
      <xdr:nvSpPr>
        <xdr:cNvPr id="52" name="Rectangle: Rounded Corners 51">
          <a:extLst>
            <a:ext uri="{FF2B5EF4-FFF2-40B4-BE49-F238E27FC236}">
              <a16:creationId xmlns:a16="http://schemas.microsoft.com/office/drawing/2014/main" id="{91903BB3-36EF-40F3-A4D8-5EAC940F70DA}"/>
            </a:ext>
          </a:extLst>
        </xdr:cNvPr>
        <xdr:cNvSpPr/>
      </xdr:nvSpPr>
      <xdr:spPr>
        <a:xfrm>
          <a:off x="10498985" y="4153760"/>
          <a:ext cx="2981947" cy="2038270"/>
        </a:xfrm>
        <a:prstGeom prst="roundRect">
          <a:avLst/>
        </a:prstGeom>
        <a:solidFill>
          <a:schemeClr val="bg1"/>
        </a:solidFill>
        <a:ln>
          <a:solidFill>
            <a:schemeClr val="bg1">
              <a:lumMod val="85000"/>
              <a:alpha val="83000"/>
            </a:schemeClr>
          </a:solid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157766</xdr:colOff>
      <xdr:row>22</xdr:row>
      <xdr:rowOff>107425</xdr:rowOff>
    </xdr:from>
    <xdr:to>
      <xdr:col>16</xdr:col>
      <xdr:colOff>0</xdr:colOff>
      <xdr:row>33</xdr:row>
      <xdr:rowOff>52692</xdr:rowOff>
    </xdr:to>
    <xdr:sp macro="" textlink="">
      <xdr:nvSpPr>
        <xdr:cNvPr id="51" name="Rectangle: Rounded Corners 50">
          <a:extLst>
            <a:ext uri="{FF2B5EF4-FFF2-40B4-BE49-F238E27FC236}">
              <a16:creationId xmlns:a16="http://schemas.microsoft.com/office/drawing/2014/main" id="{D10CDA9E-6957-4599-8494-CB2B9A035405}"/>
            </a:ext>
          </a:extLst>
        </xdr:cNvPr>
        <xdr:cNvSpPr/>
      </xdr:nvSpPr>
      <xdr:spPr>
        <a:xfrm>
          <a:off x="6674871" y="4203891"/>
          <a:ext cx="3752497" cy="1993500"/>
        </a:xfrm>
        <a:prstGeom prst="roundRect">
          <a:avLst/>
        </a:prstGeom>
        <a:solidFill>
          <a:schemeClr val="bg1"/>
        </a:solidFill>
        <a:ln>
          <a:solidFill>
            <a:schemeClr val="bg1">
              <a:lumMod val="85000"/>
              <a:alpha val="83000"/>
            </a:schemeClr>
          </a:solid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15776</xdr:colOff>
      <xdr:row>22</xdr:row>
      <xdr:rowOff>117596</xdr:rowOff>
    </xdr:from>
    <xdr:to>
      <xdr:col>10</xdr:col>
      <xdr:colOff>57293</xdr:colOff>
      <xdr:row>33</xdr:row>
      <xdr:rowOff>54491</xdr:rowOff>
    </xdr:to>
    <xdr:sp macro="" textlink="">
      <xdr:nvSpPr>
        <xdr:cNvPr id="50" name="Rectangle: Rounded Corners 49">
          <a:extLst>
            <a:ext uri="{FF2B5EF4-FFF2-40B4-BE49-F238E27FC236}">
              <a16:creationId xmlns:a16="http://schemas.microsoft.com/office/drawing/2014/main" id="{518F52E8-0ECE-499E-82FD-C0ECBDD7045B}"/>
            </a:ext>
          </a:extLst>
        </xdr:cNvPr>
        <xdr:cNvSpPr/>
      </xdr:nvSpPr>
      <xdr:spPr>
        <a:xfrm>
          <a:off x="3274329" y="4214062"/>
          <a:ext cx="3300069" cy="1985128"/>
        </a:xfrm>
        <a:prstGeom prst="roundRect">
          <a:avLst/>
        </a:prstGeom>
        <a:solidFill>
          <a:schemeClr val="bg1"/>
        </a:solidFill>
        <a:ln>
          <a:solidFill>
            <a:schemeClr val="bg1">
              <a:lumMod val="85000"/>
              <a:alpha val="83000"/>
            </a:schemeClr>
          </a:solid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7162</xdr:colOff>
      <xdr:row>9</xdr:row>
      <xdr:rowOff>139149</xdr:rowOff>
    </xdr:from>
    <xdr:to>
      <xdr:col>20</xdr:col>
      <xdr:colOff>435429</xdr:colOff>
      <xdr:row>21</xdr:row>
      <xdr:rowOff>143233</xdr:rowOff>
    </xdr:to>
    <xdr:sp macro="" textlink="">
      <xdr:nvSpPr>
        <xdr:cNvPr id="49" name="Rectangle: Rounded Corners 48">
          <a:extLst>
            <a:ext uri="{FF2B5EF4-FFF2-40B4-BE49-F238E27FC236}">
              <a16:creationId xmlns:a16="http://schemas.microsoft.com/office/drawing/2014/main" id="{AD41DC9D-41D8-41F8-8678-0D1C06548B29}"/>
            </a:ext>
          </a:extLst>
        </xdr:cNvPr>
        <xdr:cNvSpPr/>
      </xdr:nvSpPr>
      <xdr:spPr>
        <a:xfrm>
          <a:off x="10434530" y="1814977"/>
          <a:ext cx="3063756" cy="2238519"/>
        </a:xfrm>
        <a:prstGeom prst="roundRect">
          <a:avLst/>
        </a:prstGeom>
        <a:solidFill>
          <a:schemeClr val="bg1"/>
        </a:solidFill>
        <a:ln>
          <a:solidFill>
            <a:schemeClr val="bg1">
              <a:lumMod val="85000"/>
              <a:alpha val="83000"/>
            </a:schemeClr>
          </a:solid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114587</xdr:colOff>
      <xdr:row>9</xdr:row>
      <xdr:rowOff>160289</xdr:rowOff>
    </xdr:from>
    <xdr:to>
      <xdr:col>15</xdr:col>
      <xdr:colOff>601579</xdr:colOff>
      <xdr:row>22</xdr:row>
      <xdr:rowOff>7258</xdr:rowOff>
    </xdr:to>
    <xdr:sp macro="" textlink="">
      <xdr:nvSpPr>
        <xdr:cNvPr id="48" name="Rectangle: Rounded Corners 47">
          <a:extLst>
            <a:ext uri="{FF2B5EF4-FFF2-40B4-BE49-F238E27FC236}">
              <a16:creationId xmlns:a16="http://schemas.microsoft.com/office/drawing/2014/main" id="{14E21812-76FB-42E9-A016-2988F7F81089}"/>
            </a:ext>
          </a:extLst>
        </xdr:cNvPr>
        <xdr:cNvSpPr/>
      </xdr:nvSpPr>
      <xdr:spPr>
        <a:xfrm>
          <a:off x="6631692" y="1836117"/>
          <a:ext cx="3745545" cy="2267607"/>
        </a:xfrm>
        <a:prstGeom prst="roundRect">
          <a:avLst/>
        </a:prstGeom>
        <a:solidFill>
          <a:schemeClr val="bg1"/>
        </a:solidFill>
        <a:ln>
          <a:solidFill>
            <a:schemeClr val="bg1">
              <a:lumMod val="85000"/>
              <a:alpha val="83000"/>
            </a:schemeClr>
          </a:solid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1576</xdr:colOff>
      <xdr:row>9</xdr:row>
      <xdr:rowOff>159657</xdr:rowOff>
    </xdr:from>
    <xdr:to>
      <xdr:col>10</xdr:col>
      <xdr:colOff>31554</xdr:colOff>
      <xdr:row>22</xdr:row>
      <xdr:rowOff>14515</xdr:rowOff>
    </xdr:to>
    <xdr:sp macro="" textlink="">
      <xdr:nvSpPr>
        <xdr:cNvPr id="47" name="Rectangle: Rounded Corners 46">
          <a:extLst>
            <a:ext uri="{FF2B5EF4-FFF2-40B4-BE49-F238E27FC236}">
              <a16:creationId xmlns:a16="http://schemas.microsoft.com/office/drawing/2014/main" id="{BB90241A-A9E4-FA18-3D42-5C51EB04EAA3}"/>
            </a:ext>
          </a:extLst>
        </xdr:cNvPr>
        <xdr:cNvSpPr/>
      </xdr:nvSpPr>
      <xdr:spPr>
        <a:xfrm>
          <a:off x="3267291" y="1857829"/>
          <a:ext cx="3295691" cy="2307771"/>
        </a:xfrm>
        <a:prstGeom prst="roundRect">
          <a:avLst/>
        </a:prstGeom>
        <a:solidFill>
          <a:schemeClr val="bg1"/>
        </a:solidFill>
        <a:ln>
          <a:solidFill>
            <a:schemeClr val="bg1">
              <a:lumMod val="85000"/>
              <a:alpha val="83000"/>
            </a:schemeClr>
          </a:solidFill>
        </a:ln>
        <a:effectLst>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341332</xdr:colOff>
      <xdr:row>5</xdr:row>
      <xdr:rowOff>147602</xdr:rowOff>
    </xdr:from>
    <xdr:to>
      <xdr:col>4</xdr:col>
      <xdr:colOff>608741</xdr:colOff>
      <xdr:row>33</xdr:row>
      <xdr:rowOff>55351</xdr:rowOff>
    </xdr:to>
    <xdr:sp macro="" textlink="">
      <xdr:nvSpPr>
        <xdr:cNvPr id="18" name="Rectangle: Rounded Corners 17">
          <a:extLst>
            <a:ext uri="{FF2B5EF4-FFF2-40B4-BE49-F238E27FC236}">
              <a16:creationId xmlns:a16="http://schemas.microsoft.com/office/drawing/2014/main" id="{A8E8D4BC-8957-0536-D2B7-1C91019B9792}"/>
            </a:ext>
          </a:extLst>
        </xdr:cNvPr>
        <xdr:cNvSpPr/>
      </xdr:nvSpPr>
      <xdr:spPr>
        <a:xfrm>
          <a:off x="1644753" y="1078616"/>
          <a:ext cx="1570830" cy="5121434"/>
        </a:xfrm>
        <a:prstGeom prst="roundRect">
          <a:avLst/>
        </a:prstGeom>
        <a:solidFill>
          <a:schemeClr val="accent5">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5">
                <a:lumMod val="50000"/>
              </a:schemeClr>
            </a:solidFill>
          </a:endParaRPr>
        </a:p>
      </xdr:txBody>
    </xdr:sp>
    <xdr:clientData/>
  </xdr:twoCellAnchor>
  <xdr:twoCellAnchor>
    <xdr:from>
      <xdr:col>2</xdr:col>
      <xdr:colOff>336089</xdr:colOff>
      <xdr:row>1</xdr:row>
      <xdr:rowOff>92327</xdr:rowOff>
    </xdr:from>
    <xdr:to>
      <xdr:col>20</xdr:col>
      <xdr:colOff>405907</xdr:colOff>
      <xdr:row>5</xdr:row>
      <xdr:rowOff>92685</xdr:rowOff>
    </xdr:to>
    <xdr:sp macro="" textlink="">
      <xdr:nvSpPr>
        <xdr:cNvPr id="17" name="Rectangle: Rounded Corners 16">
          <a:extLst>
            <a:ext uri="{FF2B5EF4-FFF2-40B4-BE49-F238E27FC236}">
              <a16:creationId xmlns:a16="http://schemas.microsoft.com/office/drawing/2014/main" id="{180F0EB7-38FA-CC09-4126-E2053A531B51}"/>
            </a:ext>
          </a:extLst>
        </xdr:cNvPr>
        <xdr:cNvSpPr/>
      </xdr:nvSpPr>
      <xdr:spPr>
        <a:xfrm>
          <a:off x="1639510" y="278530"/>
          <a:ext cx="11829254" cy="745169"/>
        </a:xfrm>
        <a:prstGeom prst="roundRect">
          <a:avLst/>
        </a:prstGeom>
        <a:solidFill>
          <a:srgbClr val="0D3D3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501478</xdr:colOff>
      <xdr:row>1</xdr:row>
      <xdr:rowOff>90437</xdr:rowOff>
    </xdr:from>
    <xdr:to>
      <xdr:col>17</xdr:col>
      <xdr:colOff>114992</xdr:colOff>
      <xdr:row>3</xdr:row>
      <xdr:rowOff>135616</xdr:rowOff>
    </xdr:to>
    <xdr:sp macro="" textlink="">
      <xdr:nvSpPr>
        <xdr:cNvPr id="20" name="Rectangle: Rounded Corners 19">
          <a:extLst>
            <a:ext uri="{FF2B5EF4-FFF2-40B4-BE49-F238E27FC236}">
              <a16:creationId xmlns:a16="http://schemas.microsoft.com/office/drawing/2014/main" id="{06BCEDE5-1E35-3BB2-FFC4-37A94C48B843}"/>
            </a:ext>
          </a:extLst>
        </xdr:cNvPr>
        <xdr:cNvSpPr/>
      </xdr:nvSpPr>
      <xdr:spPr>
        <a:xfrm>
          <a:off x="4411741" y="276640"/>
          <a:ext cx="6782330" cy="41758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Grocery</a:t>
          </a:r>
          <a:r>
            <a:rPr lang="en-IN" sz="2000" b="1" baseline="0"/>
            <a:t> Inventory &amp; Sales Performance Dashboard</a:t>
          </a:r>
          <a:endParaRPr lang="en-IN" sz="2000" b="1"/>
        </a:p>
      </xdr:txBody>
    </xdr:sp>
    <xdr:clientData/>
  </xdr:twoCellAnchor>
  <xdr:twoCellAnchor>
    <xdr:from>
      <xdr:col>7</xdr:col>
      <xdr:colOff>467049</xdr:colOff>
      <xdr:row>3</xdr:row>
      <xdr:rowOff>136927</xdr:rowOff>
    </xdr:from>
    <xdr:to>
      <xdr:col>16</xdr:col>
      <xdr:colOff>154731</xdr:colOff>
      <xdr:row>5</xdr:row>
      <xdr:rowOff>6801</xdr:rowOff>
    </xdr:to>
    <xdr:sp macro="" textlink="">
      <xdr:nvSpPr>
        <xdr:cNvPr id="21" name="Rectangle 20">
          <a:extLst>
            <a:ext uri="{FF2B5EF4-FFF2-40B4-BE49-F238E27FC236}">
              <a16:creationId xmlns:a16="http://schemas.microsoft.com/office/drawing/2014/main" id="{3776BE8B-85BF-52AD-E050-CCDF0A4C85F5}"/>
            </a:ext>
          </a:extLst>
        </xdr:cNvPr>
        <xdr:cNvSpPr/>
      </xdr:nvSpPr>
      <xdr:spPr>
        <a:xfrm>
          <a:off x="5029023" y="695536"/>
          <a:ext cx="5553076" cy="24227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Overview of Sales</a:t>
          </a:r>
          <a:r>
            <a:rPr lang="en-IN" sz="1400" b="1" baseline="0"/>
            <a:t> , Inventory , Reorder Status &amp; Trends</a:t>
          </a:r>
          <a:endParaRPr lang="en-IN" sz="1400" b="1"/>
        </a:p>
      </xdr:txBody>
    </xdr:sp>
    <xdr:clientData/>
  </xdr:twoCellAnchor>
  <xdr:twoCellAnchor>
    <xdr:from>
      <xdr:col>5</xdr:col>
      <xdr:colOff>36901</xdr:colOff>
      <xdr:row>5</xdr:row>
      <xdr:rowOff>170294</xdr:rowOff>
    </xdr:from>
    <xdr:to>
      <xdr:col>7</xdr:col>
      <xdr:colOff>203170</xdr:colOff>
      <xdr:row>9</xdr:row>
      <xdr:rowOff>72744</xdr:rowOff>
    </xdr:to>
    <xdr:sp macro="" textlink="">
      <xdr:nvSpPr>
        <xdr:cNvPr id="25" name="Rectangle: Rounded Corners 24">
          <a:extLst>
            <a:ext uri="{FF2B5EF4-FFF2-40B4-BE49-F238E27FC236}">
              <a16:creationId xmlns:a16="http://schemas.microsoft.com/office/drawing/2014/main" id="{D829E8CC-2092-B274-FB85-5534B7D87CB8}"/>
            </a:ext>
          </a:extLst>
        </xdr:cNvPr>
        <xdr:cNvSpPr/>
      </xdr:nvSpPr>
      <xdr:spPr>
        <a:xfrm>
          <a:off x="3310504" y="1077437"/>
          <a:ext cx="1475709" cy="628164"/>
        </a:xfrm>
        <a:prstGeom prst="roundRect">
          <a:avLst/>
        </a:prstGeom>
        <a:solidFill>
          <a:schemeClr val="accent1">
            <a:lumMod val="20000"/>
            <a:lumOff val="80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400"/>
        </a:p>
      </xdr:txBody>
    </xdr:sp>
    <xdr:clientData/>
  </xdr:twoCellAnchor>
  <xdr:twoCellAnchor>
    <xdr:from>
      <xdr:col>7</xdr:col>
      <xdr:colOff>246099</xdr:colOff>
      <xdr:row>5</xdr:row>
      <xdr:rowOff>169440</xdr:rowOff>
    </xdr:from>
    <xdr:to>
      <xdr:col>9</xdr:col>
      <xdr:colOff>355096</xdr:colOff>
      <xdr:row>9</xdr:row>
      <xdr:rowOff>71890</xdr:rowOff>
    </xdr:to>
    <xdr:sp macro="" textlink="">
      <xdr:nvSpPr>
        <xdr:cNvPr id="26" name="Rectangle: Rounded Corners 25">
          <a:extLst>
            <a:ext uri="{FF2B5EF4-FFF2-40B4-BE49-F238E27FC236}">
              <a16:creationId xmlns:a16="http://schemas.microsoft.com/office/drawing/2014/main" id="{1390F53A-E3FF-49D5-83B8-930BE5FD297C}"/>
            </a:ext>
          </a:extLst>
        </xdr:cNvPr>
        <xdr:cNvSpPr/>
      </xdr:nvSpPr>
      <xdr:spPr>
        <a:xfrm>
          <a:off x="4829142" y="1076583"/>
          <a:ext cx="1418438" cy="628164"/>
        </a:xfrm>
        <a:prstGeom prst="roundRect">
          <a:avLst/>
        </a:prstGeom>
        <a:solidFill>
          <a:srgbClr val="EEF6E9"/>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2400">
            <a:solidFill>
              <a:schemeClr val="lt1"/>
            </a:solidFill>
            <a:latin typeface="+mn-lt"/>
            <a:ea typeface="+mn-ea"/>
            <a:cs typeface="+mn-cs"/>
          </a:endParaRPr>
        </a:p>
      </xdr:txBody>
    </xdr:sp>
    <xdr:clientData/>
  </xdr:twoCellAnchor>
  <xdr:twoCellAnchor>
    <xdr:from>
      <xdr:col>9</xdr:col>
      <xdr:colOff>390725</xdr:colOff>
      <xdr:row>5</xdr:row>
      <xdr:rowOff>168585</xdr:rowOff>
    </xdr:from>
    <xdr:to>
      <xdr:col>11</xdr:col>
      <xdr:colOff>500682</xdr:colOff>
      <xdr:row>9</xdr:row>
      <xdr:rowOff>71035</xdr:rowOff>
    </xdr:to>
    <xdr:sp macro="" textlink="">
      <xdr:nvSpPr>
        <xdr:cNvPr id="27" name="Rectangle: Rounded Corners 26">
          <a:extLst>
            <a:ext uri="{FF2B5EF4-FFF2-40B4-BE49-F238E27FC236}">
              <a16:creationId xmlns:a16="http://schemas.microsoft.com/office/drawing/2014/main" id="{006B9FAC-933D-4487-B003-287C5BDA22F7}"/>
            </a:ext>
          </a:extLst>
        </xdr:cNvPr>
        <xdr:cNvSpPr/>
      </xdr:nvSpPr>
      <xdr:spPr>
        <a:xfrm>
          <a:off x="6269010" y="1112013"/>
          <a:ext cx="1416244" cy="657194"/>
        </a:xfrm>
        <a:prstGeom prst="roundRect">
          <a:avLst/>
        </a:prstGeom>
        <a:solidFill>
          <a:schemeClr val="accent1">
            <a:lumMod val="20000"/>
            <a:lumOff val="80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540668</xdr:colOff>
      <xdr:row>5</xdr:row>
      <xdr:rowOff>167731</xdr:rowOff>
    </xdr:from>
    <xdr:to>
      <xdr:col>14</xdr:col>
      <xdr:colOff>11884</xdr:colOff>
      <xdr:row>9</xdr:row>
      <xdr:rowOff>70181</xdr:rowOff>
    </xdr:to>
    <xdr:sp macro="" textlink="">
      <xdr:nvSpPr>
        <xdr:cNvPr id="28" name="Rectangle: Rounded Corners 27">
          <a:extLst>
            <a:ext uri="{FF2B5EF4-FFF2-40B4-BE49-F238E27FC236}">
              <a16:creationId xmlns:a16="http://schemas.microsoft.com/office/drawing/2014/main" id="{7A86EDF1-C8B4-4A76-BCF0-E22CF5E35544}"/>
            </a:ext>
          </a:extLst>
        </xdr:cNvPr>
        <xdr:cNvSpPr/>
      </xdr:nvSpPr>
      <xdr:spPr>
        <a:xfrm>
          <a:off x="7742594" y="1074874"/>
          <a:ext cx="1435377" cy="628164"/>
        </a:xfrm>
        <a:prstGeom prst="round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54814</xdr:colOff>
      <xdr:row>5</xdr:row>
      <xdr:rowOff>166876</xdr:rowOff>
    </xdr:from>
    <xdr:to>
      <xdr:col>16</xdr:col>
      <xdr:colOff>163810</xdr:colOff>
      <xdr:row>9</xdr:row>
      <xdr:rowOff>69326</xdr:rowOff>
    </xdr:to>
    <xdr:sp macro="" textlink="">
      <xdr:nvSpPr>
        <xdr:cNvPr id="29" name="Rectangle: Rounded Corners 28">
          <a:extLst>
            <a:ext uri="{FF2B5EF4-FFF2-40B4-BE49-F238E27FC236}">
              <a16:creationId xmlns:a16="http://schemas.microsoft.com/office/drawing/2014/main" id="{32694B6A-2139-4385-91A1-E7A8B860EEE3}"/>
            </a:ext>
          </a:extLst>
        </xdr:cNvPr>
        <xdr:cNvSpPr/>
      </xdr:nvSpPr>
      <xdr:spPr>
        <a:xfrm>
          <a:off x="9220901" y="1074019"/>
          <a:ext cx="1418437" cy="628164"/>
        </a:xfrm>
        <a:prstGeom prst="roundRect">
          <a:avLst/>
        </a:prstGeom>
        <a:solidFill>
          <a:srgbClr val="FEF4F3"/>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211746</xdr:colOff>
      <xdr:row>5</xdr:row>
      <xdr:rowOff>179357</xdr:rowOff>
    </xdr:from>
    <xdr:to>
      <xdr:col>18</xdr:col>
      <xdr:colOff>314726</xdr:colOff>
      <xdr:row>9</xdr:row>
      <xdr:rowOff>72028</xdr:rowOff>
    </xdr:to>
    <xdr:sp macro="" textlink="">
      <xdr:nvSpPr>
        <xdr:cNvPr id="30" name="Rectangle: Rounded Corners 29">
          <a:extLst>
            <a:ext uri="{FF2B5EF4-FFF2-40B4-BE49-F238E27FC236}">
              <a16:creationId xmlns:a16="http://schemas.microsoft.com/office/drawing/2014/main" id="{01FCE317-BB68-4B10-A0C0-B72B966F8082}"/>
            </a:ext>
          </a:extLst>
        </xdr:cNvPr>
        <xdr:cNvSpPr/>
      </xdr:nvSpPr>
      <xdr:spPr>
        <a:xfrm>
          <a:off x="10662031" y="1122785"/>
          <a:ext cx="1409267" cy="647415"/>
        </a:xfrm>
        <a:prstGeom prst="roundRect">
          <a:avLst/>
        </a:prstGeom>
        <a:solidFill>
          <a:srgbClr val="FCF7FD"/>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353428</xdr:colOff>
      <xdr:row>5</xdr:row>
      <xdr:rowOff>178502</xdr:rowOff>
    </xdr:from>
    <xdr:to>
      <xdr:col>20</xdr:col>
      <xdr:colOff>435688</xdr:colOff>
      <xdr:row>9</xdr:row>
      <xdr:rowOff>80952</xdr:rowOff>
    </xdr:to>
    <xdr:sp macro="" textlink="">
      <xdr:nvSpPr>
        <xdr:cNvPr id="31" name="Rectangle: Rounded Corners 30">
          <a:extLst>
            <a:ext uri="{FF2B5EF4-FFF2-40B4-BE49-F238E27FC236}">
              <a16:creationId xmlns:a16="http://schemas.microsoft.com/office/drawing/2014/main" id="{42FD592B-BF5F-4289-A38B-809ED9E90C26}"/>
            </a:ext>
          </a:extLst>
        </xdr:cNvPr>
        <xdr:cNvSpPr/>
      </xdr:nvSpPr>
      <xdr:spPr>
        <a:xfrm>
          <a:off x="12138398" y="1085645"/>
          <a:ext cx="1415364" cy="628164"/>
        </a:xfrm>
        <a:prstGeom prst="roundRect">
          <a:avLst/>
        </a:prstGeom>
        <a:solidFill>
          <a:schemeClr val="tx2">
            <a:lumMod val="20000"/>
            <a:lumOff val="80000"/>
          </a:schemeClr>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192156</xdr:colOff>
      <xdr:row>6</xdr:row>
      <xdr:rowOff>36754</xdr:rowOff>
    </xdr:from>
    <xdr:to>
      <xdr:col>7</xdr:col>
      <xdr:colOff>108128</xdr:colOff>
      <xdr:row>7</xdr:row>
      <xdr:rowOff>58202</xdr:rowOff>
    </xdr:to>
    <xdr:sp macro="" textlink="">
      <xdr:nvSpPr>
        <xdr:cNvPr id="32" name="TextBox 31">
          <a:extLst>
            <a:ext uri="{FF2B5EF4-FFF2-40B4-BE49-F238E27FC236}">
              <a16:creationId xmlns:a16="http://schemas.microsoft.com/office/drawing/2014/main" id="{F362516D-E995-26FC-92D9-43D9A6B08511}"/>
            </a:ext>
          </a:extLst>
        </xdr:cNvPr>
        <xdr:cNvSpPr txBox="1"/>
      </xdr:nvSpPr>
      <xdr:spPr>
        <a:xfrm>
          <a:off x="3457871" y="1168869"/>
          <a:ext cx="1222257" cy="210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t>TOTAL</a:t>
          </a:r>
          <a:r>
            <a:rPr lang="en-IN" sz="1000" b="1" baseline="0"/>
            <a:t> PRODUCTS</a:t>
          </a:r>
          <a:endParaRPr lang="en-IN" sz="1000" b="1"/>
        </a:p>
      </xdr:txBody>
    </xdr:sp>
    <xdr:clientData/>
  </xdr:twoCellAnchor>
  <xdr:twoCellAnchor>
    <xdr:from>
      <xdr:col>7</xdr:col>
      <xdr:colOff>351389</xdr:colOff>
      <xdr:row>6</xdr:row>
      <xdr:rowOff>16070</xdr:rowOff>
    </xdr:from>
    <xdr:to>
      <xdr:col>9</xdr:col>
      <xdr:colOff>264411</xdr:colOff>
      <xdr:row>7</xdr:row>
      <xdr:rowOff>31956</xdr:rowOff>
    </xdr:to>
    <xdr:sp macro="" textlink="">
      <xdr:nvSpPr>
        <xdr:cNvPr id="34" name="TextBox 33">
          <a:extLst>
            <a:ext uri="{FF2B5EF4-FFF2-40B4-BE49-F238E27FC236}">
              <a16:creationId xmlns:a16="http://schemas.microsoft.com/office/drawing/2014/main" id="{C3E122BA-0C5D-454A-9AE6-337DA121D958}"/>
            </a:ext>
          </a:extLst>
        </xdr:cNvPr>
        <xdr:cNvSpPr txBox="1"/>
      </xdr:nvSpPr>
      <xdr:spPr>
        <a:xfrm>
          <a:off x="4934432" y="1104641"/>
          <a:ext cx="1222463" cy="197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t>REVENUE</a:t>
          </a:r>
        </a:p>
      </xdr:txBody>
    </xdr:sp>
    <xdr:clientData/>
  </xdr:twoCellAnchor>
  <xdr:twoCellAnchor>
    <xdr:from>
      <xdr:col>9</xdr:col>
      <xdr:colOff>397822</xdr:colOff>
      <xdr:row>6</xdr:row>
      <xdr:rowOff>52375</xdr:rowOff>
    </xdr:from>
    <xdr:to>
      <xdr:col>11</xdr:col>
      <xdr:colOff>462317</xdr:colOff>
      <xdr:row>7</xdr:row>
      <xdr:rowOff>37419</xdr:rowOff>
    </xdr:to>
    <xdr:sp macro="" textlink="">
      <xdr:nvSpPr>
        <xdr:cNvPr id="35" name="TextBox 34">
          <a:extLst>
            <a:ext uri="{FF2B5EF4-FFF2-40B4-BE49-F238E27FC236}">
              <a16:creationId xmlns:a16="http://schemas.microsoft.com/office/drawing/2014/main" id="{BE99CF52-D38B-4EA7-98C9-7EACC988BE66}"/>
            </a:ext>
          </a:extLst>
        </xdr:cNvPr>
        <xdr:cNvSpPr txBox="1"/>
      </xdr:nvSpPr>
      <xdr:spPr>
        <a:xfrm>
          <a:off x="6290306" y="1140946"/>
          <a:ext cx="1373937" cy="166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b="1"/>
            <a:t>TOTAL</a:t>
          </a:r>
          <a:r>
            <a:rPr lang="en-IN" sz="1050" b="1" baseline="0"/>
            <a:t> UNITS SOLD</a:t>
          </a:r>
          <a:endParaRPr lang="en-IN" sz="1050" b="1"/>
        </a:p>
      </xdr:txBody>
    </xdr:sp>
    <xdr:clientData/>
  </xdr:twoCellAnchor>
  <xdr:twoCellAnchor>
    <xdr:from>
      <xdr:col>11</xdr:col>
      <xdr:colOff>628280</xdr:colOff>
      <xdr:row>6</xdr:row>
      <xdr:rowOff>23872</xdr:rowOff>
    </xdr:from>
    <xdr:to>
      <xdr:col>13</xdr:col>
      <xdr:colOff>638960</xdr:colOff>
      <xdr:row>7</xdr:row>
      <xdr:rowOff>127821</xdr:rowOff>
    </xdr:to>
    <xdr:sp macro="" textlink="">
      <xdr:nvSpPr>
        <xdr:cNvPr id="37" name="TextBox 36">
          <a:extLst>
            <a:ext uri="{FF2B5EF4-FFF2-40B4-BE49-F238E27FC236}">
              <a16:creationId xmlns:a16="http://schemas.microsoft.com/office/drawing/2014/main" id="{74860D41-4A30-4CCE-90F4-1F5CF222D3B1}"/>
            </a:ext>
          </a:extLst>
        </xdr:cNvPr>
        <xdr:cNvSpPr txBox="1"/>
      </xdr:nvSpPr>
      <xdr:spPr>
        <a:xfrm>
          <a:off x="7812852" y="1155987"/>
          <a:ext cx="1316965" cy="292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t>INVENTORY</a:t>
          </a:r>
          <a:r>
            <a:rPr lang="en-IN" sz="1050" b="1" baseline="0"/>
            <a:t> VALUE</a:t>
          </a:r>
          <a:endParaRPr lang="en-IN" sz="1050" b="1"/>
        </a:p>
      </xdr:txBody>
    </xdr:sp>
    <xdr:clientData/>
  </xdr:twoCellAnchor>
  <xdr:twoCellAnchor>
    <xdr:from>
      <xdr:col>14</xdr:col>
      <xdr:colOff>65065</xdr:colOff>
      <xdr:row>6</xdr:row>
      <xdr:rowOff>23016</xdr:rowOff>
    </xdr:from>
    <xdr:to>
      <xdr:col>16</xdr:col>
      <xdr:colOff>175667</xdr:colOff>
      <xdr:row>7</xdr:row>
      <xdr:rowOff>86097</xdr:rowOff>
    </xdr:to>
    <xdr:sp macro="" textlink="">
      <xdr:nvSpPr>
        <xdr:cNvPr id="38" name="TextBox 37">
          <a:extLst>
            <a:ext uri="{FF2B5EF4-FFF2-40B4-BE49-F238E27FC236}">
              <a16:creationId xmlns:a16="http://schemas.microsoft.com/office/drawing/2014/main" id="{4F349C80-EDAB-4AA5-97DF-022F419D6C57}"/>
            </a:ext>
          </a:extLst>
        </xdr:cNvPr>
        <xdr:cNvSpPr txBox="1"/>
      </xdr:nvSpPr>
      <xdr:spPr>
        <a:xfrm>
          <a:off x="9231152" y="1111587"/>
          <a:ext cx="1420043" cy="244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050" b="1"/>
            <a:t>REORDER</a:t>
          </a:r>
          <a:r>
            <a:rPr lang="en-IN" sz="1050" b="1" baseline="0"/>
            <a:t> PRODUCTS</a:t>
          </a:r>
          <a:endParaRPr lang="en-IN" sz="1050" b="1"/>
        </a:p>
      </xdr:txBody>
    </xdr:sp>
    <xdr:clientData/>
  </xdr:twoCellAnchor>
  <xdr:twoCellAnchor>
    <xdr:from>
      <xdr:col>16</xdr:col>
      <xdr:colOff>276911</xdr:colOff>
      <xdr:row>6</xdr:row>
      <xdr:rowOff>30845</xdr:rowOff>
    </xdr:from>
    <xdr:to>
      <xdr:col>18</xdr:col>
      <xdr:colOff>284416</xdr:colOff>
      <xdr:row>7</xdr:row>
      <xdr:rowOff>57483</xdr:rowOff>
    </xdr:to>
    <xdr:sp macro="" textlink="">
      <xdr:nvSpPr>
        <xdr:cNvPr id="39" name="TextBox 38">
          <a:extLst>
            <a:ext uri="{FF2B5EF4-FFF2-40B4-BE49-F238E27FC236}">
              <a16:creationId xmlns:a16="http://schemas.microsoft.com/office/drawing/2014/main" id="{4B680842-EAD5-426F-B73D-D66722AFC9F5}"/>
            </a:ext>
          </a:extLst>
        </xdr:cNvPr>
        <xdr:cNvSpPr txBox="1"/>
      </xdr:nvSpPr>
      <xdr:spPr>
        <a:xfrm>
          <a:off x="10752439" y="1119416"/>
          <a:ext cx="1316947" cy="208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1"/>
            <a:t>REORDER</a:t>
          </a:r>
          <a:r>
            <a:rPr lang="en-IN" sz="1050" b="1" baseline="0"/>
            <a:t> %</a:t>
          </a:r>
          <a:endParaRPr lang="en-IN" sz="1050" b="1"/>
        </a:p>
      </xdr:txBody>
    </xdr:sp>
    <xdr:clientData/>
  </xdr:twoCellAnchor>
  <xdr:twoCellAnchor>
    <xdr:from>
      <xdr:col>18</xdr:col>
      <xdr:colOff>288763</xdr:colOff>
      <xdr:row>5</xdr:row>
      <xdr:rowOff>169858</xdr:rowOff>
    </xdr:from>
    <xdr:to>
      <xdr:col>20</xdr:col>
      <xdr:colOff>528510</xdr:colOff>
      <xdr:row>8</xdr:row>
      <xdr:rowOff>7887</xdr:rowOff>
    </xdr:to>
    <xdr:sp macro="" textlink="">
      <xdr:nvSpPr>
        <xdr:cNvPr id="40" name="TextBox 39">
          <a:extLst>
            <a:ext uri="{FF2B5EF4-FFF2-40B4-BE49-F238E27FC236}">
              <a16:creationId xmlns:a16="http://schemas.microsoft.com/office/drawing/2014/main" id="{1C4A962D-FB9E-428A-8F90-80E862D6DB66}"/>
            </a:ext>
          </a:extLst>
        </xdr:cNvPr>
        <xdr:cNvSpPr txBox="1"/>
      </xdr:nvSpPr>
      <xdr:spPr>
        <a:xfrm>
          <a:off x="12073733" y="1077001"/>
          <a:ext cx="1572851" cy="382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t>AVG</a:t>
          </a:r>
          <a:r>
            <a:rPr lang="en-IN" sz="900" b="1" baseline="0"/>
            <a:t> INVENTORY TURNOVER RATE</a:t>
          </a:r>
          <a:endParaRPr lang="en-IN" sz="900" b="1"/>
        </a:p>
      </xdr:txBody>
    </xdr:sp>
    <xdr:clientData/>
  </xdr:twoCellAnchor>
  <xdr:twoCellAnchor>
    <xdr:from>
      <xdr:col>2</xdr:col>
      <xdr:colOff>414272</xdr:colOff>
      <xdr:row>9</xdr:row>
      <xdr:rowOff>99629</xdr:rowOff>
    </xdr:from>
    <xdr:to>
      <xdr:col>4</xdr:col>
      <xdr:colOff>555479</xdr:colOff>
      <xdr:row>19</xdr:row>
      <xdr:rowOff>170850</xdr:rowOff>
    </xdr:to>
    <mc:AlternateContent xmlns:mc="http://schemas.openxmlformats.org/markup-compatibility/2006" xmlns:a14="http://schemas.microsoft.com/office/drawing/2010/main">
      <mc:Choice Requires="a14">
        <xdr:graphicFrame macro="">
          <xdr:nvGraphicFramePr>
            <xdr:cNvPr id="3" name="Catagory 1">
              <a:extLst>
                <a:ext uri="{FF2B5EF4-FFF2-40B4-BE49-F238E27FC236}">
                  <a16:creationId xmlns:a16="http://schemas.microsoft.com/office/drawing/2014/main" id="{9A10938F-1519-4002-A263-E9D565B0209E}"/>
                </a:ext>
              </a:extLst>
            </xdr:cNvPr>
            <xdr:cNvGraphicFramePr/>
          </xdr:nvGraphicFramePr>
          <xdr:xfrm>
            <a:off x="0" y="0"/>
            <a:ext cx="0" cy="0"/>
          </xdr:xfrm>
          <a:graphic>
            <a:graphicData uri="http://schemas.microsoft.com/office/drawing/2010/slicer">
              <sle:slicer xmlns:sle="http://schemas.microsoft.com/office/drawing/2010/slicer" name="Catagory 1"/>
            </a:graphicData>
          </a:graphic>
        </xdr:graphicFrame>
      </mc:Choice>
      <mc:Fallback xmlns="">
        <xdr:sp macro="" textlink="">
          <xdr:nvSpPr>
            <xdr:cNvPr id="0" name=""/>
            <xdr:cNvSpPr>
              <a:spLocks noTextEdit="1"/>
            </xdr:cNvSpPr>
          </xdr:nvSpPr>
          <xdr:spPr>
            <a:xfrm>
              <a:off x="1720557" y="1797801"/>
              <a:ext cx="1447494" cy="19580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403943</xdr:colOff>
      <xdr:row>27</xdr:row>
      <xdr:rowOff>14021</xdr:rowOff>
    </xdr:from>
    <xdr:to>
      <xdr:col>4</xdr:col>
      <xdr:colOff>561418</xdr:colOff>
      <xdr:row>32</xdr:row>
      <xdr:rowOff>55351</xdr:rowOff>
    </xdr:to>
    <mc:AlternateContent xmlns:mc="http://schemas.openxmlformats.org/markup-compatibility/2006" xmlns:a14="http://schemas.microsoft.com/office/drawing/2010/main">
      <mc:Choice Requires="a14">
        <xdr:graphicFrame macro="">
          <xdr:nvGraphicFramePr>
            <xdr:cNvPr id="4" name="REORDER_STATUS 1">
              <a:extLst>
                <a:ext uri="{FF2B5EF4-FFF2-40B4-BE49-F238E27FC236}">
                  <a16:creationId xmlns:a16="http://schemas.microsoft.com/office/drawing/2014/main" id="{B0BB611F-F1E6-4EE1-AACD-FA8478759347}"/>
                </a:ext>
              </a:extLst>
            </xdr:cNvPr>
            <xdr:cNvGraphicFramePr/>
          </xdr:nvGraphicFramePr>
          <xdr:xfrm>
            <a:off x="0" y="0"/>
            <a:ext cx="0" cy="0"/>
          </xdr:xfrm>
          <a:graphic>
            <a:graphicData uri="http://schemas.microsoft.com/office/drawing/2010/slicer">
              <sle:slicer xmlns:sle="http://schemas.microsoft.com/office/drawing/2010/slicer" name="REORDER_STATUS 1"/>
            </a:graphicData>
          </a:graphic>
        </xdr:graphicFrame>
      </mc:Choice>
      <mc:Fallback xmlns="">
        <xdr:sp macro="" textlink="">
          <xdr:nvSpPr>
            <xdr:cNvPr id="0" name=""/>
            <xdr:cNvSpPr>
              <a:spLocks noTextEdit="1"/>
            </xdr:cNvSpPr>
          </xdr:nvSpPr>
          <xdr:spPr>
            <a:xfrm>
              <a:off x="1710228" y="5108536"/>
              <a:ext cx="1463762" cy="9847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407980</xdr:colOff>
      <xdr:row>21</xdr:row>
      <xdr:rowOff>14394</xdr:rowOff>
    </xdr:from>
    <xdr:to>
      <xdr:col>4</xdr:col>
      <xdr:colOff>516611</xdr:colOff>
      <xdr:row>25</xdr:row>
      <xdr:rowOff>110825</xdr:rowOff>
    </xdr:to>
    <mc:AlternateContent xmlns:mc="http://schemas.openxmlformats.org/markup-compatibility/2006" xmlns:tsle="http://schemas.microsoft.com/office/drawing/2012/timeslicer">
      <mc:Choice Requires="tsle">
        <xdr:graphicFrame macro="">
          <xdr:nvGraphicFramePr>
            <xdr:cNvPr id="11" name="Month_Year 1">
              <a:extLst>
                <a:ext uri="{FF2B5EF4-FFF2-40B4-BE49-F238E27FC236}">
                  <a16:creationId xmlns:a16="http://schemas.microsoft.com/office/drawing/2014/main" id="{F98D08CF-8C27-4541-ABCE-6C6BAFEB109B}"/>
                </a:ext>
              </a:extLst>
            </xdr:cNvPr>
            <xdr:cNvGraphicFramePr/>
          </xdr:nvGraphicFramePr>
          <xdr:xfrm>
            <a:off x="0" y="0"/>
            <a:ext cx="0" cy="0"/>
          </xdr:xfrm>
          <a:graphic>
            <a:graphicData uri="http://schemas.microsoft.com/office/drawing/2012/timeslicer">
              <tsle:timeslicer name="Month_Year 1"/>
            </a:graphicData>
          </a:graphic>
        </xdr:graphicFrame>
      </mc:Choice>
      <mc:Fallback xmlns="">
        <xdr:sp macro="" textlink="">
          <xdr:nvSpPr>
            <xdr:cNvPr id="0" name=""/>
            <xdr:cNvSpPr>
              <a:spLocks noTextEdit="1"/>
            </xdr:cNvSpPr>
          </xdr:nvSpPr>
          <xdr:spPr>
            <a:xfrm>
              <a:off x="1714265" y="3976794"/>
              <a:ext cx="1414918" cy="8511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18450</xdr:colOff>
      <xdr:row>10</xdr:row>
      <xdr:rowOff>94953</xdr:rowOff>
    </xdr:from>
    <xdr:to>
      <xdr:col>10</xdr:col>
      <xdr:colOff>9224</xdr:colOff>
      <xdr:row>21</xdr:row>
      <xdr:rowOff>138378</xdr:rowOff>
    </xdr:to>
    <xdr:graphicFrame macro="">
      <xdr:nvGraphicFramePr>
        <xdr:cNvPr id="23" name="Chart 22">
          <a:extLst>
            <a:ext uri="{FF2B5EF4-FFF2-40B4-BE49-F238E27FC236}">
              <a16:creationId xmlns:a16="http://schemas.microsoft.com/office/drawing/2014/main" id="{5313A8E8-33FD-4B42-B90A-86E0FBB90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526483</xdr:colOff>
      <xdr:row>10</xdr:row>
      <xdr:rowOff>172166</xdr:rowOff>
    </xdr:from>
    <xdr:to>
      <xdr:col>20</xdr:col>
      <xdr:colOff>411768</xdr:colOff>
      <xdr:row>21</xdr:row>
      <xdr:rowOff>179042</xdr:rowOff>
    </xdr:to>
    <xdr:graphicFrame macro="">
      <xdr:nvGraphicFramePr>
        <xdr:cNvPr id="33" name="Chart 32">
          <a:extLst>
            <a:ext uri="{FF2B5EF4-FFF2-40B4-BE49-F238E27FC236}">
              <a16:creationId xmlns:a16="http://schemas.microsoft.com/office/drawing/2014/main" id="{AA3A3926-8B58-4903-B9CA-17B8699E9D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246061</xdr:colOff>
      <xdr:row>22</xdr:row>
      <xdr:rowOff>146993</xdr:rowOff>
    </xdr:from>
    <xdr:to>
      <xdr:col>20</xdr:col>
      <xdr:colOff>324143</xdr:colOff>
      <xdr:row>33</xdr:row>
      <xdr:rowOff>24392</xdr:rowOff>
    </xdr:to>
    <xdr:graphicFrame macro="">
      <xdr:nvGraphicFramePr>
        <xdr:cNvPr id="36" name="Chart 35">
          <a:extLst>
            <a:ext uri="{FF2B5EF4-FFF2-40B4-BE49-F238E27FC236}">
              <a16:creationId xmlns:a16="http://schemas.microsoft.com/office/drawing/2014/main" id="{8E116932-26F2-41BC-A90A-AFE288314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53016</xdr:colOff>
      <xdr:row>23</xdr:row>
      <xdr:rowOff>146540</xdr:rowOff>
    </xdr:from>
    <xdr:to>
      <xdr:col>10</xdr:col>
      <xdr:colOff>13576</xdr:colOff>
      <xdr:row>33</xdr:row>
      <xdr:rowOff>39817</xdr:rowOff>
    </xdr:to>
    <xdr:graphicFrame macro="">
      <xdr:nvGraphicFramePr>
        <xdr:cNvPr id="41" name="Chart 40">
          <a:extLst>
            <a:ext uri="{FF2B5EF4-FFF2-40B4-BE49-F238E27FC236}">
              <a16:creationId xmlns:a16="http://schemas.microsoft.com/office/drawing/2014/main" id="{82761508-9039-4DAC-841A-8ECD5BABC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150394</xdr:colOff>
      <xdr:row>23</xdr:row>
      <xdr:rowOff>19696</xdr:rowOff>
    </xdr:from>
    <xdr:to>
      <xdr:col>16</xdr:col>
      <xdr:colOff>118224</xdr:colOff>
      <xdr:row>32</xdr:row>
      <xdr:rowOff>168797</xdr:rowOff>
    </xdr:to>
    <xdr:graphicFrame macro="">
      <xdr:nvGraphicFramePr>
        <xdr:cNvPr id="44" name="Chart 43">
          <a:extLst>
            <a:ext uri="{FF2B5EF4-FFF2-40B4-BE49-F238E27FC236}">
              <a16:creationId xmlns:a16="http://schemas.microsoft.com/office/drawing/2014/main" id="{692B5DBB-D310-42AA-BB90-F632E0938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538485</xdr:colOff>
      <xdr:row>7</xdr:row>
      <xdr:rowOff>95674</xdr:rowOff>
    </xdr:from>
    <xdr:to>
      <xdr:col>6</xdr:col>
      <xdr:colOff>466349</xdr:colOff>
      <xdr:row>8</xdr:row>
      <xdr:rowOff>167808</xdr:rowOff>
    </xdr:to>
    <xdr:sp macro="" textlink="'KPI''s'!A8">
      <xdr:nvSpPr>
        <xdr:cNvPr id="2" name="TextBox 1">
          <a:extLst>
            <a:ext uri="{FF2B5EF4-FFF2-40B4-BE49-F238E27FC236}">
              <a16:creationId xmlns:a16="http://schemas.microsoft.com/office/drawing/2014/main" id="{0B552E10-EBFB-B2AB-F4E7-E970B4E13E4A}"/>
            </a:ext>
          </a:extLst>
        </xdr:cNvPr>
        <xdr:cNvSpPr txBox="1"/>
      </xdr:nvSpPr>
      <xdr:spPr>
        <a:xfrm>
          <a:off x="3804200" y="1416474"/>
          <a:ext cx="581006" cy="260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4AD3B6-9D30-46DF-BC31-3E60E87E7CB4}" type="TxLink">
            <a:rPr lang="en-US" sz="1500" b="1" i="0" u="none" strike="noStrike">
              <a:solidFill>
                <a:srgbClr val="000000"/>
              </a:solidFill>
              <a:latin typeface="Calibri"/>
              <a:ea typeface="Calibri"/>
              <a:cs typeface="Calibri"/>
            </a:rPr>
            <a:pPr algn="ctr"/>
            <a:t>990</a:t>
          </a:fld>
          <a:endParaRPr lang="en-IN" sz="1500" b="1"/>
        </a:p>
      </xdr:txBody>
    </xdr:sp>
    <xdr:clientData/>
  </xdr:twoCellAnchor>
  <xdr:twoCellAnchor>
    <xdr:from>
      <xdr:col>7</xdr:col>
      <xdr:colOff>397682</xdr:colOff>
      <xdr:row>7</xdr:row>
      <xdr:rowOff>75152</xdr:rowOff>
    </xdr:from>
    <xdr:to>
      <xdr:col>9</xdr:col>
      <xdr:colOff>157401</xdr:colOff>
      <xdr:row>8</xdr:row>
      <xdr:rowOff>171943</xdr:rowOff>
    </xdr:to>
    <xdr:sp macro="" textlink="'KPI''s'!B8">
      <xdr:nvSpPr>
        <xdr:cNvPr id="5" name="TextBox 4">
          <a:extLst>
            <a:ext uri="{FF2B5EF4-FFF2-40B4-BE49-F238E27FC236}">
              <a16:creationId xmlns:a16="http://schemas.microsoft.com/office/drawing/2014/main" id="{0C401D49-5B62-47CA-B5BE-C09AD7D07E7B}"/>
            </a:ext>
          </a:extLst>
        </xdr:cNvPr>
        <xdr:cNvSpPr txBox="1"/>
      </xdr:nvSpPr>
      <xdr:spPr>
        <a:xfrm>
          <a:off x="4982597" y="1366677"/>
          <a:ext cx="1069696" cy="281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B0AD0CE-C02E-4BF8-9230-FB886E6A7708}" type="TxLink">
            <a:rPr lang="en-US" sz="1500" b="1" i="0" u="none" strike="noStrike">
              <a:solidFill>
                <a:srgbClr val="000000"/>
              </a:solidFill>
              <a:latin typeface="Calibri"/>
              <a:ea typeface="Calibri"/>
              <a:cs typeface="Calibri"/>
            </a:rPr>
            <a:pPr algn="ctr"/>
            <a:t>$344.3K</a:t>
          </a:fld>
          <a:endParaRPr lang="en-IN" sz="1500" b="1"/>
        </a:p>
      </xdr:txBody>
    </xdr:sp>
    <xdr:clientData/>
  </xdr:twoCellAnchor>
  <xdr:twoCellAnchor>
    <xdr:from>
      <xdr:col>10</xdr:col>
      <xdr:colOff>148535</xdr:colOff>
      <xdr:row>7</xdr:row>
      <xdr:rowOff>50889</xdr:rowOff>
    </xdr:from>
    <xdr:to>
      <xdr:col>11</xdr:col>
      <xdr:colOff>210703</xdr:colOff>
      <xdr:row>8</xdr:row>
      <xdr:rowOff>163406</xdr:rowOff>
    </xdr:to>
    <xdr:sp macro="" textlink="'KPI''s'!D8">
      <xdr:nvSpPr>
        <xdr:cNvPr id="7" name="TextBox 6">
          <a:extLst>
            <a:ext uri="{FF2B5EF4-FFF2-40B4-BE49-F238E27FC236}">
              <a16:creationId xmlns:a16="http://schemas.microsoft.com/office/drawing/2014/main" id="{382A31B5-2711-4A5B-8519-F76E42CC3063}"/>
            </a:ext>
          </a:extLst>
        </xdr:cNvPr>
        <xdr:cNvSpPr txBox="1"/>
      </xdr:nvSpPr>
      <xdr:spPr>
        <a:xfrm>
          <a:off x="6679963" y="1371689"/>
          <a:ext cx="715312" cy="3012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F03758-3671-45CF-8C6A-27823503CA07}" type="TxLink">
            <a:rPr lang="en-US" sz="1500" b="1" i="0" u="none" strike="noStrike">
              <a:solidFill>
                <a:srgbClr val="000000"/>
              </a:solidFill>
              <a:latin typeface="Calibri"/>
              <a:ea typeface="Calibri"/>
              <a:cs typeface="Calibri"/>
            </a:rPr>
            <a:pPr algn="ctr"/>
            <a:t>58,336</a:t>
          </a:fld>
          <a:endParaRPr lang="en-IN" sz="1500" b="1"/>
        </a:p>
      </xdr:txBody>
    </xdr:sp>
    <xdr:clientData/>
  </xdr:twoCellAnchor>
  <xdr:twoCellAnchor>
    <xdr:from>
      <xdr:col>12</xdr:col>
      <xdr:colOff>243582</xdr:colOff>
      <xdr:row>7</xdr:row>
      <xdr:rowOff>96750</xdr:rowOff>
    </xdr:from>
    <xdr:to>
      <xdr:col>13</xdr:col>
      <xdr:colOff>595080</xdr:colOff>
      <xdr:row>8</xdr:row>
      <xdr:rowOff>183837</xdr:rowOff>
    </xdr:to>
    <xdr:sp macro="" textlink="'KPI''s'!C8">
      <xdr:nvSpPr>
        <xdr:cNvPr id="10" name="TextBox 9">
          <a:extLst>
            <a:ext uri="{FF2B5EF4-FFF2-40B4-BE49-F238E27FC236}">
              <a16:creationId xmlns:a16="http://schemas.microsoft.com/office/drawing/2014/main" id="{C1E84C45-5F50-4FE0-A500-64C5F4255DE2}"/>
            </a:ext>
          </a:extLst>
        </xdr:cNvPr>
        <xdr:cNvSpPr txBox="1"/>
      </xdr:nvSpPr>
      <xdr:spPr>
        <a:xfrm>
          <a:off x="8081297" y="1417550"/>
          <a:ext cx="1004640" cy="275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8463C9-8A91-4684-ADC4-2D780CC176D7}" type="TxLink">
            <a:rPr lang="en-US" sz="1500" b="1" i="0" u="none" strike="noStrike">
              <a:solidFill>
                <a:srgbClr val="000000"/>
              </a:solidFill>
              <a:latin typeface="Calibri"/>
              <a:ea typeface="Calibri"/>
              <a:cs typeface="Calibri"/>
            </a:rPr>
            <a:pPr algn="ctr"/>
            <a:t>$332.7K</a:t>
          </a:fld>
          <a:endParaRPr lang="en-IN" sz="1500" b="1"/>
        </a:p>
      </xdr:txBody>
    </xdr:sp>
    <xdr:clientData/>
  </xdr:twoCellAnchor>
  <xdr:twoCellAnchor>
    <xdr:from>
      <xdr:col>14</xdr:col>
      <xdr:colOff>509858</xdr:colOff>
      <xdr:row>7</xdr:row>
      <xdr:rowOff>84239</xdr:rowOff>
    </xdr:from>
    <xdr:to>
      <xdr:col>15</xdr:col>
      <xdr:colOff>430904</xdr:colOff>
      <xdr:row>8</xdr:row>
      <xdr:rowOff>150079</xdr:rowOff>
    </xdr:to>
    <xdr:sp macro="" textlink="'KPI''s'!D13">
      <xdr:nvSpPr>
        <xdr:cNvPr id="12" name="TextBox 11">
          <a:extLst>
            <a:ext uri="{FF2B5EF4-FFF2-40B4-BE49-F238E27FC236}">
              <a16:creationId xmlns:a16="http://schemas.microsoft.com/office/drawing/2014/main" id="{B95992F1-D149-4BCE-996A-4160756211C7}"/>
            </a:ext>
          </a:extLst>
        </xdr:cNvPr>
        <xdr:cNvSpPr txBox="1"/>
      </xdr:nvSpPr>
      <xdr:spPr>
        <a:xfrm>
          <a:off x="9653858" y="1405039"/>
          <a:ext cx="574189" cy="254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454A89-B9FD-4783-8FD1-7DCCA2B4A08C}" type="TxLink">
            <a:rPr lang="en-US" sz="1500" b="1" i="0" u="none" strike="noStrike">
              <a:solidFill>
                <a:srgbClr val="000000"/>
              </a:solidFill>
              <a:latin typeface="Calibri"/>
              <a:ea typeface="Calibri"/>
              <a:cs typeface="Calibri"/>
            </a:rPr>
            <a:pPr algn="ctr"/>
            <a:t>465</a:t>
          </a:fld>
          <a:endParaRPr lang="en-IN" sz="1500" b="1"/>
        </a:p>
      </xdr:txBody>
    </xdr:sp>
    <xdr:clientData/>
  </xdr:twoCellAnchor>
  <xdr:twoCellAnchor>
    <xdr:from>
      <xdr:col>17</xdr:col>
      <xdr:colOff>11363</xdr:colOff>
      <xdr:row>7</xdr:row>
      <xdr:rowOff>81866</xdr:rowOff>
    </xdr:from>
    <xdr:to>
      <xdr:col>17</xdr:col>
      <xdr:colOff>584829</xdr:colOff>
      <xdr:row>8</xdr:row>
      <xdr:rowOff>153211</xdr:rowOff>
    </xdr:to>
    <xdr:sp macro="" textlink="'KPI''s'!D14">
      <xdr:nvSpPr>
        <xdr:cNvPr id="13" name="TextBox 12">
          <a:extLst>
            <a:ext uri="{FF2B5EF4-FFF2-40B4-BE49-F238E27FC236}">
              <a16:creationId xmlns:a16="http://schemas.microsoft.com/office/drawing/2014/main" id="{2E018ADF-D91C-4830-9442-53E9132B270D}"/>
            </a:ext>
          </a:extLst>
        </xdr:cNvPr>
        <xdr:cNvSpPr txBox="1"/>
      </xdr:nvSpPr>
      <xdr:spPr>
        <a:xfrm>
          <a:off x="11114791" y="1402666"/>
          <a:ext cx="573466" cy="26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0D53791-3202-411D-8BDF-882AAE732CFD}" type="TxLink">
            <a:rPr lang="en-US" sz="1500" b="1" i="0" u="none" strike="noStrike">
              <a:solidFill>
                <a:srgbClr val="000000"/>
              </a:solidFill>
              <a:latin typeface="Calibri"/>
              <a:ea typeface="Calibri"/>
              <a:cs typeface="Calibri"/>
            </a:rPr>
            <a:pPr algn="ctr"/>
            <a:t>47%</a:t>
          </a:fld>
          <a:endParaRPr lang="en-IN" sz="1500" b="1"/>
        </a:p>
      </xdr:txBody>
    </xdr:sp>
    <xdr:clientData/>
  </xdr:twoCellAnchor>
  <xdr:twoCellAnchor>
    <xdr:from>
      <xdr:col>18</xdr:col>
      <xdr:colOff>634985</xdr:colOff>
      <xdr:row>7</xdr:row>
      <xdr:rowOff>161342</xdr:rowOff>
    </xdr:from>
    <xdr:to>
      <xdr:col>20</xdr:col>
      <xdr:colOff>35293</xdr:colOff>
      <xdr:row>9</xdr:row>
      <xdr:rowOff>72610</xdr:rowOff>
    </xdr:to>
    <xdr:sp macro="" textlink="'KPI''s'!E8">
      <xdr:nvSpPr>
        <xdr:cNvPr id="14" name="TextBox 13">
          <a:extLst>
            <a:ext uri="{FF2B5EF4-FFF2-40B4-BE49-F238E27FC236}">
              <a16:creationId xmlns:a16="http://schemas.microsoft.com/office/drawing/2014/main" id="{68B43957-ABC8-479C-BCE8-3F6A14BAE548}"/>
            </a:ext>
          </a:extLst>
        </xdr:cNvPr>
        <xdr:cNvSpPr txBox="1"/>
      </xdr:nvSpPr>
      <xdr:spPr>
        <a:xfrm>
          <a:off x="12419955" y="1431342"/>
          <a:ext cx="733412" cy="274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784D83-DF13-483D-8C81-7334E0451670}" type="TxLink">
            <a:rPr lang="en-US" sz="1500" b="1" i="0" u="none" strike="noStrike">
              <a:solidFill>
                <a:srgbClr val="000000"/>
              </a:solidFill>
              <a:latin typeface="Calibri"/>
              <a:ea typeface="Calibri"/>
              <a:cs typeface="Calibri"/>
            </a:rPr>
            <a:pPr algn="ctr"/>
            <a:t>50.15</a:t>
          </a:fld>
          <a:endParaRPr lang="en-IN" sz="1500" b="1"/>
        </a:p>
      </xdr:txBody>
    </xdr:sp>
    <xdr:clientData/>
  </xdr:twoCellAnchor>
  <xdr:twoCellAnchor>
    <xdr:from>
      <xdr:col>10</xdr:col>
      <xdr:colOff>239971</xdr:colOff>
      <xdr:row>11</xdr:row>
      <xdr:rowOff>22467</xdr:rowOff>
    </xdr:from>
    <xdr:to>
      <xdr:col>15</xdr:col>
      <xdr:colOff>498277</xdr:colOff>
      <xdr:row>21</xdr:row>
      <xdr:rowOff>116783</xdr:rowOff>
    </xdr:to>
    <xdr:graphicFrame macro="">
      <xdr:nvGraphicFramePr>
        <xdr:cNvPr id="15" name="Chart 14">
          <a:extLst>
            <a:ext uri="{FF2B5EF4-FFF2-40B4-BE49-F238E27FC236}">
              <a16:creationId xmlns:a16="http://schemas.microsoft.com/office/drawing/2014/main" id="{A42B88D6-F3DB-426C-9EFF-8F659A1D8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495064</xdr:colOff>
      <xdr:row>6</xdr:row>
      <xdr:rowOff>125264</xdr:rowOff>
    </xdr:from>
    <xdr:to>
      <xdr:col>4</xdr:col>
      <xdr:colOff>471398</xdr:colOff>
      <xdr:row>8</xdr:row>
      <xdr:rowOff>101601</xdr:rowOff>
    </xdr:to>
    <xdr:sp macro="" textlink="">
      <xdr:nvSpPr>
        <xdr:cNvPr id="46" name="TextBox 45">
          <a:extLst>
            <a:ext uri="{FF2B5EF4-FFF2-40B4-BE49-F238E27FC236}">
              <a16:creationId xmlns:a16="http://schemas.microsoft.com/office/drawing/2014/main" id="{D6E50D87-BD48-F6C3-81B8-CE2281F38E93}"/>
            </a:ext>
          </a:extLst>
        </xdr:cNvPr>
        <xdr:cNvSpPr txBox="1"/>
      </xdr:nvSpPr>
      <xdr:spPr>
        <a:xfrm>
          <a:off x="1801349" y="1257379"/>
          <a:ext cx="1282621" cy="353707"/>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solidFill>
                <a:schemeClr val="bg1"/>
              </a:solidFill>
            </a:rPr>
            <a:t>FILTERS</a:t>
          </a:r>
        </a:p>
      </xdr:txBody>
    </xdr:sp>
    <xdr:clientData/>
  </xdr:twoCellAnchor>
  <xdr:twoCellAnchor>
    <xdr:from>
      <xdr:col>11</xdr:col>
      <xdr:colOff>232223</xdr:colOff>
      <xdr:row>10</xdr:row>
      <xdr:rowOff>7257</xdr:rowOff>
    </xdr:from>
    <xdr:to>
      <xdr:col>14</xdr:col>
      <xdr:colOff>566053</xdr:colOff>
      <xdr:row>11</xdr:row>
      <xdr:rowOff>94343</xdr:rowOff>
    </xdr:to>
    <xdr:sp macro="" textlink="">
      <xdr:nvSpPr>
        <xdr:cNvPr id="53" name="TextBox 52">
          <a:extLst>
            <a:ext uri="{FF2B5EF4-FFF2-40B4-BE49-F238E27FC236}">
              <a16:creationId xmlns:a16="http://schemas.microsoft.com/office/drawing/2014/main" id="{BF363C71-9C30-4AB1-BC66-EEC3973ADD21}"/>
            </a:ext>
          </a:extLst>
        </xdr:cNvPr>
        <xdr:cNvSpPr txBox="1"/>
      </xdr:nvSpPr>
      <xdr:spPr>
        <a:xfrm>
          <a:off x="7416795" y="1894114"/>
          <a:ext cx="2293258" cy="275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50000"/>
                </a:schemeClr>
              </a:solidFill>
              <a:latin typeface="Lato black" panose="020F0502020204030203" pitchFamily="34" charset="0"/>
              <a:ea typeface="Lato black" panose="020F0502020204030203" pitchFamily="34" charset="0"/>
              <a:cs typeface="Lato black" panose="020F0502020204030203" pitchFamily="34" charset="0"/>
            </a:rPr>
            <a:t>REVENUE BY CATEGORY</a:t>
          </a:r>
        </a:p>
      </xdr:txBody>
    </xdr:sp>
    <xdr:clientData/>
  </xdr:twoCellAnchor>
  <xdr:twoCellAnchor>
    <xdr:from>
      <xdr:col>16</xdr:col>
      <xdr:colOff>14993</xdr:colOff>
      <xdr:row>9</xdr:row>
      <xdr:rowOff>130628</xdr:rowOff>
    </xdr:from>
    <xdr:to>
      <xdr:col>20</xdr:col>
      <xdr:colOff>463504</xdr:colOff>
      <xdr:row>11</xdr:row>
      <xdr:rowOff>43542</xdr:rowOff>
    </xdr:to>
    <xdr:sp macro="" textlink="">
      <xdr:nvSpPr>
        <xdr:cNvPr id="54" name="TextBox 53">
          <a:extLst>
            <a:ext uri="{FF2B5EF4-FFF2-40B4-BE49-F238E27FC236}">
              <a16:creationId xmlns:a16="http://schemas.microsoft.com/office/drawing/2014/main" id="{15B5A79E-A12D-4C46-BC47-347C43CC2EE5}"/>
            </a:ext>
          </a:extLst>
        </xdr:cNvPr>
        <xdr:cNvSpPr txBox="1"/>
      </xdr:nvSpPr>
      <xdr:spPr>
        <a:xfrm>
          <a:off x="10465278" y="1828800"/>
          <a:ext cx="3090111" cy="290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50000"/>
                </a:schemeClr>
              </a:solidFill>
              <a:latin typeface="Lato black" panose="020F0502020204030203" pitchFamily="34" charset="0"/>
              <a:ea typeface="Lato black" panose="020F0502020204030203" pitchFamily="34" charset="0"/>
              <a:cs typeface="Lato black" panose="020F0502020204030203" pitchFamily="34" charset="0"/>
            </a:rPr>
            <a:t>INVENTORY</a:t>
          </a:r>
          <a:r>
            <a:rPr lang="en-IN" sz="1200" baseline="0">
              <a:solidFill>
                <a:schemeClr val="accent5">
                  <a:lumMod val="50000"/>
                </a:schemeClr>
              </a:solidFill>
              <a:latin typeface="Lato black" panose="020F0502020204030203" pitchFamily="34" charset="0"/>
              <a:ea typeface="Lato black" panose="020F0502020204030203" pitchFamily="34" charset="0"/>
              <a:cs typeface="Lato black" panose="020F0502020204030203" pitchFamily="34" charset="0"/>
            </a:rPr>
            <a:t> VALUE BY CATEGORY</a:t>
          </a:r>
          <a:endParaRPr lang="en-IN" sz="1200">
            <a:solidFill>
              <a:schemeClr val="accent5">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224971</xdr:colOff>
      <xdr:row>22</xdr:row>
      <xdr:rowOff>94342</xdr:rowOff>
    </xdr:from>
    <xdr:to>
      <xdr:col>9</xdr:col>
      <xdr:colOff>573315</xdr:colOff>
      <xdr:row>24</xdr:row>
      <xdr:rowOff>87085</xdr:rowOff>
    </xdr:to>
    <xdr:sp macro="" textlink="">
      <xdr:nvSpPr>
        <xdr:cNvPr id="55" name="TextBox 54">
          <a:extLst>
            <a:ext uri="{FF2B5EF4-FFF2-40B4-BE49-F238E27FC236}">
              <a16:creationId xmlns:a16="http://schemas.microsoft.com/office/drawing/2014/main" id="{5E367EF8-6123-493D-9240-E930F1DA06B5}"/>
            </a:ext>
          </a:extLst>
        </xdr:cNvPr>
        <xdr:cNvSpPr txBox="1"/>
      </xdr:nvSpPr>
      <xdr:spPr>
        <a:xfrm>
          <a:off x="3490686" y="4245427"/>
          <a:ext cx="2960914"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50000"/>
                </a:schemeClr>
              </a:solidFill>
              <a:latin typeface="Lato black" panose="020F0502020204030203" pitchFamily="34" charset="0"/>
              <a:ea typeface="Lato black" panose="020F0502020204030203" pitchFamily="34" charset="0"/>
              <a:cs typeface="Lato black" panose="020F0502020204030203" pitchFamily="34" charset="0"/>
            </a:rPr>
            <a:t>TOP</a:t>
          </a:r>
          <a:r>
            <a:rPr lang="en-IN" sz="1200" baseline="0">
              <a:solidFill>
                <a:schemeClr val="accent5">
                  <a:lumMod val="50000"/>
                </a:schemeClr>
              </a:solidFill>
              <a:latin typeface="Lato black" panose="020F0502020204030203" pitchFamily="34" charset="0"/>
              <a:ea typeface="Lato black" panose="020F0502020204030203" pitchFamily="34" charset="0"/>
              <a:cs typeface="Lato black" panose="020F0502020204030203" pitchFamily="34" charset="0"/>
            </a:rPr>
            <a:t> 10 PRODUCTS BY REVENUE</a:t>
          </a:r>
          <a:endParaRPr lang="en-IN" sz="1200">
            <a:solidFill>
              <a:schemeClr val="accent5">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16</xdr:col>
      <xdr:colOff>233276</xdr:colOff>
      <xdr:row>22</xdr:row>
      <xdr:rowOff>159657</xdr:rowOff>
    </xdr:from>
    <xdr:to>
      <xdr:col>20</xdr:col>
      <xdr:colOff>335638</xdr:colOff>
      <xdr:row>24</xdr:row>
      <xdr:rowOff>145143</xdr:rowOff>
    </xdr:to>
    <xdr:sp macro="" textlink="">
      <xdr:nvSpPr>
        <xdr:cNvPr id="56" name="TextBox 55">
          <a:extLst>
            <a:ext uri="{FF2B5EF4-FFF2-40B4-BE49-F238E27FC236}">
              <a16:creationId xmlns:a16="http://schemas.microsoft.com/office/drawing/2014/main" id="{0BFD6960-D324-416B-9857-A99EECB9D49D}"/>
            </a:ext>
          </a:extLst>
        </xdr:cNvPr>
        <xdr:cNvSpPr txBox="1"/>
      </xdr:nvSpPr>
      <xdr:spPr>
        <a:xfrm>
          <a:off x="10660644" y="4256123"/>
          <a:ext cx="2737851" cy="357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aseline="0">
              <a:solidFill>
                <a:schemeClr val="accent5">
                  <a:lumMod val="50000"/>
                </a:schemeClr>
              </a:solidFill>
              <a:latin typeface="Lato black" panose="020F0502020204030203" pitchFamily="34" charset="0"/>
              <a:ea typeface="Lato black" panose="020F0502020204030203" pitchFamily="34" charset="0"/>
              <a:cs typeface="Lato black" panose="020F0502020204030203" pitchFamily="34" charset="0"/>
            </a:rPr>
            <a:t>REORDER STATUS DISTRIBUTION </a:t>
          </a:r>
        </a:p>
      </xdr:txBody>
    </xdr:sp>
    <xdr:clientData/>
  </xdr:twoCellAnchor>
  <xdr:twoCellAnchor>
    <xdr:from>
      <xdr:col>10</xdr:col>
      <xdr:colOff>378704</xdr:colOff>
      <xdr:row>23</xdr:row>
      <xdr:rowOff>14514</xdr:rowOff>
    </xdr:from>
    <xdr:to>
      <xdr:col>15</xdr:col>
      <xdr:colOff>623347</xdr:colOff>
      <xdr:row>24</xdr:row>
      <xdr:rowOff>72572</xdr:rowOff>
    </xdr:to>
    <xdr:sp macro="" textlink="">
      <xdr:nvSpPr>
        <xdr:cNvPr id="57" name="TextBox 56">
          <a:extLst>
            <a:ext uri="{FF2B5EF4-FFF2-40B4-BE49-F238E27FC236}">
              <a16:creationId xmlns:a16="http://schemas.microsoft.com/office/drawing/2014/main" id="{A1051448-7B51-4BFC-A649-9CA5B7A3903D}"/>
            </a:ext>
          </a:extLst>
        </xdr:cNvPr>
        <xdr:cNvSpPr txBox="1"/>
      </xdr:nvSpPr>
      <xdr:spPr>
        <a:xfrm>
          <a:off x="6895809" y="4297184"/>
          <a:ext cx="3503196" cy="244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50000"/>
                </a:schemeClr>
              </a:solidFill>
              <a:latin typeface="Lato black" panose="020F0502020204030203" pitchFamily="34" charset="0"/>
              <a:ea typeface="Lato black" panose="020F0502020204030203" pitchFamily="34" charset="0"/>
              <a:cs typeface="Lato black" panose="020F0502020204030203" pitchFamily="34" charset="0"/>
            </a:rPr>
            <a:t>INVENTORY</a:t>
          </a:r>
          <a:r>
            <a:rPr lang="en-IN" sz="1200" baseline="0">
              <a:solidFill>
                <a:schemeClr val="accent5">
                  <a:lumMod val="50000"/>
                </a:schemeClr>
              </a:solidFill>
              <a:latin typeface="Lato black" panose="020F0502020204030203" pitchFamily="34" charset="0"/>
              <a:ea typeface="Lato black" panose="020F0502020204030203" pitchFamily="34" charset="0"/>
              <a:cs typeface="Lato black" panose="020F0502020204030203" pitchFamily="34" charset="0"/>
            </a:rPr>
            <a:t> TURNOVER RATE BY CATEGORY</a:t>
          </a:r>
        </a:p>
      </xdr:txBody>
    </xdr:sp>
    <xdr:clientData/>
  </xdr:twoCellAnchor>
  <xdr:twoCellAnchor>
    <xdr:from>
      <xdr:col>5</xdr:col>
      <xdr:colOff>370108</xdr:colOff>
      <xdr:row>10</xdr:row>
      <xdr:rowOff>36286</xdr:rowOff>
    </xdr:from>
    <xdr:to>
      <xdr:col>9</xdr:col>
      <xdr:colOff>50796</xdr:colOff>
      <xdr:row>11</xdr:row>
      <xdr:rowOff>123372</xdr:rowOff>
    </xdr:to>
    <xdr:sp macro="" textlink="">
      <xdr:nvSpPr>
        <xdr:cNvPr id="58" name="TextBox 57">
          <a:extLst>
            <a:ext uri="{FF2B5EF4-FFF2-40B4-BE49-F238E27FC236}">
              <a16:creationId xmlns:a16="http://schemas.microsoft.com/office/drawing/2014/main" id="{48CE74DD-F32A-4B33-ADD1-20F0E9B2EC31}"/>
            </a:ext>
          </a:extLst>
        </xdr:cNvPr>
        <xdr:cNvSpPr txBox="1"/>
      </xdr:nvSpPr>
      <xdr:spPr>
        <a:xfrm>
          <a:off x="3635823" y="1923143"/>
          <a:ext cx="2293258" cy="275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50000"/>
                </a:schemeClr>
              </a:solidFill>
              <a:latin typeface="Lato black" panose="020F0502020204030203" pitchFamily="34" charset="0"/>
              <a:ea typeface="Lato black" panose="020F0502020204030203" pitchFamily="34" charset="0"/>
              <a:cs typeface="Lato black" panose="020F0502020204030203" pitchFamily="34" charset="0"/>
            </a:rPr>
            <a:t>MONTHLY</a:t>
          </a:r>
          <a:r>
            <a:rPr lang="en-IN" sz="1200" baseline="0">
              <a:solidFill>
                <a:schemeClr val="accent5">
                  <a:lumMod val="50000"/>
                </a:schemeClr>
              </a:solidFill>
              <a:latin typeface="Lato black" panose="020F0502020204030203" pitchFamily="34" charset="0"/>
              <a:ea typeface="Lato black" panose="020F0502020204030203" pitchFamily="34" charset="0"/>
              <a:cs typeface="Lato black" panose="020F0502020204030203" pitchFamily="34" charset="0"/>
            </a:rPr>
            <a:t> REVENUE TREND</a:t>
          </a:r>
          <a:endParaRPr lang="en-IN" sz="1200">
            <a:solidFill>
              <a:schemeClr val="accent5">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editAs="oneCell">
    <xdr:from>
      <xdr:col>18</xdr:col>
      <xdr:colOff>174171</xdr:colOff>
      <xdr:row>26</xdr:row>
      <xdr:rowOff>174172</xdr:rowOff>
    </xdr:from>
    <xdr:to>
      <xdr:col>18</xdr:col>
      <xdr:colOff>477380</xdr:colOff>
      <xdr:row>29</xdr:row>
      <xdr:rowOff>4486</xdr:rowOff>
    </xdr:to>
    <xdr:pic>
      <xdr:nvPicPr>
        <xdr:cNvPr id="59" name="Picture 58" descr="1,635 Reorder Icon Royalty-Free Images, Stock Photos &amp; Pictures |  Shutterstock">
          <a:extLst>
            <a:ext uri="{FF2B5EF4-FFF2-40B4-BE49-F238E27FC236}">
              <a16:creationId xmlns:a16="http://schemas.microsoft.com/office/drawing/2014/main" id="{94B9C218-095B-4DE7-86D4-7D0599DA9644}"/>
            </a:ext>
          </a:extLst>
        </xdr:cNvPr>
        <xdr:cNvPicPr>
          <a:picLocks noChangeAspect="1" noChangeArrowheads="1"/>
        </xdr:cNvPicPr>
      </xdr:nvPicPr>
      <xdr:blipFill rotWithShape="1">
        <a:blip xmlns:r="http://schemas.openxmlformats.org/officeDocument/2006/relationships" r:embed="rId7" cstate="print">
          <a:duotone>
            <a:schemeClr val="accent4">
              <a:shade val="45000"/>
              <a:satMod val="135000"/>
            </a:schemeClr>
            <a:prstClr val="white"/>
          </a:duotone>
          <a:extLst>
            <a:ext uri="{28A0092B-C50C-407E-A947-70E740481C1C}">
              <a14:useLocalDpi xmlns:a14="http://schemas.microsoft.com/office/drawing/2010/main" val="0"/>
            </a:ext>
          </a:extLst>
        </a:blip>
        <a:srcRect l="11555" t="9091" r="10814" b="15152"/>
        <a:stretch>
          <a:fillRect/>
        </a:stretch>
      </xdr:blipFill>
      <xdr:spPr bwMode="auto">
        <a:xfrm>
          <a:off x="11930743" y="5080000"/>
          <a:ext cx="303209" cy="396371"/>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143234</xdr:colOff>
      <xdr:row>25</xdr:row>
      <xdr:rowOff>28648</xdr:rowOff>
    </xdr:from>
    <xdr:to>
      <xdr:col>20</xdr:col>
      <xdr:colOff>384342</xdr:colOff>
      <xdr:row>28</xdr:row>
      <xdr:rowOff>52235</xdr:rowOff>
    </xdr:to>
    <xdr:sp macro="" textlink="">
      <xdr:nvSpPr>
        <xdr:cNvPr id="60" name="TextBox 59">
          <a:extLst>
            <a:ext uri="{FF2B5EF4-FFF2-40B4-BE49-F238E27FC236}">
              <a16:creationId xmlns:a16="http://schemas.microsoft.com/office/drawing/2014/main" id="{B6653E88-6D83-489B-99D9-33F0F9E17539}"/>
            </a:ext>
          </a:extLst>
        </xdr:cNvPr>
        <xdr:cNvSpPr txBox="1"/>
      </xdr:nvSpPr>
      <xdr:spPr>
        <a:xfrm>
          <a:off x="12554380" y="4683723"/>
          <a:ext cx="892819" cy="582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rgbClr val="FF0000"/>
              </a:solidFill>
              <a:latin typeface="Lato Black" panose="020F0502020204030203" pitchFamily="34" charset="0"/>
              <a:ea typeface="Lato Black" panose="020F0502020204030203" pitchFamily="34" charset="0"/>
              <a:cs typeface="Lato Black" panose="020F0502020204030203" pitchFamily="34" charset="0"/>
            </a:rPr>
            <a:t>Reorder</a:t>
          </a:r>
        </a:p>
        <a:p>
          <a:pPr algn="ctr"/>
          <a:r>
            <a:rPr lang="en-IN" sz="1100">
              <a:solidFill>
                <a:srgbClr val="FF0000"/>
              </a:solidFill>
              <a:latin typeface="Lato Black" panose="020F0502020204030203" pitchFamily="34" charset="0"/>
              <a:ea typeface="Lato Black" panose="020F0502020204030203" pitchFamily="34" charset="0"/>
              <a:cs typeface="Lato Black" panose="020F0502020204030203" pitchFamily="34" charset="0"/>
            </a:rPr>
            <a:t>Required</a:t>
          </a:r>
        </a:p>
      </xdr:txBody>
    </xdr:sp>
    <xdr:clientData/>
  </xdr:twoCellAnchor>
  <xdr:twoCellAnchor>
    <xdr:from>
      <xdr:col>16</xdr:col>
      <xdr:colOff>508001</xdr:colOff>
      <xdr:row>27</xdr:row>
      <xdr:rowOff>130627</xdr:rowOff>
    </xdr:from>
    <xdr:to>
      <xdr:col>17</xdr:col>
      <xdr:colOff>333830</xdr:colOff>
      <xdr:row>29</xdr:row>
      <xdr:rowOff>29029</xdr:rowOff>
    </xdr:to>
    <xdr:sp macro="" textlink="'KPI''s'!E13">
      <xdr:nvSpPr>
        <xdr:cNvPr id="61" name="TextBox 60">
          <a:extLst>
            <a:ext uri="{FF2B5EF4-FFF2-40B4-BE49-F238E27FC236}">
              <a16:creationId xmlns:a16="http://schemas.microsoft.com/office/drawing/2014/main" id="{348B27CC-8E5B-D8DA-A68D-10821019EC49}"/>
            </a:ext>
          </a:extLst>
        </xdr:cNvPr>
        <xdr:cNvSpPr txBox="1"/>
      </xdr:nvSpPr>
      <xdr:spPr>
        <a:xfrm>
          <a:off x="10958286" y="5225142"/>
          <a:ext cx="478972" cy="2757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09A61E-66D3-492B-9FBB-38D676C6F7CA}" type="TxLink">
            <a:rPr lang="en-US" sz="1200" b="1" i="0" u="none" strike="noStrike">
              <a:solidFill>
                <a:srgbClr val="000000"/>
              </a:solidFill>
              <a:latin typeface="Calibri"/>
              <a:ea typeface="Calibri"/>
              <a:cs typeface="Calibri"/>
            </a:rPr>
            <a:pPr algn="ctr"/>
            <a:t>525</a:t>
          </a:fld>
          <a:endParaRPr lang="en-IN" sz="1200" b="1"/>
        </a:p>
      </xdr:txBody>
    </xdr:sp>
    <xdr:clientData/>
  </xdr:twoCellAnchor>
  <xdr:twoCellAnchor>
    <xdr:from>
      <xdr:col>19</xdr:col>
      <xdr:colOff>413658</xdr:colOff>
      <xdr:row>27</xdr:row>
      <xdr:rowOff>108856</xdr:rowOff>
    </xdr:from>
    <xdr:to>
      <xdr:col>20</xdr:col>
      <xdr:colOff>239488</xdr:colOff>
      <xdr:row>29</xdr:row>
      <xdr:rowOff>7258</xdr:rowOff>
    </xdr:to>
    <xdr:sp macro="" textlink="'KPI''s'!D13">
      <xdr:nvSpPr>
        <xdr:cNvPr id="62" name="TextBox 61">
          <a:extLst>
            <a:ext uri="{FF2B5EF4-FFF2-40B4-BE49-F238E27FC236}">
              <a16:creationId xmlns:a16="http://schemas.microsoft.com/office/drawing/2014/main" id="{2FE451FB-F83E-4679-BBD0-177E3C137830}"/>
            </a:ext>
          </a:extLst>
        </xdr:cNvPr>
        <xdr:cNvSpPr txBox="1"/>
      </xdr:nvSpPr>
      <xdr:spPr>
        <a:xfrm>
          <a:off x="12852401" y="5203371"/>
          <a:ext cx="478972" cy="2757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B7C8DB8D-1D9B-449D-BDCA-6B1785E86130}" type="TxLink">
            <a:rPr lang="en-US" sz="1200" b="1" i="0" u="none" strike="noStrike">
              <a:solidFill>
                <a:srgbClr val="000000"/>
              </a:solidFill>
              <a:latin typeface="Calibri"/>
              <a:ea typeface="Calibri"/>
              <a:cs typeface="Calibri"/>
            </a:rPr>
            <a:pPr/>
            <a:t>465</a:t>
          </a:fld>
          <a:endParaRPr lang="en-IN" sz="1200" b="1"/>
        </a:p>
      </xdr:txBody>
    </xdr:sp>
    <xdr:clientData/>
  </xdr:twoCellAnchor>
  <xdr:twoCellAnchor>
    <xdr:from>
      <xdr:col>16</xdr:col>
      <xdr:colOff>399141</xdr:colOff>
      <xdr:row>28</xdr:row>
      <xdr:rowOff>94343</xdr:rowOff>
    </xdr:from>
    <xdr:to>
      <xdr:col>17</xdr:col>
      <xdr:colOff>471714</xdr:colOff>
      <xdr:row>30</xdr:row>
      <xdr:rowOff>43543</xdr:rowOff>
    </xdr:to>
    <xdr:sp macro="" textlink="'KPI''s'!E14">
      <xdr:nvSpPr>
        <xdr:cNvPr id="63" name="TextBox 62">
          <a:extLst>
            <a:ext uri="{FF2B5EF4-FFF2-40B4-BE49-F238E27FC236}">
              <a16:creationId xmlns:a16="http://schemas.microsoft.com/office/drawing/2014/main" id="{179AA373-F6E8-49B8-9BA7-0F7285A82A0C}"/>
            </a:ext>
          </a:extLst>
        </xdr:cNvPr>
        <xdr:cNvSpPr txBox="1"/>
      </xdr:nvSpPr>
      <xdr:spPr>
        <a:xfrm>
          <a:off x="10826509" y="5308027"/>
          <a:ext cx="724284" cy="321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50" b="0" i="0" u="none" strike="noStrike">
              <a:solidFill>
                <a:srgbClr val="000000"/>
              </a:solidFill>
              <a:latin typeface="+mn-lt"/>
              <a:ea typeface="Calibri"/>
              <a:cs typeface="Calibri"/>
            </a:rPr>
            <a:t>(</a:t>
          </a:r>
          <a:fld id="{FDAC49ED-6520-4001-BB04-3CA573677376}" type="TxLink">
            <a:rPr lang="en-US" sz="1050" b="0" i="0" u="none" strike="noStrike">
              <a:solidFill>
                <a:srgbClr val="000000"/>
              </a:solidFill>
              <a:latin typeface="+mn-lt"/>
              <a:ea typeface="Calibri"/>
              <a:cs typeface="Calibri"/>
            </a:rPr>
            <a:pPr marL="0" indent="0" algn="ctr"/>
            <a:t>53%</a:t>
          </a:fld>
          <a:r>
            <a:rPr lang="en-US" sz="1050" b="0" i="0" u="none" strike="noStrike">
              <a:solidFill>
                <a:srgbClr val="000000"/>
              </a:solidFill>
              <a:latin typeface="+mn-lt"/>
              <a:ea typeface="Calibri"/>
              <a:cs typeface="Calibri"/>
            </a:rPr>
            <a:t>)</a:t>
          </a:r>
          <a:endParaRPr lang="en-IN" sz="1050" b="0" i="0" u="none" strike="noStrike">
            <a:solidFill>
              <a:srgbClr val="000000"/>
            </a:solidFill>
            <a:latin typeface="+mn-lt"/>
            <a:ea typeface="Calibri"/>
            <a:cs typeface="Calibri"/>
          </a:endParaRPr>
        </a:p>
      </xdr:txBody>
    </xdr:sp>
    <xdr:clientData/>
  </xdr:twoCellAnchor>
  <xdr:twoCellAnchor>
    <xdr:from>
      <xdr:col>19</xdr:col>
      <xdr:colOff>355599</xdr:colOff>
      <xdr:row>28</xdr:row>
      <xdr:rowOff>87085</xdr:rowOff>
    </xdr:from>
    <xdr:to>
      <xdr:col>20</xdr:col>
      <xdr:colOff>261259</xdr:colOff>
      <xdr:row>29</xdr:row>
      <xdr:rowOff>181429</xdr:rowOff>
    </xdr:to>
    <xdr:sp macro="" textlink="'KPI''s'!D14">
      <xdr:nvSpPr>
        <xdr:cNvPr id="64" name="TextBox 63">
          <a:extLst>
            <a:ext uri="{FF2B5EF4-FFF2-40B4-BE49-F238E27FC236}">
              <a16:creationId xmlns:a16="http://schemas.microsoft.com/office/drawing/2014/main" id="{B1A2CDAC-969C-444E-806F-51D12B712AEB}"/>
            </a:ext>
          </a:extLst>
        </xdr:cNvPr>
        <xdr:cNvSpPr txBox="1"/>
      </xdr:nvSpPr>
      <xdr:spPr>
        <a:xfrm>
          <a:off x="12766745" y="5300769"/>
          <a:ext cx="557371" cy="280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50" b="0" i="0" u="none" strike="noStrike">
              <a:solidFill>
                <a:srgbClr val="000000"/>
              </a:solidFill>
              <a:latin typeface="+mn-lt"/>
              <a:ea typeface="Calibri"/>
              <a:cs typeface="Calibri"/>
            </a:rPr>
            <a:t>(</a:t>
          </a:r>
          <a:fld id="{88BBC401-E5F4-4041-8A9C-B4D659E58BB3}" type="TxLink">
            <a:rPr lang="en-US" sz="1050" b="0" i="0" u="none" strike="noStrike">
              <a:solidFill>
                <a:srgbClr val="000000"/>
              </a:solidFill>
              <a:latin typeface="+mn-lt"/>
              <a:ea typeface="Calibri"/>
              <a:cs typeface="Calibri"/>
            </a:rPr>
            <a:pPr marL="0" indent="0" algn="ctr"/>
            <a:t>47%</a:t>
          </a:fld>
          <a:r>
            <a:rPr lang="en-US" sz="1050" b="0" i="0" u="none" strike="noStrike">
              <a:solidFill>
                <a:srgbClr val="000000"/>
              </a:solidFill>
              <a:latin typeface="+mn-lt"/>
              <a:ea typeface="Calibri"/>
              <a:cs typeface="Calibri"/>
            </a:rPr>
            <a:t>)</a:t>
          </a:r>
          <a:endParaRPr lang="en-IN" sz="1050" b="0" i="0" u="none" strike="noStrike">
            <a:solidFill>
              <a:srgbClr val="000000"/>
            </a:solidFill>
            <a:latin typeface="+mn-lt"/>
            <a:ea typeface="Calibri"/>
            <a:cs typeface="Calibri"/>
          </a:endParaRPr>
        </a:p>
      </xdr:txBody>
    </xdr:sp>
    <xdr:clientData/>
  </xdr:twoCellAnchor>
  <xdr:twoCellAnchor editAs="oneCell">
    <xdr:from>
      <xdr:col>11</xdr:col>
      <xdr:colOff>613482</xdr:colOff>
      <xdr:row>7</xdr:row>
      <xdr:rowOff>108856</xdr:rowOff>
    </xdr:from>
    <xdr:to>
      <xdr:col>12</xdr:col>
      <xdr:colOff>327891</xdr:colOff>
      <xdr:row>8</xdr:row>
      <xdr:rowOff>159658</xdr:rowOff>
    </xdr:to>
    <xdr:pic>
      <xdr:nvPicPr>
        <xdr:cNvPr id="65" name="Picture 64" descr="Inventory icon png images | PNGWing">
          <a:extLst>
            <a:ext uri="{FF2B5EF4-FFF2-40B4-BE49-F238E27FC236}">
              <a16:creationId xmlns:a16="http://schemas.microsoft.com/office/drawing/2014/main" id="{5B19C541-B5D8-41C9-9F72-84B712137E3B}"/>
            </a:ext>
          </a:extLst>
        </xdr:cNvPr>
        <xdr:cNvPicPr>
          <a:picLocks noChangeAspect="1" noChangeArrowheads="1"/>
        </xdr:cNvPicPr>
      </xdr:nvPicPr>
      <xdr:blipFill>
        <a:blip xmlns:r="http://schemas.openxmlformats.org/officeDocument/2006/relationships" r:embed="rId8" cstate="print">
          <a:duotone>
            <a:srgbClr val="4472C4">
              <a:shade val="45000"/>
              <a:satMod val="135000"/>
            </a:srgbClr>
            <a:prstClr val="white"/>
          </a:duotone>
          <a:extLst>
            <a:ext uri="{BEBA8EAE-BF5A-486C-A8C5-ECC9F3942E4B}">
              <a14:imgProps xmlns:a14="http://schemas.microsoft.com/office/drawing/2010/main">
                <a14:imgLayer r:embed="rId9">
                  <a14:imgEffect>
                    <a14:brightnessContrast bright="20000" contrast="-40000"/>
                  </a14:imgEffect>
                </a14:imgLayer>
              </a14:imgProps>
            </a:ext>
            <a:ext uri="{28A0092B-C50C-407E-A947-70E740481C1C}">
              <a14:useLocalDpi xmlns:a14="http://schemas.microsoft.com/office/drawing/2010/main" val="0"/>
            </a:ext>
          </a:extLst>
        </a:blip>
        <a:srcRect/>
        <a:stretch>
          <a:fillRect/>
        </a:stretch>
      </xdr:blipFill>
      <xdr:spPr bwMode="auto">
        <a:xfrm>
          <a:off x="7798054" y="1429656"/>
          <a:ext cx="367552" cy="239487"/>
        </a:xfrm>
        <a:prstGeom prst="rect">
          <a:avLst/>
        </a:prstGeom>
        <a:solidFill>
          <a:schemeClr val="accent4">
            <a:lumMod val="20000"/>
            <a:lumOff val="80000"/>
          </a:schemeClr>
        </a:solidFill>
        <a:ln>
          <a:noFill/>
        </a:ln>
      </xdr:spPr>
    </xdr:pic>
    <xdr:clientData/>
  </xdr:twoCellAnchor>
  <xdr:twoCellAnchor editAs="oneCell">
    <xdr:from>
      <xdr:col>9</xdr:col>
      <xdr:colOff>417388</xdr:colOff>
      <xdr:row>7</xdr:row>
      <xdr:rowOff>108858</xdr:rowOff>
    </xdr:from>
    <xdr:to>
      <xdr:col>10</xdr:col>
      <xdr:colOff>106878</xdr:colOff>
      <xdr:row>9</xdr:row>
      <xdr:rowOff>2</xdr:rowOff>
    </xdr:to>
    <xdr:pic>
      <xdr:nvPicPr>
        <xdr:cNvPr id="66" name="Graphic 65" descr="Bar graph with upward trend with solid fill">
          <a:extLst>
            <a:ext uri="{FF2B5EF4-FFF2-40B4-BE49-F238E27FC236}">
              <a16:creationId xmlns:a16="http://schemas.microsoft.com/office/drawing/2014/main" id="{C015DBD1-4858-409A-AB36-8E83A3C1C24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295673" y="1429658"/>
          <a:ext cx="342633" cy="261257"/>
        </a:xfrm>
        <a:prstGeom prst="rect">
          <a:avLst/>
        </a:prstGeom>
      </xdr:spPr>
    </xdr:pic>
    <xdr:clientData/>
  </xdr:twoCellAnchor>
  <xdr:twoCellAnchor editAs="oneCell">
    <xdr:from>
      <xdr:col>14</xdr:col>
      <xdr:colOff>94346</xdr:colOff>
      <xdr:row>7</xdr:row>
      <xdr:rowOff>14516</xdr:rowOff>
    </xdr:from>
    <xdr:to>
      <xdr:col>14</xdr:col>
      <xdr:colOff>526346</xdr:colOff>
      <xdr:row>9</xdr:row>
      <xdr:rowOff>71466</xdr:rowOff>
    </xdr:to>
    <xdr:pic>
      <xdr:nvPicPr>
        <xdr:cNvPr id="67" name="Graphic 66" descr="Arrow circle with solid fill">
          <a:extLst>
            <a:ext uri="{FF2B5EF4-FFF2-40B4-BE49-F238E27FC236}">
              <a16:creationId xmlns:a16="http://schemas.microsoft.com/office/drawing/2014/main" id="{6720FD1B-2DA7-4754-87C0-0B87A857BD7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238346" y="1335316"/>
          <a:ext cx="432000" cy="434322"/>
        </a:xfrm>
        <a:prstGeom prst="rect">
          <a:avLst/>
        </a:prstGeom>
      </xdr:spPr>
    </xdr:pic>
    <xdr:clientData/>
  </xdr:twoCellAnchor>
  <xdr:twoCellAnchor editAs="oneCell">
    <xdr:from>
      <xdr:col>7</xdr:col>
      <xdr:colOff>166915</xdr:colOff>
      <xdr:row>7</xdr:row>
      <xdr:rowOff>101600</xdr:rowOff>
    </xdr:from>
    <xdr:to>
      <xdr:col>7</xdr:col>
      <xdr:colOff>637951</xdr:colOff>
      <xdr:row>8</xdr:row>
      <xdr:rowOff>137887</xdr:rowOff>
    </xdr:to>
    <xdr:pic>
      <xdr:nvPicPr>
        <xdr:cNvPr id="68" name="Graphic 67" descr="Dollar with solid fill">
          <a:extLst>
            <a:ext uri="{FF2B5EF4-FFF2-40B4-BE49-F238E27FC236}">
              <a16:creationId xmlns:a16="http://schemas.microsoft.com/office/drawing/2014/main" id="{01C1E678-EEA7-46AB-9456-D3F299A94C8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738915" y="1422400"/>
          <a:ext cx="471036" cy="224972"/>
        </a:xfrm>
        <a:prstGeom prst="rect">
          <a:avLst/>
        </a:prstGeom>
      </xdr:spPr>
    </xdr:pic>
    <xdr:clientData/>
  </xdr:twoCellAnchor>
  <xdr:twoCellAnchor editAs="oneCell">
    <xdr:from>
      <xdr:col>2</xdr:col>
      <xdr:colOff>493484</xdr:colOff>
      <xdr:row>1</xdr:row>
      <xdr:rowOff>29029</xdr:rowOff>
    </xdr:from>
    <xdr:to>
      <xdr:col>4</xdr:col>
      <xdr:colOff>544285</xdr:colOff>
      <xdr:row>5</xdr:row>
      <xdr:rowOff>108858</xdr:rowOff>
    </xdr:to>
    <xdr:pic>
      <xdr:nvPicPr>
        <xdr:cNvPr id="70" name="Picture 69" descr="Shopping basket png images | PNGEgg">
          <a:extLst>
            <a:ext uri="{FF2B5EF4-FFF2-40B4-BE49-F238E27FC236}">
              <a16:creationId xmlns:a16="http://schemas.microsoft.com/office/drawing/2014/main" id="{668BD2E2-1A10-0B09-D6C5-11C501C8E6FD}"/>
            </a:ext>
          </a:extLst>
        </xdr:cNvPr>
        <xdr:cNvPicPr>
          <a:picLocks noChangeAspect="1" noChangeArrowheads="1"/>
        </xdr:cNvPicPr>
      </xdr:nvPicPr>
      <xdr:blipFill>
        <a:blip xmlns:r="http://schemas.openxmlformats.org/officeDocument/2006/relationships" r:embed="rId16" cstate="print">
          <a:clrChange>
            <a:clrFrom>
              <a:srgbClr val="FFFFFF"/>
            </a:clrFrom>
            <a:clrTo>
              <a:srgbClr val="FFFFFF">
                <a:alpha val="0"/>
              </a:srgbClr>
            </a:clrTo>
          </a:clrChange>
          <a:extLst>
            <a:ext uri="{BEBA8EAE-BF5A-486C-A8C5-ECC9F3942E4B}">
              <a14:imgProps xmlns:a14="http://schemas.microsoft.com/office/drawing/2010/main">
                <a14:imgLayer r:embed="rId17">
                  <a14:imgEffect>
                    <a14:backgroundRemoval t="10000" b="90000" l="10000" r="90000"/>
                  </a14:imgEffect>
                </a14:imgLayer>
              </a14:imgProps>
            </a:ext>
            <a:ext uri="{28A0092B-C50C-407E-A947-70E740481C1C}">
              <a14:useLocalDpi xmlns:a14="http://schemas.microsoft.com/office/drawing/2010/main" val="0"/>
            </a:ext>
          </a:extLst>
        </a:blip>
        <a:srcRect/>
        <a:stretch>
          <a:fillRect/>
        </a:stretch>
      </xdr:blipFill>
      <xdr:spPr bwMode="auto">
        <a:xfrm>
          <a:off x="1799769" y="217714"/>
          <a:ext cx="1357088" cy="8345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159656</xdr:colOff>
      <xdr:row>7</xdr:row>
      <xdr:rowOff>108859</xdr:rowOff>
    </xdr:from>
    <xdr:to>
      <xdr:col>5</xdr:col>
      <xdr:colOff>539571</xdr:colOff>
      <xdr:row>9</xdr:row>
      <xdr:rowOff>19487</xdr:rowOff>
    </xdr:to>
    <xdr:pic>
      <xdr:nvPicPr>
        <xdr:cNvPr id="71" name="Picture 70" descr="Download Free Total product Icons in PNG &amp; SVG | Magnific (formerly Freepik)">
          <a:extLst>
            <a:ext uri="{FF2B5EF4-FFF2-40B4-BE49-F238E27FC236}">
              <a16:creationId xmlns:a16="http://schemas.microsoft.com/office/drawing/2014/main" id="{28B01E5B-5BF3-B289-AA49-2BCE98C713F6}"/>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425371" y="1429659"/>
          <a:ext cx="379915" cy="28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0</xdr:colOff>
      <xdr:row>12</xdr:row>
      <xdr:rowOff>0</xdr:rowOff>
    </xdr:from>
    <xdr:to>
      <xdr:col>23</xdr:col>
      <xdr:colOff>304800</xdr:colOff>
      <xdr:row>13</xdr:row>
      <xdr:rowOff>119743</xdr:rowOff>
    </xdr:to>
    <xdr:sp macro="" textlink="">
      <xdr:nvSpPr>
        <xdr:cNvPr id="1028" name="AutoShape 4" descr="Inventory Turnover Icons - Free Download in SVG, PNG">
          <a:extLst>
            <a:ext uri="{FF2B5EF4-FFF2-40B4-BE49-F238E27FC236}">
              <a16:creationId xmlns:a16="http://schemas.microsoft.com/office/drawing/2014/main" id="{1B0C8A22-4AC1-5A62-2120-936BFE146633}"/>
            </a:ext>
          </a:extLst>
        </xdr:cNvPr>
        <xdr:cNvSpPr>
          <a:spLocks noChangeAspect="1" noChangeArrowheads="1"/>
        </xdr:cNvSpPr>
      </xdr:nvSpPr>
      <xdr:spPr bwMode="auto">
        <a:xfrm>
          <a:off x="15049500" y="222068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xdr:col>
      <xdr:colOff>0</xdr:colOff>
      <xdr:row>15</xdr:row>
      <xdr:rowOff>0</xdr:rowOff>
    </xdr:from>
    <xdr:to>
      <xdr:col>23</xdr:col>
      <xdr:colOff>304800</xdr:colOff>
      <xdr:row>16</xdr:row>
      <xdr:rowOff>119743</xdr:rowOff>
    </xdr:to>
    <xdr:sp macro="" textlink="">
      <xdr:nvSpPr>
        <xdr:cNvPr id="1030" name="AutoShape 6" descr="Inventory Turnover Icons - Free Download in SVG, PNG">
          <a:extLst>
            <a:ext uri="{FF2B5EF4-FFF2-40B4-BE49-F238E27FC236}">
              <a16:creationId xmlns:a16="http://schemas.microsoft.com/office/drawing/2014/main" id="{A870721E-150B-6EA2-89F7-B0E92E365501}"/>
            </a:ext>
          </a:extLst>
        </xdr:cNvPr>
        <xdr:cNvSpPr>
          <a:spLocks noChangeAspect="1" noChangeArrowheads="1"/>
        </xdr:cNvSpPr>
      </xdr:nvSpPr>
      <xdr:spPr bwMode="auto">
        <a:xfrm>
          <a:off x="15049500" y="277585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xdr:col>
      <xdr:colOff>0</xdr:colOff>
      <xdr:row>15</xdr:row>
      <xdr:rowOff>0</xdr:rowOff>
    </xdr:from>
    <xdr:to>
      <xdr:col>23</xdr:col>
      <xdr:colOff>304800</xdr:colOff>
      <xdr:row>16</xdr:row>
      <xdr:rowOff>119743</xdr:rowOff>
    </xdr:to>
    <xdr:sp macro="" textlink="">
      <xdr:nvSpPr>
        <xdr:cNvPr id="1031" name="AutoShape 7" descr="Inventory Turnover Icons - Free Download in SVG, PNG">
          <a:extLst>
            <a:ext uri="{FF2B5EF4-FFF2-40B4-BE49-F238E27FC236}">
              <a16:creationId xmlns:a16="http://schemas.microsoft.com/office/drawing/2014/main" id="{AB7F522D-CB5F-0DED-AF88-3CA774E78A16}"/>
            </a:ext>
          </a:extLst>
        </xdr:cNvPr>
        <xdr:cNvSpPr>
          <a:spLocks noChangeAspect="1" noChangeArrowheads="1"/>
        </xdr:cNvSpPr>
      </xdr:nvSpPr>
      <xdr:spPr bwMode="auto">
        <a:xfrm>
          <a:off x="15049500" y="277585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xdr:col>
      <xdr:colOff>0</xdr:colOff>
      <xdr:row>15</xdr:row>
      <xdr:rowOff>0</xdr:rowOff>
    </xdr:from>
    <xdr:to>
      <xdr:col>23</xdr:col>
      <xdr:colOff>304800</xdr:colOff>
      <xdr:row>16</xdr:row>
      <xdr:rowOff>119743</xdr:rowOff>
    </xdr:to>
    <xdr:sp macro="" textlink="">
      <xdr:nvSpPr>
        <xdr:cNvPr id="1032" name="AutoShape 8" descr="Inventory Turnover Icons - Free Download in SVG, PNG">
          <a:extLst>
            <a:ext uri="{FF2B5EF4-FFF2-40B4-BE49-F238E27FC236}">
              <a16:creationId xmlns:a16="http://schemas.microsoft.com/office/drawing/2014/main" id="{DCD887D1-3538-1687-8E11-E8E3866E4A15}"/>
            </a:ext>
          </a:extLst>
        </xdr:cNvPr>
        <xdr:cNvSpPr>
          <a:spLocks noChangeAspect="1" noChangeArrowheads="1"/>
        </xdr:cNvSpPr>
      </xdr:nvSpPr>
      <xdr:spPr bwMode="auto">
        <a:xfrm>
          <a:off x="15049500" y="277585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16</xdr:col>
      <xdr:colOff>208767</xdr:colOff>
      <xdr:row>6</xdr:row>
      <xdr:rowOff>111840</xdr:rowOff>
    </xdr:from>
    <xdr:to>
      <xdr:col>17</xdr:col>
      <xdr:colOff>164642</xdr:colOff>
      <xdr:row>9</xdr:row>
      <xdr:rowOff>128643</xdr:rowOff>
    </xdr:to>
    <xdr:graphicFrame macro="">
      <xdr:nvGraphicFramePr>
        <xdr:cNvPr id="75" name="Chart 74">
          <a:extLst>
            <a:ext uri="{FF2B5EF4-FFF2-40B4-BE49-F238E27FC236}">
              <a16:creationId xmlns:a16="http://schemas.microsoft.com/office/drawing/2014/main" id="{0861F28A-5944-45C9-90AC-95E1D6F5C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0.28242</cdr:y>
    </cdr:from>
    <cdr:to>
      <cdr:x>0.34985</cdr:x>
      <cdr:y>0.50076</cdr:y>
    </cdr:to>
    <cdr:sp macro="" textlink="">
      <cdr:nvSpPr>
        <cdr:cNvPr id="3" name="TextBox 2">
          <a:extLst xmlns:a="http://schemas.openxmlformats.org/drawingml/2006/main">
            <a:ext uri="{FF2B5EF4-FFF2-40B4-BE49-F238E27FC236}">
              <a16:creationId xmlns:a16="http://schemas.microsoft.com/office/drawing/2014/main" id="{3BD228F4-AB6E-73CF-C2BC-48C2D557CEA7}"/>
            </a:ext>
          </a:extLst>
        </cdr:cNvPr>
        <cdr:cNvSpPr txBox="1"/>
      </cdr:nvSpPr>
      <cdr:spPr>
        <a:xfrm xmlns:a="http://schemas.openxmlformats.org/drawingml/2006/main">
          <a:off x="0" y="551542"/>
          <a:ext cx="951494" cy="42641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1100" b="1">
              <a:solidFill>
                <a:srgbClr val="92D050"/>
              </a:solidFill>
              <a:latin typeface="Lato Black" panose="020F0502020204030203" pitchFamily="34" charset="0"/>
              <a:ea typeface="Lato Black" panose="020F0502020204030203" pitchFamily="34" charset="0"/>
              <a:cs typeface="Lato Black" panose="020F0502020204030203" pitchFamily="34" charset="0"/>
            </a:rPr>
            <a:t>Sufficient </a:t>
          </a:r>
        </a:p>
        <a:p xmlns:a="http://schemas.openxmlformats.org/drawingml/2006/main">
          <a:pPr algn="ctr"/>
          <a:r>
            <a:rPr lang="en-IN" sz="1100" b="1">
              <a:solidFill>
                <a:srgbClr val="92D050"/>
              </a:solidFill>
              <a:latin typeface="Lato Black" panose="020F0502020204030203" pitchFamily="34" charset="0"/>
              <a:ea typeface="Lato Black" panose="020F0502020204030203" pitchFamily="34" charset="0"/>
              <a:cs typeface="Lato Black" panose="020F0502020204030203" pitchFamily="34" charset="0"/>
            </a:rPr>
            <a:t>Stock</a:t>
          </a:r>
        </a:p>
      </cdr:txBody>
    </cdr:sp>
  </cdr:relSizeAnchor>
</c:userShapes>
</file>

<file path=xl/drawings/drawing3.xml><?xml version="1.0" encoding="utf-8"?>
<xdr:wsDr xmlns:xdr="http://schemas.openxmlformats.org/drawingml/2006/spreadsheetDrawing" xmlns:a="http://schemas.openxmlformats.org/drawingml/2006/main">
  <xdr:twoCellAnchor>
    <xdr:from>
      <xdr:col>9</xdr:col>
      <xdr:colOff>43543</xdr:colOff>
      <xdr:row>1</xdr:row>
      <xdr:rowOff>5442</xdr:rowOff>
    </xdr:from>
    <xdr:to>
      <xdr:col>11</xdr:col>
      <xdr:colOff>451757</xdr:colOff>
      <xdr:row>8</xdr:row>
      <xdr:rowOff>92528</xdr:rowOff>
    </xdr:to>
    <xdr:graphicFrame macro="">
      <xdr:nvGraphicFramePr>
        <xdr:cNvPr id="2" name="Chart 1">
          <a:extLst>
            <a:ext uri="{FF2B5EF4-FFF2-40B4-BE49-F238E27FC236}">
              <a16:creationId xmlns:a16="http://schemas.microsoft.com/office/drawing/2014/main" id="{54EC3DE8-7F9D-52A2-833E-CD1B2BFA2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97971</xdr:colOff>
      <xdr:row>2</xdr:row>
      <xdr:rowOff>5444</xdr:rowOff>
    </xdr:from>
    <xdr:to>
      <xdr:col>10</xdr:col>
      <xdr:colOff>97971</xdr:colOff>
      <xdr:row>14</xdr:row>
      <xdr:rowOff>157844</xdr:rowOff>
    </xdr:to>
    <xdr:graphicFrame macro="">
      <xdr:nvGraphicFramePr>
        <xdr:cNvPr id="2" name="Chart 1">
          <a:extLst>
            <a:ext uri="{FF2B5EF4-FFF2-40B4-BE49-F238E27FC236}">
              <a16:creationId xmlns:a16="http://schemas.microsoft.com/office/drawing/2014/main" id="{F8D48E7F-8261-8D82-CACD-3434E4974F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342899</xdr:colOff>
      <xdr:row>1</xdr:row>
      <xdr:rowOff>179614</xdr:rowOff>
    </xdr:from>
    <xdr:to>
      <xdr:col>9</xdr:col>
      <xdr:colOff>168728</xdr:colOff>
      <xdr:row>14</xdr:row>
      <xdr:rowOff>5442</xdr:rowOff>
    </xdr:to>
    <xdr:graphicFrame macro="">
      <xdr:nvGraphicFramePr>
        <xdr:cNvPr id="2" name="Chart 1">
          <a:extLst>
            <a:ext uri="{FF2B5EF4-FFF2-40B4-BE49-F238E27FC236}">
              <a16:creationId xmlns:a16="http://schemas.microsoft.com/office/drawing/2014/main" id="{A5375F17-95E4-8110-E330-970B0A2029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38100</xdr:colOff>
      <xdr:row>2</xdr:row>
      <xdr:rowOff>87085</xdr:rowOff>
    </xdr:from>
    <xdr:to>
      <xdr:col>10</xdr:col>
      <xdr:colOff>38100</xdr:colOff>
      <xdr:row>17</xdr:row>
      <xdr:rowOff>54428</xdr:rowOff>
    </xdr:to>
    <xdr:graphicFrame macro="">
      <xdr:nvGraphicFramePr>
        <xdr:cNvPr id="2" name="Chart 1">
          <a:extLst>
            <a:ext uri="{FF2B5EF4-FFF2-40B4-BE49-F238E27FC236}">
              <a16:creationId xmlns:a16="http://schemas.microsoft.com/office/drawing/2014/main" id="{E7F12A47-79A7-BC53-06D7-5E14ADCA88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288470</xdr:colOff>
      <xdr:row>1</xdr:row>
      <xdr:rowOff>76200</xdr:rowOff>
    </xdr:from>
    <xdr:to>
      <xdr:col>8</xdr:col>
      <xdr:colOff>108857</xdr:colOff>
      <xdr:row>16</xdr:row>
      <xdr:rowOff>43543</xdr:rowOff>
    </xdr:to>
    <xdr:graphicFrame macro="">
      <xdr:nvGraphicFramePr>
        <xdr:cNvPr id="2" name="Chart 1">
          <a:extLst>
            <a:ext uri="{FF2B5EF4-FFF2-40B4-BE49-F238E27FC236}">
              <a16:creationId xmlns:a16="http://schemas.microsoft.com/office/drawing/2014/main" id="{A90FF4A4-EBC9-1C24-30CC-5AE01A9EB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576942</xdr:colOff>
      <xdr:row>3</xdr:row>
      <xdr:rowOff>59871</xdr:rowOff>
    </xdr:from>
    <xdr:to>
      <xdr:col>10</xdr:col>
      <xdr:colOff>576942</xdr:colOff>
      <xdr:row>21</xdr:row>
      <xdr:rowOff>141514</xdr:rowOff>
    </xdr:to>
    <xdr:graphicFrame macro="">
      <xdr:nvGraphicFramePr>
        <xdr:cNvPr id="2" name="Chart 1">
          <a:extLst>
            <a:ext uri="{FF2B5EF4-FFF2-40B4-BE49-F238E27FC236}">
              <a16:creationId xmlns:a16="http://schemas.microsoft.com/office/drawing/2014/main" id="{6991BF7D-C2E3-4C60-7356-BB1A1DF1C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353784</xdr:colOff>
      <xdr:row>4</xdr:row>
      <xdr:rowOff>125185</xdr:rowOff>
    </xdr:from>
    <xdr:to>
      <xdr:col>10</xdr:col>
      <xdr:colOff>321128</xdr:colOff>
      <xdr:row>19</xdr:row>
      <xdr:rowOff>54427</xdr:rowOff>
    </xdr:to>
    <xdr:graphicFrame macro="">
      <xdr:nvGraphicFramePr>
        <xdr:cNvPr id="2" name="Chart 1">
          <a:extLst>
            <a:ext uri="{FF2B5EF4-FFF2-40B4-BE49-F238E27FC236}">
              <a16:creationId xmlns:a16="http://schemas.microsoft.com/office/drawing/2014/main" id="{2A618A5F-F15F-7949-2999-21D02E9AE8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giri Nikhil" refreshedDate="46205.867344791666" createdVersion="8" refreshedVersion="8" minRefreshableVersion="3" recordCount="990" xr:uid="{D8D523E9-28BF-42E4-AEB6-611359A1F629}">
  <cacheSource type="worksheet">
    <worksheetSource name="tbl_GroceryInventory"/>
  </cacheSource>
  <cacheFields count="29">
    <cacheField name="Product_ID" numFmtId="0">
      <sharedItems/>
    </cacheField>
    <cacheField name="Product_Name" numFmtId="0">
      <sharedItems count="121">
        <s v="Sushi Rice"/>
        <s v="Arabica Coffee"/>
        <s v="Black Rice"/>
        <s v="Long Grain Rice"/>
        <s v="Plum"/>
        <s v="All-Purpose Flour"/>
        <s v="Corn Oil"/>
        <s v="Egg (Goose)"/>
        <s v="Greek Yogurt"/>
        <s v="Egg (Duck)"/>
        <s v="White Sugar"/>
        <s v="Rye Bread"/>
        <s v="Strawberries"/>
        <s v="Feta Cheese"/>
        <s v="Bread Flour"/>
        <s v="Swiss Cheese"/>
        <s v="Spinach"/>
        <s v="Trout"/>
        <s v="Green Beans"/>
        <s v="Cabbage"/>
        <s v="Parmesan Cheese"/>
        <s v="Raw Sugar"/>
        <s v="Egg (Quail)"/>
        <s v="Mushrooms"/>
        <s v="Oatmeal Biscuit"/>
        <s v="Pear"/>
        <s v="Cucumber"/>
        <s v="Pineapple"/>
        <s v="Olive Oil"/>
        <s v="Herbal Tea"/>
        <s v="Haddock"/>
        <s v="Onion"/>
        <s v="Zucchini"/>
        <s v="Short Grain Rice"/>
        <s v="Mango"/>
        <s v="Lemon"/>
        <s v="Black Coffee"/>
        <s v="Butter"/>
        <s v="Multigrain Bread"/>
        <s v="Kiwi"/>
        <s v="Sourdough Bread"/>
        <s v="Orange"/>
        <s v="White Bread"/>
        <s v="Green Coffee"/>
        <s v="Sardines"/>
        <s v="Carrot"/>
        <s v="Black Tea"/>
        <s v="Ricotta Cheese"/>
        <s v="White Tea"/>
        <s v="Mozzarella Cheese"/>
        <s v="Broccoli"/>
        <s v="Eggplant"/>
        <s v="Heavy Cream"/>
        <s v="Bell Pepper"/>
        <s v="Arborio Rice"/>
        <s v="Potato"/>
        <s v="Butter Biscuit"/>
        <s v="Peas"/>
        <s v="Cream"/>
        <s v="Peanut Oil"/>
        <s v="Blueberries"/>
        <s v="Chocolate Biscuit"/>
        <s v="Cheese"/>
        <s v="Palm Oil"/>
        <s v="Garlic"/>
        <s v="Jasmine Rice"/>
        <s v="Rice Flour"/>
        <s v="Cottage Cheese"/>
        <s v="Whipped Cream"/>
        <s v="Almond Flour"/>
        <s v="Tilapia"/>
        <s v="Lettuce"/>
        <s v="Coconut"/>
        <s v="Cod"/>
        <s v="Banana"/>
        <s v="Pomegranate"/>
        <s v="Peach"/>
        <s v="White Rice"/>
        <s v="Cauliflower"/>
        <s v="Canola Oil"/>
        <s v="Avocado Oil"/>
        <s v="Gouda Cheese"/>
        <s v="Tuna"/>
        <s v="Buttermilk"/>
        <s v="Sour Cream"/>
        <s v="Green Tea"/>
        <s v="Powdered Sugar"/>
        <s v="Vegetable Oil"/>
        <s v="Cheddar Cheese"/>
        <s v="Egg (Turkey)"/>
        <s v="Sesame Oil"/>
        <s v="Asparagus"/>
        <s v="Whole Wheat Flour"/>
        <s v="Robusta Coffee"/>
        <s v="Watermelon"/>
        <s v="Anchovies"/>
        <s v="Basmati Rice"/>
        <s v="Sunflower Oil"/>
        <s v="Lime"/>
        <s v="Digestive Biscuit"/>
        <s v="Kale"/>
        <s v="Mackerel"/>
        <s v="Milk"/>
        <s v="Grapes"/>
        <s v="Brown Rice"/>
        <s v="Halibut"/>
        <s v="Apricot"/>
        <s v="Evaporated Milk"/>
        <s v="Papaya"/>
        <s v="Yogurt"/>
        <s v="Apple"/>
        <s v="Coconut Sugar"/>
        <s v="Tomato"/>
        <s v="Vanilla Biscuit"/>
        <s v="Wild Rice"/>
        <s v="Salmon"/>
        <s v="Sweet Potato"/>
        <s v="Coconut Oil"/>
        <s v="Whole Wheat Bread"/>
        <s v="Cherry"/>
        <s v="Egg (Chicken)"/>
      </sharedItems>
    </cacheField>
    <cacheField name="Catagory" numFmtId="0">
      <sharedItems count="7">
        <s v="Grains &amp; Pulses"/>
        <s v="Beverages"/>
        <s v="Fruits &amp; Vegetables"/>
        <s v="Oils &amp; Fats"/>
        <s v="Dairy"/>
        <s v="Bakery"/>
        <s v="Seafood"/>
      </sharedItems>
    </cacheField>
    <cacheField name="Supplier_ID" numFmtId="0">
      <sharedItems/>
    </cacheField>
    <cacheField name="Supplier_Name" numFmtId="0">
      <sharedItems/>
    </cacheField>
    <cacheField name="Stock_Quantity" numFmtId="0">
      <sharedItems containsSemiMixedTypes="0" containsString="0" containsNumber="1" containsInteger="1" minValue="10" maxValue="100"/>
    </cacheField>
    <cacheField name="Reorder_Level" numFmtId="0">
      <sharedItems containsSemiMixedTypes="0" containsString="0" containsNumber="1" containsInteger="1" minValue="1" maxValue="100"/>
    </cacheField>
    <cacheField name="Reorder_Quantity" numFmtId="0">
      <sharedItems containsSemiMixedTypes="0" containsString="0" containsNumber="1" containsInteger="1" minValue="1" maxValue="100"/>
    </cacheField>
    <cacheField name="Unit_Price" numFmtId="0">
      <sharedItems/>
    </cacheField>
    <cacheField name="Cleaned_Unit_price" numFmtId="164">
      <sharedItems containsSemiMixedTypes="0" containsString="0" containsNumber="1" minValue="0.2" maxValue="98.43"/>
    </cacheField>
    <cacheField name="Date_Received" numFmtId="0">
      <sharedItems containsDate="1" containsMixedTypes="1" minDate="2024-01-03T00:00:00" maxDate="2025-12-03T00:00:00"/>
    </cacheField>
    <cacheField name="Cleaned_Date_Received" numFmtId="14">
      <sharedItems containsSemiMixedTypes="0" containsNonDate="0" containsDate="1" containsString="0" minDate="2024-01-03T00:00:00" maxDate="2025-12-03T00:00:00"/>
    </cacheField>
    <cacheField name="Last_Order_Date" numFmtId="0">
      <sharedItems containsDate="1" containsMixedTypes="1" minDate="2024-01-03T00:00:00" maxDate="2025-12-03T00:00:00"/>
    </cacheField>
    <cacheField name="Cleaned_Last_Order_date" numFmtId="14">
      <sharedItems containsSemiMixedTypes="0" containsNonDate="0" containsDate="1" containsString="0" minDate="2024-01-03T00:00:00" maxDate="2025-12-03T00:00:00"/>
    </cacheField>
    <cacheField name="Expiration_Date" numFmtId="0">
      <sharedItems containsDate="1" containsMixedTypes="1" minDate="2024-01-03T00:00:00" maxDate="2025-12-03T00:00:00"/>
    </cacheField>
    <cacheField name="Cleaned_Expiration_Date" numFmtId="14">
      <sharedItems containsSemiMixedTypes="0" containsNonDate="0" containsDate="1" containsString="0" minDate="2024-01-03T00:00:00" maxDate="2025-12-03T00:00:00"/>
    </cacheField>
    <cacheField name="Warehouse_Location" numFmtId="0">
      <sharedItems/>
    </cacheField>
    <cacheField name="Sales_Volume" numFmtId="0">
      <sharedItems containsSemiMixedTypes="0" containsString="0" containsNumber="1" containsInteger="1" minValue="20" maxValue="100"/>
    </cacheField>
    <cacheField name="Inventory_Turnover_Rate" numFmtId="0">
      <sharedItems containsSemiMixedTypes="0" containsString="0" containsNumber="1" containsInteger="1" minValue="1" maxValue="100"/>
    </cacheField>
    <cacheField name="Status" numFmtId="0">
      <sharedItems/>
    </cacheField>
    <cacheField name="REVENUE" numFmtId="164">
      <sharedItems containsSemiMixedTypes="0" containsString="0" containsNumber="1" minValue="6.6000000000000005" maxValue="4707.6400000000003"/>
    </cacheField>
    <cacheField name="INVENTORY_VALUE" numFmtId="164">
      <sharedItems containsSemiMixedTypes="0" containsString="0" containsNumber="1" minValue="2" maxValue="5512.08"/>
    </cacheField>
    <cacheField name="REORDER_STATUS" numFmtId="0">
      <sharedItems count="2">
        <s v="Reorder Required"/>
        <s v="Sufficient Stock"/>
      </sharedItems>
    </cacheField>
    <cacheField name="Month_Year" numFmtId="165">
      <sharedItems containsSemiMixedTypes="0" containsNonDate="0" containsDate="1" containsString="0" minDate="2024-01-01T00:00:00" maxDate="2025-12-02T00:00:00" count="24">
        <d v="2024-08-01T00:00:00"/>
        <d v="2024-01-01T00:00:00"/>
        <d v="2024-03-01T00:00:00"/>
        <d v="2025-03-01T00:00:00"/>
        <d v="2024-04-01T00:00:00"/>
        <d v="2024-11-01T00:00:00"/>
        <d v="2024-12-01T00:00:00"/>
        <d v="2024-10-01T00:00:00"/>
        <d v="2024-05-01T00:00:00"/>
        <d v="2024-02-01T00:00:00"/>
        <d v="2024-07-01T00:00:00"/>
        <d v="2024-09-01T00:00:00"/>
        <d v="2024-06-01T00:00:00"/>
        <d v="2025-01-01T00:00:00"/>
        <d v="2025-02-01T00:00:00"/>
        <d v="2025-06-01T00:00:00"/>
        <d v="2025-04-01T00:00:00"/>
        <d v="2025-10-01T00:00:00"/>
        <d v="2025-08-01T00:00:00"/>
        <d v="2025-07-01T00:00:00"/>
        <d v="2025-09-01T00:00:00"/>
        <d v="2025-05-01T00:00:00"/>
        <d v="2025-11-01T00:00:00"/>
        <d v="2025-12-01T00:00:00"/>
      </sharedItems>
      <fieldGroup par="28"/>
    </cacheField>
    <cacheField name="Shelf_Life_Days" numFmtId="0">
      <sharedItems containsSemiMixedTypes="0" containsString="0" containsNumber="1" containsInteger="1" minValue="-634" maxValue="638"/>
    </cacheField>
    <cacheField name="Expiry_Risk" numFmtId="0">
      <sharedItems/>
    </cacheField>
    <cacheField name="Months (Month_Year)" numFmtId="0" databaseField="0">
      <fieldGroup base="23">
        <rangePr groupBy="months" startDate="2024-01-01T00:00:00" endDate="2025-12-02T00:00:00"/>
        <groupItems count="14">
          <s v="&lt;01-01-2024"/>
          <s v="Jan"/>
          <s v="Feb"/>
          <s v="Mar"/>
          <s v="Apr"/>
          <s v="May"/>
          <s v="Jun"/>
          <s v="Jul"/>
          <s v="Aug"/>
          <s v="Sep"/>
          <s v="Oct"/>
          <s v="Nov"/>
          <s v="Dec"/>
          <s v="&gt;02-12-2025"/>
        </groupItems>
      </fieldGroup>
    </cacheField>
    <cacheField name="Quarters (Month_Year)" numFmtId="0" databaseField="0">
      <fieldGroup base="23">
        <rangePr groupBy="quarters" startDate="2024-01-01T00:00:00" endDate="2025-12-02T00:00:00"/>
        <groupItems count="6">
          <s v="&lt;01-01-2024"/>
          <s v="Qtr1"/>
          <s v="Qtr2"/>
          <s v="Qtr3"/>
          <s v="Qtr4"/>
          <s v="&gt;02-12-2025"/>
        </groupItems>
      </fieldGroup>
    </cacheField>
    <cacheField name="Years (Month_Year)" numFmtId="0" databaseField="0">
      <fieldGroup base="23">
        <rangePr groupBy="years" startDate="2024-01-01T00:00:00" endDate="2025-12-02T00:00:00"/>
        <groupItems count="4">
          <s v="&lt;01-01-2024"/>
          <s v="2024"/>
          <s v="2025"/>
          <s v="&gt;02-12-2025"/>
        </groupItems>
      </fieldGroup>
    </cacheField>
  </cacheFields>
  <extLst>
    <ext xmlns:x14="http://schemas.microsoft.com/office/spreadsheetml/2009/9/main" uri="{725AE2AE-9491-48be-B2B4-4EB974FC3084}">
      <x14:pivotCacheDefinition pivotCacheId="12297164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0">
  <r>
    <s v="29-205-1132"/>
    <x v="0"/>
    <x v="0"/>
    <s v="38-037-1699"/>
    <s v="Jaxnation"/>
    <n v="22"/>
    <n v="72"/>
    <n v="70"/>
    <s v="$4.50 "/>
    <n v="4.5"/>
    <s v="8/16/2024"/>
    <d v="2024-08-16T00:00:00"/>
    <s v="6/29/2024"/>
    <d v="2024-06-29T00:00:00"/>
    <s v="9/19/2024"/>
    <d v="2024-09-19T00:00:00"/>
    <s v="48 Del Sol Trail"/>
    <n v="32"/>
    <n v="19"/>
    <s v="Discontinued"/>
    <n v="144"/>
    <n v="99"/>
    <x v="0"/>
    <x v="0"/>
    <n v="34"/>
    <s v="High Risk"/>
  </r>
  <r>
    <s v="40-681-9981"/>
    <x v="1"/>
    <x v="1"/>
    <s v="54-470-2479"/>
    <s v="Feedmix"/>
    <n v="45"/>
    <n v="77"/>
    <n v="2"/>
    <s v="$20.00 "/>
    <n v="20"/>
    <d v="2024-01-11T00:00:00"/>
    <d v="2024-01-11T00:00:00"/>
    <s v="5/29/2024"/>
    <d v="2024-05-29T00:00:00"/>
    <d v="2024-08-05T00:00:00"/>
    <d v="2024-08-05T00:00:00"/>
    <s v="36 3rd Place"/>
    <n v="85"/>
    <n v="1"/>
    <s v="Discontinued"/>
    <n v="1700"/>
    <n v="900"/>
    <x v="0"/>
    <x v="1"/>
    <n v="207"/>
    <s v="Low Risk"/>
  </r>
  <r>
    <s v="06-955-3428"/>
    <x v="2"/>
    <x v="0"/>
    <s v="54-031-2945"/>
    <s v="Vinder"/>
    <n v="30"/>
    <n v="38"/>
    <n v="83"/>
    <s v="$6.00 "/>
    <n v="6"/>
    <d v="2024-03-08T00:00:00"/>
    <d v="2024-03-08T00:00:00"/>
    <d v="2024-10-06T00:00:00"/>
    <d v="2024-10-06T00:00:00"/>
    <s v="9/22/2024"/>
    <d v="2024-09-22T00:00:00"/>
    <s v="3296 Walton Court"/>
    <n v="31"/>
    <n v="34"/>
    <s v="Backordered"/>
    <n v="186"/>
    <n v="180"/>
    <x v="0"/>
    <x v="2"/>
    <n v="198"/>
    <s v="Low Risk"/>
  </r>
  <r>
    <s v="71-594-6552"/>
    <x v="3"/>
    <x v="0"/>
    <s v="63-492-7603"/>
    <s v="Brightbean"/>
    <n v="12"/>
    <n v="59"/>
    <n v="62"/>
    <s v="$1.50 "/>
    <n v="1.5"/>
    <d v="2024-08-12T00:00:00"/>
    <d v="2024-08-12T00:00:00"/>
    <s v="2/19/2025"/>
    <d v="2025-02-19T00:00:00"/>
    <s v="4/17/2024"/>
    <d v="2024-04-17T00:00:00"/>
    <s v="3 Westerfield Crossing"/>
    <n v="95"/>
    <n v="99"/>
    <s v="Active"/>
    <n v="142.5"/>
    <n v="18"/>
    <x v="0"/>
    <x v="0"/>
    <n v="-117"/>
    <s v="Invalid Data"/>
  </r>
  <r>
    <s v="57-437-1828"/>
    <x v="4"/>
    <x v="2"/>
    <s v="54-226-4308"/>
    <s v="Topicstorm"/>
    <n v="37"/>
    <n v="30"/>
    <n v="74"/>
    <s v="$4.00 "/>
    <n v="4"/>
    <d v="2024-03-07T00:00:00"/>
    <d v="2024-03-07T00:00:00"/>
    <d v="2024-11-10T00:00:00"/>
    <d v="2024-11-10T00:00:00"/>
    <d v="2024-05-10T00:00:00"/>
    <d v="2024-05-10T00:00:00"/>
    <s v="15068 Scoville Court"/>
    <n v="62"/>
    <n v="25"/>
    <s v="Backordered"/>
    <n v="248"/>
    <n v="148"/>
    <x v="1"/>
    <x v="2"/>
    <n v="64"/>
    <s v="High Risk"/>
  </r>
  <r>
    <s v="21-120-6238"/>
    <x v="5"/>
    <x v="0"/>
    <s v="86-292-4587"/>
    <s v="Dabjam"/>
    <n v="55"/>
    <n v="33"/>
    <n v="14"/>
    <s v="$1.75 "/>
    <n v="1.75"/>
    <d v="2024-03-12T00:00:00"/>
    <d v="2024-03-12T00:00:00"/>
    <s v="5/26/2024"/>
    <d v="2024-05-26T00:00:00"/>
    <d v="2024-05-09T00:00:00"/>
    <d v="2024-05-09T00:00:00"/>
    <s v="050 Mcbride Avenue"/>
    <n v="34"/>
    <n v="62"/>
    <s v="Discontinued"/>
    <n v="59.5"/>
    <n v="96.25"/>
    <x v="1"/>
    <x v="2"/>
    <n v="58"/>
    <s v="High Risk"/>
  </r>
  <r>
    <s v="71-516-1996"/>
    <x v="6"/>
    <x v="3"/>
    <s v="04-391-7610"/>
    <s v="Tagfeed"/>
    <n v="96"/>
    <n v="52"/>
    <n v="16"/>
    <s v="$2.50 "/>
    <n v="2.5"/>
    <s v="3/18/2024"/>
    <d v="2024-03-18T00:00:00"/>
    <d v="2024-07-05T00:00:00"/>
    <d v="2024-07-05T00:00:00"/>
    <s v="6/20/2024"/>
    <d v="2024-06-20T00:00:00"/>
    <s v="12 Truax Court"/>
    <n v="67"/>
    <n v="13"/>
    <s v="Active"/>
    <n v="167.5"/>
    <n v="240"/>
    <x v="1"/>
    <x v="2"/>
    <n v="94"/>
    <s v="Medium Risk"/>
  </r>
  <r>
    <s v="39-629-5554"/>
    <x v="7"/>
    <x v="4"/>
    <s v="67-679-4930"/>
    <s v="Muxo"/>
    <n v="44"/>
    <n v="90"/>
    <n v="17"/>
    <s v="$2.50 "/>
    <n v="2.5"/>
    <d v="2025-03-02T00:00:00"/>
    <d v="2025-03-02T00:00:00"/>
    <d v="2024-09-04T00:00:00"/>
    <d v="2024-09-04T00:00:00"/>
    <d v="2025-05-02T00:00:00"/>
    <d v="2025-05-02T00:00:00"/>
    <s v="267 International Plaza"/>
    <n v="21"/>
    <n v="91"/>
    <s v="Discontinued"/>
    <n v="52.5"/>
    <n v="110"/>
    <x v="0"/>
    <x v="3"/>
    <n v="61"/>
    <s v="High Risk"/>
  </r>
  <r>
    <s v="66-268-8345"/>
    <x v="8"/>
    <x v="4"/>
    <s v="32-182-1895"/>
    <s v="Thoughtstorm"/>
    <n v="91"/>
    <n v="84"/>
    <n v="11"/>
    <s v="$3.00 "/>
    <n v="3"/>
    <d v="2024-04-12T00:00:00"/>
    <d v="2024-04-12T00:00:00"/>
    <d v="2024-02-06T00:00:00"/>
    <d v="2024-02-06T00:00:00"/>
    <d v="2025-08-01T00:00:00"/>
    <d v="2025-08-01T00:00:00"/>
    <s v="550 Clemons Plaza"/>
    <n v="56"/>
    <n v="90"/>
    <s v="Active"/>
    <n v="168"/>
    <n v="273"/>
    <x v="1"/>
    <x v="4"/>
    <n v="476"/>
    <s v="Safe"/>
  </r>
  <r>
    <s v="46-452-9419"/>
    <x v="9"/>
    <x v="4"/>
    <s v="67-137-4215"/>
    <s v="Wordify"/>
    <n v="43"/>
    <n v="10"/>
    <n v="15"/>
    <s v="$1.00 "/>
    <n v="1"/>
    <s v="11/18/2024"/>
    <d v="2024-11-18T00:00:00"/>
    <s v="11/14/2024"/>
    <d v="2024-11-14T00:00:00"/>
    <d v="2024-08-07T00:00:00"/>
    <d v="2024-08-07T00:00:00"/>
    <s v="55782 Welch Hill"/>
    <n v="27"/>
    <n v="69"/>
    <s v="Active"/>
    <n v="27"/>
    <n v="43"/>
    <x v="1"/>
    <x v="5"/>
    <n v="-103"/>
    <s v="Invalid Data"/>
  </r>
  <r>
    <s v="51-469-4611"/>
    <x v="3"/>
    <x v="0"/>
    <s v="62-029-0827"/>
    <s v="Fivebridge"/>
    <n v="62"/>
    <n v="81"/>
    <n v="91"/>
    <s v="$1.60 "/>
    <n v="1.6"/>
    <s v="12/18/2024"/>
    <d v="2024-12-18T00:00:00"/>
    <s v="5/24/2024"/>
    <d v="2024-05-24T00:00:00"/>
    <d v="2025-07-01T00:00:00"/>
    <d v="2025-07-01T00:00:00"/>
    <s v="04776 Saint Paul Park"/>
    <n v="100"/>
    <n v="42"/>
    <s v="Discontinued"/>
    <n v="160"/>
    <n v="99.2"/>
    <x v="0"/>
    <x v="6"/>
    <n v="195"/>
    <s v="Low Risk"/>
  </r>
  <r>
    <s v="42-220-9305"/>
    <x v="10"/>
    <x v="0"/>
    <s v="56-092-7992"/>
    <s v="Zooxo"/>
    <n v="91"/>
    <n v="98"/>
    <n v="6"/>
    <s v="$2.00 "/>
    <n v="2"/>
    <s v="10/19/2024"/>
    <d v="2024-10-19T00:00:00"/>
    <d v="2024-11-12T00:00:00"/>
    <d v="2024-11-12T00:00:00"/>
    <s v="10/14/2024"/>
    <d v="2024-10-14T00:00:00"/>
    <s v="61932 Cascade Crossing"/>
    <n v="100"/>
    <n v="20"/>
    <s v="Backordered"/>
    <n v="200"/>
    <n v="182"/>
    <x v="0"/>
    <x v="7"/>
    <n v="-5"/>
    <s v="Invalid Data"/>
  </r>
  <r>
    <s v="75-094-1179"/>
    <x v="11"/>
    <x v="5"/>
    <s v="57-615-0729"/>
    <s v="Vitz"/>
    <n v="26"/>
    <n v="79"/>
    <n v="31"/>
    <s v="$3.00 "/>
    <n v="3"/>
    <s v="12/13/2024"/>
    <d v="2024-12-13T00:00:00"/>
    <d v="2025-09-02T00:00:00"/>
    <d v="2025-09-02T00:00:00"/>
    <s v="7/18/2024"/>
    <d v="2024-07-18T00:00:00"/>
    <s v="13 Forest Run Place"/>
    <n v="47"/>
    <n v="41"/>
    <s v="Discontinued"/>
    <n v="141"/>
    <n v="78"/>
    <x v="0"/>
    <x v="6"/>
    <n v="-148"/>
    <s v="Invalid Data"/>
  </r>
  <r>
    <s v="11-073-0189"/>
    <x v="4"/>
    <x v="2"/>
    <s v="75-190-3627"/>
    <s v="Voomm"/>
    <n v="95"/>
    <n v="50"/>
    <n v="76"/>
    <s v="$4.00 "/>
    <n v="4"/>
    <d v="2024-05-04T00:00:00"/>
    <d v="2024-05-04T00:00:00"/>
    <s v="9/21/2024"/>
    <d v="2024-09-21T00:00:00"/>
    <d v="2024-06-05T00:00:00"/>
    <d v="2024-06-05T00:00:00"/>
    <s v="5104 Jana Court"/>
    <n v="69"/>
    <n v="5"/>
    <s v="Active"/>
    <n v="276"/>
    <n v="380"/>
    <x v="1"/>
    <x v="8"/>
    <n v="32"/>
    <s v="High Risk"/>
  </r>
  <r>
    <s v="22-621-2774"/>
    <x v="12"/>
    <x v="2"/>
    <s v="70-901-6191"/>
    <s v="Babblestorm"/>
    <n v="54"/>
    <n v="26"/>
    <n v="16"/>
    <s v="$6.00 "/>
    <n v="6"/>
    <d v="2024-11-03T00:00:00"/>
    <d v="2024-11-03T00:00:00"/>
    <s v="6/30/2024"/>
    <d v="2024-06-30T00:00:00"/>
    <s v="6/14/2024"/>
    <d v="2024-06-14T00:00:00"/>
    <s v="00 Drewry Court"/>
    <n v="63"/>
    <n v="97"/>
    <s v="Active"/>
    <n v="378"/>
    <n v="324"/>
    <x v="1"/>
    <x v="5"/>
    <n v="-142"/>
    <s v="Invalid Data"/>
  </r>
  <r>
    <s v="39-449-0772"/>
    <x v="13"/>
    <x v="4"/>
    <s v="84-504-7617"/>
    <s v="Youfeed"/>
    <n v="94"/>
    <n v="13"/>
    <n v="15"/>
    <s v="$7.00 "/>
    <n v="7"/>
    <s v="2/27/2024"/>
    <d v="2024-02-27T00:00:00"/>
    <d v="2024-02-04T00:00:00"/>
    <d v="2024-02-04T00:00:00"/>
    <d v="2024-05-10T00:00:00"/>
    <d v="2024-05-10T00:00:00"/>
    <s v="195 Portage Junction"/>
    <n v="20"/>
    <n v="24"/>
    <s v="Backordered"/>
    <n v="140"/>
    <n v="658"/>
    <x v="1"/>
    <x v="9"/>
    <n v="73"/>
    <s v="High Risk"/>
  </r>
  <r>
    <s v="55-936-2406"/>
    <x v="14"/>
    <x v="0"/>
    <s v="29-689-5014"/>
    <s v="Mynte"/>
    <n v="27"/>
    <n v="93"/>
    <n v="88"/>
    <s v="$1.50 "/>
    <n v="1.5"/>
    <s v="11/16/2024"/>
    <d v="2024-11-16T00:00:00"/>
    <d v="2024-09-03T00:00:00"/>
    <d v="2024-09-03T00:00:00"/>
    <d v="2024-05-04T00:00:00"/>
    <d v="2024-05-04T00:00:00"/>
    <s v="52691 8th Drive"/>
    <n v="66"/>
    <n v="13"/>
    <s v="Active"/>
    <n v="99"/>
    <n v="40.5"/>
    <x v="0"/>
    <x v="5"/>
    <n v="-196"/>
    <s v="Invalid Data"/>
  </r>
  <r>
    <s v="82-041-7211"/>
    <x v="15"/>
    <x v="4"/>
    <s v="03-615-0558"/>
    <s v="Reallinks"/>
    <n v="49"/>
    <n v="49"/>
    <n v="26"/>
    <s v="$8.00 "/>
    <n v="8"/>
    <d v="2024-10-09T00:00:00"/>
    <d v="2024-10-09T00:00:00"/>
    <s v="5/19/2024"/>
    <d v="2024-05-19T00:00:00"/>
    <d v="2024-01-07T00:00:00"/>
    <d v="2024-01-07T00:00:00"/>
    <s v="285 1st Park"/>
    <n v="78"/>
    <n v="61"/>
    <s v="Discontinued"/>
    <n v="624"/>
    <n v="392"/>
    <x v="0"/>
    <x v="7"/>
    <n v="-276"/>
    <s v="Invalid Data"/>
  </r>
  <r>
    <s v="48-414-6162"/>
    <x v="1"/>
    <x v="1"/>
    <s v="10-060-8515"/>
    <s v="Skivee"/>
    <n v="55"/>
    <n v="93"/>
    <n v="84"/>
    <s v="$20.00 "/>
    <n v="20"/>
    <s v="5/29/2024"/>
    <d v="2024-05-29T00:00:00"/>
    <d v="2024-08-11T00:00:00"/>
    <d v="2024-08-11T00:00:00"/>
    <d v="2024-05-05T00:00:00"/>
    <d v="2024-05-05T00:00:00"/>
    <s v="17780 Lindbergh Junction"/>
    <n v="46"/>
    <n v="84"/>
    <s v="Active"/>
    <n v="920"/>
    <n v="1100"/>
    <x v="0"/>
    <x v="8"/>
    <n v="-24"/>
    <s v="Invalid Data"/>
  </r>
  <r>
    <s v="76-854-0095"/>
    <x v="10"/>
    <x v="0"/>
    <s v="38-883-3382"/>
    <s v="Mydeo"/>
    <n v="65"/>
    <n v="61"/>
    <n v="82"/>
    <s v="$2.00 "/>
    <n v="2"/>
    <s v="5/31/2024"/>
    <d v="2024-05-31T00:00:00"/>
    <d v="2025-08-02T00:00:00"/>
    <d v="2025-08-02T00:00:00"/>
    <s v="12/28/2024"/>
    <d v="2024-12-28T00:00:00"/>
    <s v="7834 Cordelia Alley"/>
    <n v="29"/>
    <n v="11"/>
    <s v="Backordered"/>
    <n v="58"/>
    <n v="130"/>
    <x v="1"/>
    <x v="8"/>
    <n v="211"/>
    <s v="Low Risk"/>
  </r>
  <r>
    <s v="25-349-7974"/>
    <x v="16"/>
    <x v="2"/>
    <s v="82-737-6019"/>
    <s v="Devshare"/>
    <n v="72"/>
    <n v="70"/>
    <n v="99"/>
    <s v="$2.50 "/>
    <n v="2.5"/>
    <d v="2024-07-10T00:00:00"/>
    <d v="2024-07-10T00:00:00"/>
    <s v="5/28/2024"/>
    <d v="2024-05-28T00:00:00"/>
    <s v="6/22/2024"/>
    <d v="2024-06-22T00:00:00"/>
    <s v="42 Bunker Hill Junction"/>
    <n v="82"/>
    <n v="32"/>
    <s v="Discontinued"/>
    <n v="205"/>
    <n v="180"/>
    <x v="1"/>
    <x v="10"/>
    <n v="-18"/>
    <s v="Invalid Data"/>
  </r>
  <r>
    <s v="66-627-9752"/>
    <x v="17"/>
    <x v="6"/>
    <s v="87-839-6400"/>
    <s v="Jabbertype"/>
    <n v="49"/>
    <n v="73"/>
    <n v="48"/>
    <s v="$12.00 "/>
    <n v="12"/>
    <s v="8/17/2024"/>
    <d v="2024-08-17T00:00:00"/>
    <d v="2024-01-10T00:00:00"/>
    <d v="2024-01-10T00:00:00"/>
    <d v="2024-03-09T00:00:00"/>
    <d v="2024-03-09T00:00:00"/>
    <s v="08 Randy Junction"/>
    <n v="52"/>
    <n v="62"/>
    <s v="Active"/>
    <n v="624"/>
    <n v="588"/>
    <x v="0"/>
    <x v="0"/>
    <n v="-161"/>
    <s v="Invalid Data"/>
  </r>
  <r>
    <s v="78-614-4402"/>
    <x v="18"/>
    <x v="2"/>
    <s v="51-014-4287"/>
    <s v="Gigazoom"/>
    <n v="81"/>
    <n v="99"/>
    <n v="28"/>
    <s v="$2.00 "/>
    <n v="2"/>
    <s v="9/30/2024"/>
    <d v="2024-09-30T00:00:00"/>
    <s v="2/14/2025"/>
    <d v="2025-02-14T00:00:00"/>
    <s v="4/25/2024"/>
    <d v="2024-04-25T00:00:00"/>
    <s v="37 Browning Trail"/>
    <n v="20"/>
    <n v="85"/>
    <s v="Discontinued"/>
    <n v="40"/>
    <n v="162"/>
    <x v="0"/>
    <x v="11"/>
    <n v="-158"/>
    <s v="Invalid Data"/>
  </r>
  <r>
    <s v="67-025-1245"/>
    <x v="19"/>
    <x v="2"/>
    <s v="28-575-0716"/>
    <s v="Chatterbridge"/>
    <n v="88"/>
    <n v="46"/>
    <n v="55"/>
    <s v="$1.00 "/>
    <n v="1"/>
    <d v="2024-09-04T00:00:00"/>
    <d v="2024-09-04T00:00:00"/>
    <d v="2024-06-03T00:00:00"/>
    <d v="2024-06-03T00:00:00"/>
    <d v="2024-12-08T00:00:00"/>
    <d v="2024-12-08T00:00:00"/>
    <s v="51890 Lindbergh Terrace"/>
    <n v="73"/>
    <n v="63"/>
    <s v="Active"/>
    <n v="73"/>
    <n v="88"/>
    <x v="1"/>
    <x v="11"/>
    <n v="95"/>
    <s v="Medium Risk"/>
  </r>
  <r>
    <s v="68-418-6724"/>
    <x v="20"/>
    <x v="4"/>
    <s v="75-465-6257"/>
    <s v="Feedspan"/>
    <n v="63"/>
    <n v="4"/>
    <n v="85"/>
    <s v="$12.00 "/>
    <n v="12"/>
    <s v="12/21/2024"/>
    <d v="2024-12-21T00:00:00"/>
    <s v="1/13/2025"/>
    <d v="2025-01-13T00:00:00"/>
    <s v="9/30/2024"/>
    <d v="2024-09-30T00:00:00"/>
    <s v="49869 Bunker Hill Terrace"/>
    <n v="59"/>
    <n v="71"/>
    <s v="Active"/>
    <n v="708"/>
    <n v="756"/>
    <x v="1"/>
    <x v="6"/>
    <n v="-82"/>
    <s v="Invalid Data"/>
  </r>
  <r>
    <s v="40-795-0753"/>
    <x v="21"/>
    <x v="4"/>
    <s v="47-183-4911"/>
    <s v="Mydo"/>
    <n v="31"/>
    <n v="43"/>
    <n v="80"/>
    <s v="$1.50 "/>
    <n v="1.5"/>
    <s v="5/28/2024"/>
    <d v="2024-05-28T00:00:00"/>
    <s v="2/22/2025"/>
    <d v="2025-02-22T00:00:00"/>
    <s v="5/30/2024"/>
    <d v="2024-05-30T00:00:00"/>
    <s v="66879 Susan Place"/>
    <n v="46"/>
    <n v="78"/>
    <s v="Backordered"/>
    <n v="69"/>
    <n v="46.5"/>
    <x v="0"/>
    <x v="8"/>
    <n v="2"/>
    <s v="Critical"/>
  </r>
  <r>
    <s v="02-508-3777"/>
    <x v="22"/>
    <x v="4"/>
    <s v="69-933-2582"/>
    <s v="Realpoint"/>
    <n v="97"/>
    <n v="88"/>
    <n v="81"/>
    <s v="$0.80 "/>
    <n v="0.8"/>
    <d v="2024-05-11T00:00:00"/>
    <d v="2024-05-11T00:00:00"/>
    <d v="2024-07-07T00:00:00"/>
    <d v="2024-07-07T00:00:00"/>
    <s v="6/26/2024"/>
    <d v="2024-06-26T00:00:00"/>
    <s v="895 Northland Hill"/>
    <n v="97"/>
    <n v="18"/>
    <s v="Discontinued"/>
    <n v="77.600000000000009"/>
    <n v="77.600000000000009"/>
    <x v="1"/>
    <x v="8"/>
    <n v="46"/>
    <s v="High Risk"/>
  </r>
  <r>
    <s v="79-741-0770"/>
    <x v="23"/>
    <x v="2"/>
    <s v="67-771-7656"/>
    <s v="Photospace"/>
    <n v="72"/>
    <n v="87"/>
    <n v="39"/>
    <s v="$6.00 "/>
    <n v="6"/>
    <s v="6/24/2024"/>
    <d v="2024-06-24T00:00:00"/>
    <s v="2/24/2025"/>
    <d v="2025-02-24T00:00:00"/>
    <s v="3/17/2024"/>
    <d v="2024-03-17T00:00:00"/>
    <s v="91 Kinsman Terrace"/>
    <n v="94"/>
    <n v="57"/>
    <s v="Active"/>
    <n v="564"/>
    <n v="432"/>
    <x v="0"/>
    <x v="12"/>
    <n v="-99"/>
    <s v="Invalid Data"/>
  </r>
  <r>
    <s v="31-211-5803"/>
    <x v="24"/>
    <x v="5"/>
    <s v="75-503-9347"/>
    <s v="Gigazoom"/>
    <n v="16"/>
    <n v="9"/>
    <n v="32"/>
    <s v="$5.00 "/>
    <n v="5"/>
    <s v="7/16/2024"/>
    <d v="2024-07-16T00:00:00"/>
    <s v="8/21/2024"/>
    <d v="2024-08-21T00:00:00"/>
    <d v="2025-07-02T00:00:00"/>
    <d v="2025-07-02T00:00:00"/>
    <s v="492 Shoshone Road"/>
    <n v="50"/>
    <n v="98"/>
    <s v="Backordered"/>
    <n v="250"/>
    <n v="80"/>
    <x v="1"/>
    <x v="10"/>
    <n v="351"/>
    <s v="Low Risk"/>
  </r>
  <r>
    <s v="16-499-5059"/>
    <x v="25"/>
    <x v="2"/>
    <s v="09-090-6360"/>
    <s v="Centizu"/>
    <n v="77"/>
    <n v="20"/>
    <n v="5"/>
    <s v="$4.50 "/>
    <n v="4.5"/>
    <s v="8/18/2024"/>
    <d v="2024-08-18T00:00:00"/>
    <s v="11/19/2024"/>
    <d v="2024-11-19T00:00:00"/>
    <s v="12/20/2024"/>
    <d v="2024-12-20T00:00:00"/>
    <s v="3 Hooker Way"/>
    <n v="61"/>
    <n v="62"/>
    <s v="Discontinued"/>
    <n v="274.5"/>
    <n v="346.5"/>
    <x v="1"/>
    <x v="0"/>
    <n v="124"/>
    <s v="Medium Risk"/>
  </r>
  <r>
    <s v="76-340-4432"/>
    <x v="26"/>
    <x v="2"/>
    <s v="79-915-4185"/>
    <s v="Brainverse"/>
    <n v="19"/>
    <n v="36"/>
    <n v="72"/>
    <s v="$1.75 "/>
    <n v="1.75"/>
    <d v="2024-03-05T00:00:00"/>
    <d v="2024-03-05T00:00:00"/>
    <s v="3/28/2024"/>
    <d v="2024-03-28T00:00:00"/>
    <d v="2024-06-03T00:00:00"/>
    <d v="2024-06-03T00:00:00"/>
    <s v="157 David Center"/>
    <n v="31"/>
    <n v="81"/>
    <s v="Backordered"/>
    <n v="54.25"/>
    <n v="33.25"/>
    <x v="0"/>
    <x v="2"/>
    <n v="90"/>
    <s v="High Risk"/>
  </r>
  <r>
    <s v="38-732-7667"/>
    <x v="27"/>
    <x v="2"/>
    <s v="88-663-3393"/>
    <s v="Photojam"/>
    <n v="18"/>
    <n v="52"/>
    <n v="22"/>
    <s v="$3.50 "/>
    <n v="3.5"/>
    <s v="8/23/2024"/>
    <d v="2024-08-23T00:00:00"/>
    <s v="10/13/2024"/>
    <d v="2024-10-13T00:00:00"/>
    <s v="9/28/2024"/>
    <d v="2024-09-28T00:00:00"/>
    <s v="3645 Ridge Oak Drive"/>
    <n v="42"/>
    <n v="32"/>
    <s v="Backordered"/>
    <n v="147"/>
    <n v="63"/>
    <x v="0"/>
    <x v="0"/>
    <n v="36"/>
    <s v="High Risk"/>
  </r>
  <r>
    <s v="04-240-2226"/>
    <x v="28"/>
    <x v="3"/>
    <s v="65-842-6819"/>
    <s v="Kamba"/>
    <n v="47"/>
    <n v="48"/>
    <n v="73"/>
    <s v="$6.00 "/>
    <n v="6"/>
    <s v="8/13/2024"/>
    <d v="2024-08-13T00:00:00"/>
    <s v="6/28/2024"/>
    <d v="2024-06-28T00:00:00"/>
    <d v="2024-05-03T00:00:00"/>
    <d v="2024-05-03T00:00:00"/>
    <s v="504 Green Park"/>
    <n v="42"/>
    <n v="51"/>
    <s v="Discontinued"/>
    <n v="252"/>
    <n v="282"/>
    <x v="0"/>
    <x v="0"/>
    <n v="-102"/>
    <s v="Invalid Data"/>
  </r>
  <r>
    <s v="79-136-9840"/>
    <x v="29"/>
    <x v="1"/>
    <s v="07-809-0926"/>
    <s v="Pixonyx"/>
    <n v="77"/>
    <n v="45"/>
    <n v="75"/>
    <s v="$30.00 "/>
    <n v="30"/>
    <d v="2024-05-11T00:00:00"/>
    <d v="2024-05-11T00:00:00"/>
    <s v="8/19/2024"/>
    <d v="2024-08-19T00:00:00"/>
    <s v="6/23/2024"/>
    <d v="2024-06-23T00:00:00"/>
    <s v="26175 Oxford Way"/>
    <n v="25"/>
    <n v="37"/>
    <s v="Discontinued"/>
    <n v="750"/>
    <n v="2310"/>
    <x v="1"/>
    <x v="8"/>
    <n v="43"/>
    <s v="High Risk"/>
  </r>
  <r>
    <s v="73-401-5721"/>
    <x v="30"/>
    <x v="6"/>
    <s v="38-622-5251"/>
    <s v="Midel"/>
    <n v="46"/>
    <n v="28"/>
    <n v="73"/>
    <s v="$9.00 "/>
    <n v="9"/>
    <s v="5/28/2024"/>
    <d v="2024-05-28T00:00:00"/>
    <s v="10/28/2024"/>
    <d v="2024-10-28T00:00:00"/>
    <s v="12/26/2024"/>
    <d v="2024-12-26T00:00:00"/>
    <s v="582 Sauthoff Crossing"/>
    <n v="65"/>
    <n v="57"/>
    <s v="Discontinued"/>
    <n v="585"/>
    <n v="414"/>
    <x v="1"/>
    <x v="8"/>
    <n v="212"/>
    <s v="Low Risk"/>
  </r>
  <r>
    <s v="91-848-0606"/>
    <x v="31"/>
    <x v="2"/>
    <s v="68-836-0350"/>
    <s v="Skyble"/>
    <n v="39"/>
    <n v="22"/>
    <n v="73"/>
    <s v="$2.00 "/>
    <n v="2"/>
    <d v="2024-11-06T00:00:00"/>
    <d v="2024-11-06T00:00:00"/>
    <s v="7/23/2024"/>
    <d v="2024-07-23T00:00:00"/>
    <s v="10/28/2024"/>
    <d v="2024-10-28T00:00:00"/>
    <s v="13 Corscot Hill"/>
    <n v="60"/>
    <n v="2"/>
    <s v="Active"/>
    <n v="120"/>
    <n v="78"/>
    <x v="1"/>
    <x v="5"/>
    <n v="-9"/>
    <s v="Invalid Data"/>
  </r>
  <r>
    <s v="54-109-8062"/>
    <x v="0"/>
    <x v="0"/>
    <s v="04-726-3363"/>
    <s v="Linklinks"/>
    <n v="75"/>
    <n v="69"/>
    <n v="100"/>
    <s v="$4.50 "/>
    <n v="4.5"/>
    <d v="2024-11-07T00:00:00"/>
    <d v="2024-11-07T00:00:00"/>
    <s v="1/19/2025"/>
    <d v="2025-01-19T00:00:00"/>
    <s v="2/16/2025"/>
    <d v="2025-02-16T00:00:00"/>
    <s v="67 Little Fleur Road"/>
    <n v="43"/>
    <n v="18"/>
    <s v="Backordered"/>
    <n v="193.5"/>
    <n v="337.5"/>
    <x v="1"/>
    <x v="5"/>
    <n v="101"/>
    <s v="Medium Risk"/>
  </r>
  <r>
    <s v="70-612-2531"/>
    <x v="27"/>
    <x v="2"/>
    <s v="94-217-4781"/>
    <s v="Flipbug"/>
    <n v="48"/>
    <n v="48"/>
    <n v="39"/>
    <s v="$3.45 "/>
    <n v="3.45"/>
    <s v="3/17/2024"/>
    <d v="2024-03-17T00:00:00"/>
    <s v="1/25/2025"/>
    <d v="2025-01-25T00:00:00"/>
    <s v="10/30/2024"/>
    <d v="2024-10-30T00:00:00"/>
    <s v="4 Raven Drive"/>
    <n v="51"/>
    <n v="50"/>
    <s v="Discontinued"/>
    <n v="175.95000000000002"/>
    <n v="165.60000000000002"/>
    <x v="0"/>
    <x v="2"/>
    <n v="227"/>
    <s v="Low Risk"/>
  </r>
  <r>
    <s v="26-161-6692"/>
    <x v="32"/>
    <x v="2"/>
    <s v="61-796-7912"/>
    <s v="Kare"/>
    <n v="61"/>
    <n v="90"/>
    <n v="26"/>
    <s v="$2.50 "/>
    <n v="2.5"/>
    <s v="12/22/2024"/>
    <d v="2024-12-22T00:00:00"/>
    <d v="2024-07-09T00:00:00"/>
    <d v="2024-07-09T00:00:00"/>
    <s v="9/19/2024"/>
    <d v="2024-09-19T00:00:00"/>
    <s v="70001 Vahlen Lane"/>
    <n v="79"/>
    <n v="84"/>
    <s v="Discontinued"/>
    <n v="197.5"/>
    <n v="152.5"/>
    <x v="0"/>
    <x v="6"/>
    <n v="-94"/>
    <s v="Invalid Data"/>
  </r>
  <r>
    <s v="43-893-5408"/>
    <x v="33"/>
    <x v="0"/>
    <s v="25-414-2945"/>
    <s v="Snaptags"/>
    <n v="60"/>
    <n v="90"/>
    <n v="85"/>
    <s v="$3.00 "/>
    <n v="3"/>
    <s v="1/21/2025"/>
    <d v="2025-01-21T00:00:00"/>
    <s v="3/20/2024"/>
    <d v="2024-03-20T00:00:00"/>
    <s v="8/24/2024"/>
    <d v="2024-08-24T00:00:00"/>
    <s v="6 Orin Place"/>
    <n v="47"/>
    <n v="9"/>
    <s v="Discontinued"/>
    <n v="141"/>
    <n v="180"/>
    <x v="0"/>
    <x v="13"/>
    <n v="-150"/>
    <s v="Invalid Data"/>
  </r>
  <r>
    <s v="11-316-8405"/>
    <x v="34"/>
    <x v="2"/>
    <s v="50-918-1373"/>
    <s v="Twitternation"/>
    <n v="24"/>
    <n v="55"/>
    <n v="51"/>
    <s v="$5.00 "/>
    <n v="5"/>
    <s v="4/26/2024"/>
    <d v="2024-04-26T00:00:00"/>
    <s v="2/24/2025"/>
    <d v="2025-02-24T00:00:00"/>
    <s v="11/25/2024"/>
    <d v="2024-11-25T00:00:00"/>
    <s v="108 Morning Center"/>
    <n v="39"/>
    <n v="15"/>
    <s v="Discontinued"/>
    <n v="195"/>
    <n v="120"/>
    <x v="0"/>
    <x v="4"/>
    <n v="213"/>
    <s v="Low Risk"/>
  </r>
  <r>
    <s v="34-086-3222"/>
    <x v="35"/>
    <x v="2"/>
    <s v="34-017-9457"/>
    <s v="Layo"/>
    <n v="12"/>
    <n v="7"/>
    <n v="48"/>
    <s v="$2.30 "/>
    <n v="2.2999999999999998"/>
    <s v="6/24/2024"/>
    <d v="2024-06-24T00:00:00"/>
    <s v="12/25/2024"/>
    <d v="2024-12-25T00:00:00"/>
    <d v="2024-05-06T00:00:00"/>
    <d v="2024-05-06T00:00:00"/>
    <s v="867 Merrick Place"/>
    <n v="66"/>
    <n v="4"/>
    <s v="Discontinued"/>
    <n v="151.79999999999998"/>
    <n v="27.599999999999998"/>
    <x v="1"/>
    <x v="12"/>
    <n v="-49"/>
    <s v="Invalid Data"/>
  </r>
  <r>
    <s v="21-816-1004"/>
    <x v="36"/>
    <x v="1"/>
    <s v="68-482-4786"/>
    <s v="Realpoint"/>
    <n v="84"/>
    <n v="13"/>
    <n v="88"/>
    <s v="$15.00 "/>
    <n v="15"/>
    <s v="1/26/2025"/>
    <d v="2025-01-26T00:00:00"/>
    <d v="2024-04-12T00:00:00"/>
    <d v="2024-04-12T00:00:00"/>
    <s v="7/22/2024"/>
    <d v="2024-07-22T00:00:00"/>
    <s v="564 Hazelcrest Crossing"/>
    <n v="25"/>
    <n v="34"/>
    <s v="Backordered"/>
    <n v="375"/>
    <n v="1260"/>
    <x v="1"/>
    <x v="13"/>
    <n v="-188"/>
    <s v="Invalid Data"/>
  </r>
  <r>
    <s v="43-693-2092"/>
    <x v="37"/>
    <x v="4"/>
    <s v="19-469-9841"/>
    <s v="Kayveo"/>
    <n v="51"/>
    <n v="100"/>
    <n v="70"/>
    <s v="$3.00 "/>
    <n v="3"/>
    <s v="4/30/2024"/>
    <d v="2024-04-30T00:00:00"/>
    <s v="10/21/2024"/>
    <d v="2024-10-21T00:00:00"/>
    <s v="9/22/2024"/>
    <d v="2024-09-22T00:00:00"/>
    <s v="76 Toban Plaza"/>
    <n v="40"/>
    <n v="21"/>
    <s v="Discontinued"/>
    <n v="120"/>
    <n v="153"/>
    <x v="0"/>
    <x v="4"/>
    <n v="145"/>
    <s v="Medium Risk"/>
  </r>
  <r>
    <s v="63-270-7076"/>
    <x v="38"/>
    <x v="5"/>
    <s v="85-532-0172"/>
    <s v="Roombo"/>
    <n v="65"/>
    <n v="36"/>
    <n v="37"/>
    <s v="$3.50 "/>
    <n v="3.5"/>
    <s v="4/21/2024"/>
    <d v="2024-04-21T00:00:00"/>
    <d v="2024-12-06T00:00:00"/>
    <d v="2024-12-06T00:00:00"/>
    <s v="1/24/2025"/>
    <d v="2025-01-24T00:00:00"/>
    <s v="6 Lunder Parkway"/>
    <n v="32"/>
    <n v="70"/>
    <s v="Backordered"/>
    <n v="112"/>
    <n v="227.5"/>
    <x v="1"/>
    <x v="4"/>
    <n v="278"/>
    <s v="Low Risk"/>
  </r>
  <r>
    <s v="90-230-9767"/>
    <x v="3"/>
    <x v="0"/>
    <s v="70-515-9048"/>
    <s v="Voonyx"/>
    <n v="67"/>
    <n v="88"/>
    <n v="32"/>
    <s v="$1.50 "/>
    <n v="1.5"/>
    <d v="2024-06-04T00:00:00"/>
    <d v="2024-06-04T00:00:00"/>
    <d v="2024-01-05T00:00:00"/>
    <d v="2024-01-05T00:00:00"/>
    <s v="11/17/2024"/>
    <d v="2024-11-17T00:00:00"/>
    <s v="00397 Bay Terrace"/>
    <n v="66"/>
    <n v="42"/>
    <s v="Discontinued"/>
    <n v="99"/>
    <n v="100.5"/>
    <x v="0"/>
    <x v="12"/>
    <n v="166"/>
    <s v="Medium Risk"/>
  </r>
  <r>
    <s v="05-334-2923"/>
    <x v="14"/>
    <x v="0"/>
    <s v="41-772-6271"/>
    <s v="Browsezoom"/>
    <n v="14"/>
    <n v="74"/>
    <n v="71"/>
    <s v="$1.50 "/>
    <n v="1.5"/>
    <s v="8/18/2024"/>
    <d v="2024-08-18T00:00:00"/>
    <s v="11/22/2024"/>
    <d v="2024-11-22T00:00:00"/>
    <s v="5/16/2024"/>
    <d v="2024-05-16T00:00:00"/>
    <s v="8 Surrey Pass"/>
    <n v="37"/>
    <n v="22"/>
    <s v="Discontinued"/>
    <n v="55.5"/>
    <n v="21"/>
    <x v="0"/>
    <x v="0"/>
    <n v="-94"/>
    <s v="Invalid Data"/>
  </r>
  <r>
    <s v="52-481-5224"/>
    <x v="39"/>
    <x v="2"/>
    <s v="46-382-2024"/>
    <s v="Fiveclub"/>
    <n v="45"/>
    <n v="24"/>
    <n v="61"/>
    <s v="$6.00 "/>
    <n v="6"/>
    <s v="1/21/2025"/>
    <d v="2025-01-21T00:00:00"/>
    <d v="2025-07-02T00:00:00"/>
    <d v="2025-07-02T00:00:00"/>
    <s v="2/15/2025"/>
    <d v="2025-02-15T00:00:00"/>
    <s v="80 Old Shore Plaza"/>
    <n v="44"/>
    <n v="34"/>
    <s v="Backordered"/>
    <n v="264"/>
    <n v="270"/>
    <x v="1"/>
    <x v="13"/>
    <n v="25"/>
    <s v="Critical"/>
  </r>
  <r>
    <s v="11-325-7396"/>
    <x v="34"/>
    <x v="2"/>
    <s v="98-940-7545"/>
    <s v="Skipfire"/>
    <n v="92"/>
    <n v="46"/>
    <n v="13"/>
    <s v="$5.00 "/>
    <n v="5"/>
    <s v="7/28/2024"/>
    <d v="2024-07-28T00:00:00"/>
    <s v="10/18/2024"/>
    <d v="2024-10-18T00:00:00"/>
    <s v="3/26/2024"/>
    <d v="2024-03-26T00:00:00"/>
    <s v="387 Jay Point"/>
    <n v="24"/>
    <n v="75"/>
    <s v="Discontinued"/>
    <n v="120"/>
    <n v="460"/>
    <x v="1"/>
    <x v="10"/>
    <n v="-124"/>
    <s v="Invalid Data"/>
  </r>
  <r>
    <s v="70-854-6891"/>
    <x v="40"/>
    <x v="5"/>
    <s v="79-575-9351"/>
    <s v="Flashspan"/>
    <n v="41"/>
    <n v="84"/>
    <n v="90"/>
    <s v="$4.00 "/>
    <n v="4"/>
    <s v="1/28/2025"/>
    <d v="2025-01-28T00:00:00"/>
    <s v="11/28/2024"/>
    <d v="2024-11-28T00:00:00"/>
    <d v="2024-12-11T00:00:00"/>
    <d v="2024-12-11T00:00:00"/>
    <s v="24045 Bluestem Point"/>
    <n v="42"/>
    <n v="65"/>
    <s v="Active"/>
    <n v="168"/>
    <n v="164"/>
    <x v="0"/>
    <x v="13"/>
    <n v="-48"/>
    <s v="Invalid Data"/>
  </r>
  <r>
    <s v="46-520-1819"/>
    <x v="33"/>
    <x v="0"/>
    <s v="10-762-7936"/>
    <s v="Katz"/>
    <n v="41"/>
    <n v="36"/>
    <n v="78"/>
    <s v="$4.50 "/>
    <n v="4.5"/>
    <d v="2024-04-07T00:00:00"/>
    <d v="2024-04-07T00:00:00"/>
    <d v="2024-04-10T00:00:00"/>
    <d v="2024-04-10T00:00:00"/>
    <s v="5/15/2024"/>
    <d v="2024-05-15T00:00:00"/>
    <s v="805 Nancy Crossing"/>
    <n v="38"/>
    <n v="75"/>
    <s v="Backordered"/>
    <n v="171"/>
    <n v="184.5"/>
    <x v="1"/>
    <x v="4"/>
    <n v="38"/>
    <s v="High Risk"/>
  </r>
  <r>
    <s v="91-105-7317"/>
    <x v="41"/>
    <x v="2"/>
    <s v="84-047-0017"/>
    <s v="Devshare"/>
    <n v="85"/>
    <n v="45"/>
    <n v="71"/>
    <s v="$3.00 "/>
    <n v="3"/>
    <s v="3/20/2024"/>
    <d v="2024-03-20T00:00:00"/>
    <s v="12/28/2024"/>
    <d v="2024-12-28T00:00:00"/>
    <d v="2025-02-02T00:00:00"/>
    <d v="2025-02-02T00:00:00"/>
    <s v="44022 Barnett Way"/>
    <n v="95"/>
    <n v="72"/>
    <s v="Discontinued"/>
    <n v="285"/>
    <n v="255"/>
    <x v="1"/>
    <x v="2"/>
    <n v="319"/>
    <s v="Low Risk"/>
  </r>
  <r>
    <s v="40-751-8635"/>
    <x v="27"/>
    <x v="2"/>
    <s v="48-878-3021"/>
    <s v="Yamia"/>
    <n v="44"/>
    <n v="80"/>
    <n v="84"/>
    <s v="$3.40 "/>
    <n v="3.4"/>
    <s v="8/30/2024"/>
    <d v="2024-08-30T00:00:00"/>
    <s v="10/17/2024"/>
    <d v="2024-10-17T00:00:00"/>
    <d v="2024-05-03T00:00:00"/>
    <d v="2024-05-03T00:00:00"/>
    <s v="3 Ronald Regan Center"/>
    <n v="96"/>
    <n v="68"/>
    <s v="Discontinued"/>
    <n v="326.39999999999998"/>
    <n v="149.6"/>
    <x v="0"/>
    <x v="0"/>
    <n v="-119"/>
    <s v="Invalid Data"/>
  </r>
  <r>
    <s v="02-920-4829"/>
    <x v="42"/>
    <x v="5"/>
    <s v="41-587-4864"/>
    <s v="Skyble"/>
    <n v="92"/>
    <n v="87"/>
    <n v="84"/>
    <s v="$2.50 "/>
    <n v="2.5"/>
    <s v="10/19/2024"/>
    <d v="2024-10-19T00:00:00"/>
    <s v="6/14/2024"/>
    <d v="2024-06-14T00:00:00"/>
    <s v="5/22/2024"/>
    <d v="2024-05-22T00:00:00"/>
    <s v="4 Judy Hill"/>
    <n v="61"/>
    <n v="31"/>
    <s v="Backordered"/>
    <n v="152.5"/>
    <n v="230"/>
    <x v="1"/>
    <x v="7"/>
    <n v="-150"/>
    <s v="Invalid Data"/>
  </r>
  <r>
    <s v="36-918-2937"/>
    <x v="43"/>
    <x v="1"/>
    <s v="53-844-0478"/>
    <s v="Kwinu"/>
    <n v="62"/>
    <n v="89"/>
    <n v="18"/>
    <s v="$12.00 "/>
    <n v="12"/>
    <d v="2024-12-03T00:00:00"/>
    <d v="2024-12-03T00:00:00"/>
    <d v="2025-12-02T00:00:00"/>
    <d v="2025-12-02T00:00:00"/>
    <s v="11/28/2024"/>
    <d v="2024-11-28T00:00:00"/>
    <s v="90865 Sherman Court"/>
    <n v="35"/>
    <n v="36"/>
    <s v="Active"/>
    <n v="420"/>
    <n v="744"/>
    <x v="0"/>
    <x v="6"/>
    <n v="-5"/>
    <s v="Invalid Data"/>
  </r>
  <r>
    <s v="68-761-6907"/>
    <x v="32"/>
    <x v="2"/>
    <s v="31-199-3683"/>
    <s v="Brainverse"/>
    <n v="26"/>
    <n v="18"/>
    <n v="62"/>
    <s v="$2.50 "/>
    <n v="2.5"/>
    <s v="7/28/2024"/>
    <d v="2024-07-28T00:00:00"/>
    <s v="7/21/2024"/>
    <d v="2024-07-21T00:00:00"/>
    <d v="2025-02-02T00:00:00"/>
    <d v="2025-02-02T00:00:00"/>
    <s v="9695 Alpine Trail"/>
    <n v="57"/>
    <n v="86"/>
    <s v="Discontinued"/>
    <n v="142.5"/>
    <n v="65"/>
    <x v="1"/>
    <x v="10"/>
    <n v="189"/>
    <s v="Low Risk"/>
  </r>
  <r>
    <s v="69-468-5468"/>
    <x v="40"/>
    <x v="5"/>
    <s v="37-099-6976"/>
    <s v="Vinte"/>
    <n v="59"/>
    <n v="78"/>
    <n v="6"/>
    <s v="$4.50 "/>
    <n v="4.5"/>
    <d v="2024-03-11T00:00:00"/>
    <d v="2024-03-11T00:00:00"/>
    <d v="2024-10-06T00:00:00"/>
    <d v="2024-10-06T00:00:00"/>
    <s v="11/26/2024"/>
    <d v="2024-11-26T00:00:00"/>
    <s v="72083 Acker Crossing"/>
    <n v="32"/>
    <n v="3"/>
    <s v="Active"/>
    <n v="144"/>
    <n v="265.5"/>
    <x v="0"/>
    <x v="2"/>
    <n v="260"/>
    <s v="Low Risk"/>
  </r>
  <r>
    <s v="27-635-8394"/>
    <x v="41"/>
    <x v="2"/>
    <s v="87-893-6089"/>
    <s v="Twitterwire"/>
    <n v="88"/>
    <n v="37"/>
    <n v="61"/>
    <s v="$2.90 "/>
    <n v="2.9"/>
    <d v="2025-03-02T00:00:00"/>
    <d v="2025-03-02T00:00:00"/>
    <s v="11/13/2024"/>
    <d v="2024-11-13T00:00:00"/>
    <s v="3/19/2024"/>
    <d v="2024-03-19T00:00:00"/>
    <s v="812 Shelley Circle"/>
    <n v="63"/>
    <n v="35"/>
    <s v="Discontinued"/>
    <n v="182.7"/>
    <n v="255.2"/>
    <x v="1"/>
    <x v="3"/>
    <n v="-348"/>
    <s v="Invalid Data"/>
  </r>
  <r>
    <s v="41-729-5410"/>
    <x v="44"/>
    <x v="6"/>
    <s v="71-727-8611"/>
    <s v="Ntag"/>
    <n v="91"/>
    <n v="59"/>
    <n v="49"/>
    <s v="$6.00 "/>
    <n v="6"/>
    <s v="10/23/2024"/>
    <d v="2024-10-23T00:00:00"/>
    <d v="2024-05-04T00:00:00"/>
    <d v="2024-05-04T00:00:00"/>
    <s v="6/26/2024"/>
    <d v="2024-06-26T00:00:00"/>
    <s v="7193 Crownhardt Drive"/>
    <n v="30"/>
    <n v="63"/>
    <s v="Active"/>
    <n v="180"/>
    <n v="546"/>
    <x v="1"/>
    <x v="7"/>
    <n v="-119"/>
    <s v="Invalid Data"/>
  </r>
  <r>
    <s v="33-335-9140"/>
    <x v="28"/>
    <x v="3"/>
    <s v="08-209-1598"/>
    <s v="Blogspan"/>
    <n v="28"/>
    <n v="17"/>
    <n v="28"/>
    <s v="$6.00 "/>
    <n v="6"/>
    <s v="10/24/2024"/>
    <d v="2024-10-24T00:00:00"/>
    <s v="8/20/2024"/>
    <d v="2024-08-20T00:00:00"/>
    <s v="8/27/2024"/>
    <d v="2024-08-27T00:00:00"/>
    <s v="76928 Tennyson Parkway"/>
    <n v="38"/>
    <n v="25"/>
    <s v="Active"/>
    <n v="228"/>
    <n v="168"/>
    <x v="1"/>
    <x v="7"/>
    <n v="-58"/>
    <s v="Invalid Data"/>
  </r>
  <r>
    <s v="11-581-9869"/>
    <x v="45"/>
    <x v="2"/>
    <s v="22-867-3079"/>
    <s v="Avaveo"/>
    <n v="51"/>
    <n v="60"/>
    <n v="98"/>
    <s v="$1.50 "/>
    <n v="1.5"/>
    <d v="2024-01-05T00:00:00"/>
    <d v="2024-01-05T00:00:00"/>
    <d v="2024-12-12T00:00:00"/>
    <d v="2024-12-12T00:00:00"/>
    <s v="9/26/2024"/>
    <d v="2024-09-26T00:00:00"/>
    <s v="44801 Myrtle Center"/>
    <n v="44"/>
    <n v="95"/>
    <s v="Discontinued"/>
    <n v="66"/>
    <n v="76.5"/>
    <x v="0"/>
    <x v="1"/>
    <n v="265"/>
    <s v="Low Risk"/>
  </r>
  <r>
    <s v="78-237-0277"/>
    <x v="46"/>
    <x v="1"/>
    <s v="50-314-5433"/>
    <s v="Brainbox"/>
    <n v="46"/>
    <n v="27"/>
    <n v="76"/>
    <s v="$5.00 "/>
    <n v="5"/>
    <s v="9/15/2024"/>
    <d v="2024-09-15T00:00:00"/>
    <s v="9/23/2024"/>
    <d v="2024-09-23T00:00:00"/>
    <s v="1/13/2025"/>
    <d v="2025-01-13T00:00:00"/>
    <s v="79 Cardinal Court"/>
    <n v="64"/>
    <n v="96"/>
    <s v="Active"/>
    <n v="320"/>
    <n v="230"/>
    <x v="1"/>
    <x v="11"/>
    <n v="120"/>
    <s v="Medium Risk"/>
  </r>
  <r>
    <s v="75-152-8731"/>
    <x v="25"/>
    <x v="2"/>
    <s v="05-593-1927"/>
    <s v="Voonix"/>
    <n v="82"/>
    <n v="65"/>
    <n v="69"/>
    <s v="$4.45 "/>
    <n v="4.45"/>
    <d v="2024-11-04T00:00:00"/>
    <d v="2024-11-04T00:00:00"/>
    <d v="2024-12-11T00:00:00"/>
    <d v="2024-12-11T00:00:00"/>
    <d v="2024-08-08T00:00:00"/>
    <d v="2024-08-08T00:00:00"/>
    <s v="622 Anthes Lane"/>
    <n v="30"/>
    <n v="78"/>
    <s v="Backordered"/>
    <n v="133.5"/>
    <n v="364.90000000000003"/>
    <x v="1"/>
    <x v="5"/>
    <n v="-88"/>
    <s v="Invalid Data"/>
  </r>
  <r>
    <s v="65-718-0492"/>
    <x v="28"/>
    <x v="3"/>
    <s v="91-492-8216"/>
    <s v="Midel"/>
    <n v="100"/>
    <n v="92"/>
    <n v="26"/>
    <s v="$6.00 "/>
    <n v="6"/>
    <d v="2024-05-05T00:00:00"/>
    <d v="2024-05-05T00:00:00"/>
    <s v="1/23/2025"/>
    <d v="2025-01-23T00:00:00"/>
    <s v="2/16/2025"/>
    <d v="2025-02-16T00:00:00"/>
    <s v="8626 Chinook Parkway"/>
    <n v="84"/>
    <n v="9"/>
    <s v="Active"/>
    <n v="504"/>
    <n v="600"/>
    <x v="1"/>
    <x v="8"/>
    <n v="287"/>
    <s v="Low Risk"/>
  </r>
  <r>
    <s v="55-697-5242"/>
    <x v="47"/>
    <x v="4"/>
    <s v="74-726-0855"/>
    <s v="Shufflebeat"/>
    <n v="51"/>
    <n v="53"/>
    <n v="88"/>
    <s v="$6.00 "/>
    <n v="6"/>
    <s v="1/31/2025"/>
    <d v="2025-01-31T00:00:00"/>
    <s v="6/30/2024"/>
    <d v="2024-06-30T00:00:00"/>
    <s v="9/24/2024"/>
    <d v="2024-09-24T00:00:00"/>
    <s v="19112 Little Fleur Road"/>
    <n v="54"/>
    <n v="59"/>
    <s v="Discontinued"/>
    <n v="324"/>
    <n v="306"/>
    <x v="0"/>
    <x v="13"/>
    <n v="-129"/>
    <s v="Invalid Data"/>
  </r>
  <r>
    <s v="14-844-4138"/>
    <x v="36"/>
    <x v="1"/>
    <s v="90-534-2165"/>
    <s v="Flipbug"/>
    <n v="61"/>
    <n v="43"/>
    <n v="29"/>
    <s v="$15.00 "/>
    <n v="15"/>
    <d v="2025-03-02T00:00:00"/>
    <d v="2025-03-02T00:00:00"/>
    <s v="10/25/2024"/>
    <d v="2024-10-25T00:00:00"/>
    <d v="2024-03-03T00:00:00"/>
    <d v="2024-03-03T00:00:00"/>
    <s v="40643 Sullivan Lane"/>
    <n v="67"/>
    <n v="6"/>
    <s v="Discontinued"/>
    <n v="1005"/>
    <n v="915"/>
    <x v="1"/>
    <x v="3"/>
    <n v="-364"/>
    <s v="Invalid Data"/>
  </r>
  <r>
    <s v="20-225-3930"/>
    <x v="48"/>
    <x v="1"/>
    <s v="73-069-2753"/>
    <s v="Skipstorm"/>
    <n v="99"/>
    <n v="87"/>
    <n v="10"/>
    <s v="$25.00 "/>
    <n v="25"/>
    <d v="2024-08-12T00:00:00"/>
    <d v="2024-08-12T00:00:00"/>
    <s v="2/29/2024"/>
    <d v="2024-02-29T00:00:00"/>
    <s v="3/17/2024"/>
    <d v="2024-03-17T00:00:00"/>
    <s v="5756 Stephen Avenue"/>
    <n v="93"/>
    <n v="70"/>
    <s v="Active"/>
    <n v="2325"/>
    <n v="2475"/>
    <x v="1"/>
    <x v="0"/>
    <n v="-148"/>
    <s v="Invalid Data"/>
  </r>
  <r>
    <s v="66-993-4234"/>
    <x v="26"/>
    <x v="2"/>
    <s v="15-852-0491"/>
    <s v="Gigazoom"/>
    <n v="13"/>
    <n v="60"/>
    <n v="100"/>
    <s v="$1.80 "/>
    <n v="1.8"/>
    <s v="7/18/2024"/>
    <d v="2024-07-18T00:00:00"/>
    <s v="1/16/2025"/>
    <d v="2025-01-16T00:00:00"/>
    <s v="6/24/2024"/>
    <d v="2024-06-24T00:00:00"/>
    <s v="22 Dexter Trail"/>
    <n v="44"/>
    <n v="32"/>
    <s v="Backordered"/>
    <n v="79.2"/>
    <n v="23.400000000000002"/>
    <x v="0"/>
    <x v="10"/>
    <n v="-24"/>
    <s v="Invalid Data"/>
  </r>
  <r>
    <s v="87-762-1317"/>
    <x v="49"/>
    <x v="4"/>
    <s v="58-474-3510"/>
    <s v="Dazzlesphere"/>
    <n v="45"/>
    <n v="63"/>
    <n v="75"/>
    <s v="$7.00 "/>
    <n v="7"/>
    <s v="1/28/2025"/>
    <d v="2025-01-28T00:00:00"/>
    <s v="11/20/2024"/>
    <d v="2024-11-20T00:00:00"/>
    <d v="2025-09-02T00:00:00"/>
    <d v="2025-09-02T00:00:00"/>
    <s v="9305 Warrior Way"/>
    <n v="83"/>
    <n v="5"/>
    <s v="Discontinued"/>
    <n v="581"/>
    <n v="315"/>
    <x v="0"/>
    <x v="13"/>
    <n v="217"/>
    <s v="Low Risk"/>
  </r>
  <r>
    <s v="81-844-2979"/>
    <x v="50"/>
    <x v="2"/>
    <s v="02-575-7332"/>
    <s v="Realblab"/>
    <n v="73"/>
    <n v="87"/>
    <n v="46"/>
    <s v="$4.00 "/>
    <n v="4"/>
    <s v="9/24/2024"/>
    <d v="2024-09-24T00:00:00"/>
    <s v="1/15/2025"/>
    <d v="2025-01-15T00:00:00"/>
    <d v="2024-11-05T00:00:00"/>
    <d v="2024-11-05T00:00:00"/>
    <s v="16 Elgar Point"/>
    <n v="47"/>
    <n v="67"/>
    <s v="Discontinued"/>
    <n v="188"/>
    <n v="292"/>
    <x v="0"/>
    <x v="11"/>
    <n v="42"/>
    <s v="High Risk"/>
  </r>
  <r>
    <s v="44-408-7594"/>
    <x v="51"/>
    <x v="2"/>
    <s v="08-828-3804"/>
    <s v="Eire"/>
    <n v="39"/>
    <n v="21"/>
    <n v="5"/>
    <s v="$3.00 "/>
    <n v="3"/>
    <s v="11/24/2024"/>
    <d v="2024-11-24T00:00:00"/>
    <d v="2024-01-05T00:00:00"/>
    <d v="2024-01-05T00:00:00"/>
    <d v="2025-08-01T00:00:00"/>
    <d v="2025-08-01T00:00:00"/>
    <s v="81 Oneill Circle"/>
    <n v="51"/>
    <n v="98"/>
    <s v="Backordered"/>
    <n v="153"/>
    <n v="117"/>
    <x v="1"/>
    <x v="5"/>
    <n v="250"/>
    <s v="Low Risk"/>
  </r>
  <r>
    <s v="26-010-9519"/>
    <x v="17"/>
    <x v="6"/>
    <s v="28-837-4164"/>
    <s v="Blogtag"/>
    <n v="29"/>
    <n v="72"/>
    <n v="96"/>
    <s v="$12.00 "/>
    <n v="12"/>
    <d v="2024-03-05T00:00:00"/>
    <d v="2024-03-05T00:00:00"/>
    <s v="11/26/2024"/>
    <d v="2024-11-26T00:00:00"/>
    <d v="2025-09-01T00:00:00"/>
    <d v="2025-09-01T00:00:00"/>
    <s v="4508 Shopko Trail"/>
    <n v="85"/>
    <n v="52"/>
    <s v="Active"/>
    <n v="1020"/>
    <n v="348"/>
    <x v="0"/>
    <x v="2"/>
    <n v="545"/>
    <s v="Safe"/>
  </r>
  <r>
    <s v="65-464-5070"/>
    <x v="52"/>
    <x v="4"/>
    <s v="01-517-7793"/>
    <s v="Ntags"/>
    <n v="12"/>
    <n v="60"/>
    <n v="73"/>
    <s v="$4.00 "/>
    <n v="4"/>
    <d v="2025-03-02T00:00:00"/>
    <d v="2025-03-02T00:00:00"/>
    <s v="3/16/2024"/>
    <d v="2024-03-16T00:00:00"/>
    <d v="2024-01-09T00:00:00"/>
    <d v="2024-01-09T00:00:00"/>
    <s v="00 Luster Alley"/>
    <n v="20"/>
    <n v="35"/>
    <s v="Discontinued"/>
    <n v="80"/>
    <n v="48"/>
    <x v="0"/>
    <x v="3"/>
    <n v="-418"/>
    <s v="Invalid Data"/>
  </r>
  <r>
    <s v="07-970-9352"/>
    <x v="53"/>
    <x v="2"/>
    <s v="14-724-4622"/>
    <s v="Tagtune"/>
    <n v="96"/>
    <n v="33"/>
    <n v="72"/>
    <s v="$4.45 "/>
    <n v="4.45"/>
    <d v="2024-10-03T00:00:00"/>
    <d v="2024-10-03T00:00:00"/>
    <s v="5/16/2024"/>
    <d v="2024-05-16T00:00:00"/>
    <d v="2024-12-07T00:00:00"/>
    <d v="2024-12-07T00:00:00"/>
    <s v="459 Gateway Pass"/>
    <n v="74"/>
    <n v="100"/>
    <s v="Active"/>
    <n v="329.3"/>
    <n v="427.20000000000005"/>
    <x v="1"/>
    <x v="7"/>
    <n v="65"/>
    <s v="High Risk"/>
  </r>
  <r>
    <s v="88-746-9468"/>
    <x v="31"/>
    <x v="2"/>
    <s v="06-159-1957"/>
    <s v="Skiba"/>
    <n v="35"/>
    <n v="92"/>
    <n v="74"/>
    <s v="$2.00 "/>
    <n v="2"/>
    <s v="11/25/2024"/>
    <d v="2024-11-25T00:00:00"/>
    <d v="2025-03-02T00:00:00"/>
    <d v="2025-03-02T00:00:00"/>
    <s v="11/14/2024"/>
    <d v="2024-11-14T00:00:00"/>
    <s v="82737 Ryan Place"/>
    <n v="76"/>
    <n v="32"/>
    <s v="Active"/>
    <n v="152"/>
    <n v="70"/>
    <x v="0"/>
    <x v="5"/>
    <n v="-11"/>
    <s v="Invalid Data"/>
  </r>
  <r>
    <s v="06-336-5482"/>
    <x v="44"/>
    <x v="6"/>
    <s v="99-784-4391"/>
    <s v="Voolia"/>
    <n v="89"/>
    <n v="34"/>
    <n v="15"/>
    <s v="$6.00 "/>
    <n v="6"/>
    <s v="12/31/2024"/>
    <d v="2024-12-31T00:00:00"/>
    <d v="2024-08-03T00:00:00"/>
    <d v="2024-08-03T00:00:00"/>
    <s v="8/24/2024"/>
    <d v="2024-08-24T00:00:00"/>
    <s v="7 Mockingbird Hill"/>
    <n v="60"/>
    <n v="2"/>
    <s v="Discontinued"/>
    <n v="360"/>
    <n v="534"/>
    <x v="1"/>
    <x v="6"/>
    <n v="-129"/>
    <s v="Invalid Data"/>
  </r>
  <r>
    <s v="03-276-3931"/>
    <x v="34"/>
    <x v="2"/>
    <s v="42-224-8186"/>
    <s v="Oyoloo"/>
    <n v="60"/>
    <n v="36"/>
    <n v="28"/>
    <s v="$4.50 "/>
    <n v="4.5"/>
    <s v="6/30/2024"/>
    <d v="2024-06-30T00:00:00"/>
    <s v="9/18/2024"/>
    <d v="2024-09-18T00:00:00"/>
    <s v="12/20/2024"/>
    <d v="2024-12-20T00:00:00"/>
    <s v="081 Bellgrove Place"/>
    <n v="26"/>
    <n v="29"/>
    <s v="Active"/>
    <n v="117"/>
    <n v="270"/>
    <x v="1"/>
    <x v="12"/>
    <n v="173"/>
    <s v="Medium Risk"/>
  </r>
  <r>
    <s v="39-232-5341"/>
    <x v="54"/>
    <x v="0"/>
    <s v="23-319-2681"/>
    <s v="Feedmix"/>
    <n v="20"/>
    <n v="34"/>
    <n v="74"/>
    <s v="$4.50 "/>
    <n v="4.5"/>
    <s v="9/21/2024"/>
    <d v="2024-09-21T00:00:00"/>
    <s v="10/24/2024"/>
    <d v="2024-10-24T00:00:00"/>
    <s v="2/15/2025"/>
    <d v="2025-02-15T00:00:00"/>
    <s v="05433 Towne Terrace"/>
    <n v="50"/>
    <n v="83"/>
    <s v="Discontinued"/>
    <n v="225"/>
    <n v="90"/>
    <x v="0"/>
    <x v="11"/>
    <n v="147"/>
    <s v="Medium Risk"/>
  </r>
  <r>
    <s v="12-239-9399"/>
    <x v="55"/>
    <x v="2"/>
    <s v="53-584-1853"/>
    <s v="Tagtune"/>
    <n v="28"/>
    <n v="40"/>
    <n v="27"/>
    <s v="$1.20 "/>
    <n v="1.2"/>
    <s v="12/14/2024"/>
    <d v="2024-12-14T00:00:00"/>
    <s v="7/29/2024"/>
    <d v="2024-07-29T00:00:00"/>
    <s v="10/27/2024"/>
    <d v="2024-10-27T00:00:00"/>
    <s v="924 La Follette Alley"/>
    <n v="30"/>
    <n v="56"/>
    <s v="Active"/>
    <n v="36"/>
    <n v="33.6"/>
    <x v="0"/>
    <x v="6"/>
    <n v="-48"/>
    <s v="Invalid Data"/>
  </r>
  <r>
    <s v="75-080-4909"/>
    <x v="6"/>
    <x v="3"/>
    <s v="34-726-5887"/>
    <s v="Tagopia"/>
    <n v="20"/>
    <n v="55"/>
    <n v="15"/>
    <s v="$2.50 "/>
    <n v="2.5"/>
    <d v="2024-09-12T00:00:00"/>
    <d v="2024-09-12T00:00:00"/>
    <d v="2024-12-04T00:00:00"/>
    <d v="2024-12-04T00:00:00"/>
    <d v="2024-09-09T00:00:00"/>
    <d v="2024-09-09T00:00:00"/>
    <s v="7 Gateway Center"/>
    <n v="86"/>
    <n v="61"/>
    <s v="Backordered"/>
    <n v="215"/>
    <n v="50"/>
    <x v="0"/>
    <x v="11"/>
    <n v="-3"/>
    <s v="Invalid Data"/>
  </r>
  <r>
    <s v="70-815-4015"/>
    <x v="56"/>
    <x v="5"/>
    <s v="89-134-9717"/>
    <s v="Ozu"/>
    <n v="38"/>
    <n v="93"/>
    <n v="61"/>
    <s v="$6.00 "/>
    <n v="6"/>
    <d v="2024-10-12T00:00:00"/>
    <d v="2024-10-12T00:00:00"/>
    <s v="7/15/2024"/>
    <d v="2024-07-15T00:00:00"/>
    <s v="8/30/2024"/>
    <d v="2024-08-30T00:00:00"/>
    <s v="175 Sycamore Circle"/>
    <n v="67"/>
    <n v="100"/>
    <s v="Active"/>
    <n v="402"/>
    <n v="228"/>
    <x v="0"/>
    <x v="7"/>
    <n v="-43"/>
    <s v="Invalid Data"/>
  </r>
  <r>
    <s v="11-032-9778"/>
    <x v="57"/>
    <x v="2"/>
    <s v="42-380-8881"/>
    <s v="Edgepulse"/>
    <n v="99"/>
    <n v="1"/>
    <n v="4"/>
    <s v="$3.00 "/>
    <n v="3"/>
    <s v="12/13/2024"/>
    <d v="2024-12-13T00:00:00"/>
    <s v="1/27/2025"/>
    <d v="2025-01-27T00:00:00"/>
    <s v="8/19/2024"/>
    <d v="2024-08-19T00:00:00"/>
    <s v="553 Mayfield Crossing"/>
    <n v="50"/>
    <n v="53"/>
    <s v="Backordered"/>
    <n v="150"/>
    <n v="297"/>
    <x v="1"/>
    <x v="6"/>
    <n v="-116"/>
    <s v="Invalid Data"/>
  </r>
  <r>
    <s v="54-374-9986"/>
    <x v="58"/>
    <x v="4"/>
    <s v="33-818-4917"/>
    <s v="Oyondu"/>
    <n v="92"/>
    <n v="52"/>
    <n v="80"/>
    <s v="$2.50 "/>
    <n v="2.5"/>
    <d v="2024-03-06T00:00:00"/>
    <d v="2024-03-06T00:00:00"/>
    <s v="10/22/2024"/>
    <d v="2024-10-22T00:00:00"/>
    <s v="3/21/2024"/>
    <d v="2024-03-21T00:00:00"/>
    <s v="74997 Katie Terrace"/>
    <n v="72"/>
    <n v="96"/>
    <s v="Discontinued"/>
    <n v="180"/>
    <n v="230"/>
    <x v="1"/>
    <x v="2"/>
    <n v="15"/>
    <s v="Critical"/>
  </r>
  <r>
    <s v="77-312-6317"/>
    <x v="16"/>
    <x v="2"/>
    <s v="12-950-4397"/>
    <s v="Abatz"/>
    <n v="41"/>
    <n v="29"/>
    <n v="76"/>
    <s v="$2.40 "/>
    <n v="2.4"/>
    <s v="2/26/2024"/>
    <d v="2024-02-26T00:00:00"/>
    <s v="9/13/2024"/>
    <d v="2024-09-13T00:00:00"/>
    <d v="2024-01-10T00:00:00"/>
    <d v="2024-01-10T00:00:00"/>
    <s v="3616 Carey Pass"/>
    <n v="59"/>
    <n v="4"/>
    <s v="Discontinued"/>
    <n v="141.6"/>
    <n v="98.399999999999991"/>
    <x v="1"/>
    <x v="9"/>
    <n v="-47"/>
    <s v="Invalid Data"/>
  </r>
  <r>
    <s v="13-844-2178"/>
    <x v="44"/>
    <x v="6"/>
    <s v="66-832-1802"/>
    <s v="Browsetype"/>
    <n v="44"/>
    <n v="67"/>
    <n v="48"/>
    <s v="$6.00 "/>
    <n v="6"/>
    <d v="2024-05-09T00:00:00"/>
    <d v="2024-05-09T00:00:00"/>
    <s v="9/21/2024"/>
    <d v="2024-09-21T00:00:00"/>
    <s v="3/24/2024"/>
    <d v="2024-03-24T00:00:00"/>
    <s v="86207 Tennyson Parkway"/>
    <n v="90"/>
    <n v="11"/>
    <s v="Active"/>
    <n v="540"/>
    <n v="264"/>
    <x v="0"/>
    <x v="8"/>
    <n v="-46"/>
    <s v="Invalid Data"/>
  </r>
  <r>
    <s v="22-141-9798"/>
    <x v="10"/>
    <x v="0"/>
    <s v="59-849-9942"/>
    <s v="Photobean"/>
    <n v="47"/>
    <n v="7"/>
    <n v="63"/>
    <s v="$2.00 "/>
    <n v="2"/>
    <s v="5/18/2024"/>
    <d v="2024-05-18T00:00:00"/>
    <s v="9/20/2024"/>
    <d v="2024-09-20T00:00:00"/>
    <s v="4/30/2024"/>
    <d v="2024-04-30T00:00:00"/>
    <s v="6 Nobel Junction"/>
    <n v="29"/>
    <n v="20"/>
    <s v="Backordered"/>
    <n v="58"/>
    <n v="94"/>
    <x v="1"/>
    <x v="8"/>
    <n v="-18"/>
    <s v="Invalid Data"/>
  </r>
  <r>
    <s v="20-022-3173"/>
    <x v="14"/>
    <x v="0"/>
    <s v="54-188-1006"/>
    <s v="Mydeo"/>
    <n v="21"/>
    <n v="63"/>
    <n v="65"/>
    <s v="$1.50 "/>
    <n v="1.5"/>
    <d v="2024-08-10T00:00:00"/>
    <d v="2024-08-10T00:00:00"/>
    <d v="2024-10-11T00:00:00"/>
    <d v="2024-10-11T00:00:00"/>
    <s v="2/22/2025"/>
    <d v="2025-02-22T00:00:00"/>
    <s v="81878 Nobel Point"/>
    <n v="38"/>
    <n v="73"/>
    <s v="Discontinued"/>
    <n v="57"/>
    <n v="31.5"/>
    <x v="0"/>
    <x v="0"/>
    <n v="196"/>
    <s v="Low Risk"/>
  </r>
  <r>
    <s v="26-177-5690"/>
    <x v="26"/>
    <x v="2"/>
    <s v="06-708-1412"/>
    <s v="Skinte"/>
    <n v="85"/>
    <n v="33"/>
    <n v="50"/>
    <s v="$1.80 "/>
    <n v="1.8"/>
    <d v="2024-06-03T00:00:00"/>
    <d v="2024-06-03T00:00:00"/>
    <s v="7/15/2024"/>
    <d v="2024-07-15T00:00:00"/>
    <s v="1/21/2025"/>
    <d v="2025-01-21T00:00:00"/>
    <s v="61707 Mariners Cove Park"/>
    <n v="64"/>
    <n v="38"/>
    <s v="Discontinued"/>
    <n v="115.2"/>
    <n v="153"/>
    <x v="1"/>
    <x v="12"/>
    <n v="232"/>
    <s v="Low Risk"/>
  </r>
  <r>
    <s v="70-871-4536"/>
    <x v="15"/>
    <x v="4"/>
    <s v="72-514-7323"/>
    <s v="Cogilith"/>
    <n v="29"/>
    <n v="4"/>
    <n v="17"/>
    <s v="$8.00 "/>
    <n v="8"/>
    <s v="1/19/2025"/>
    <d v="2025-01-19T00:00:00"/>
    <s v="11/13/2024"/>
    <d v="2024-11-13T00:00:00"/>
    <s v="6/17/2024"/>
    <d v="2024-06-17T00:00:00"/>
    <s v="5 Waxwing Junction"/>
    <n v="59"/>
    <n v="52"/>
    <s v="Active"/>
    <n v="472"/>
    <n v="232"/>
    <x v="1"/>
    <x v="13"/>
    <n v="-216"/>
    <s v="Invalid Data"/>
  </r>
  <r>
    <s v="06-611-5454"/>
    <x v="59"/>
    <x v="3"/>
    <s v="43-786-9229"/>
    <s v="Bluezoom"/>
    <n v="64"/>
    <n v="21"/>
    <n v="13"/>
    <s v="$4.00 "/>
    <n v="4"/>
    <s v="1/30/2025"/>
    <d v="2025-01-30T00:00:00"/>
    <d v="2024-11-10T00:00:00"/>
    <d v="2024-11-10T00:00:00"/>
    <s v="11/16/2024"/>
    <d v="2024-11-16T00:00:00"/>
    <s v="16 Autumn Leaf Way"/>
    <n v="51"/>
    <n v="26"/>
    <s v="Backordered"/>
    <n v="204"/>
    <n v="256"/>
    <x v="1"/>
    <x v="13"/>
    <n v="-75"/>
    <s v="Invalid Data"/>
  </r>
  <r>
    <s v="89-543-3456"/>
    <x v="60"/>
    <x v="2"/>
    <s v="23-178-8962"/>
    <s v="Jaloo"/>
    <n v="66"/>
    <n v="40"/>
    <n v="96"/>
    <s v="$10.00 "/>
    <n v="10"/>
    <s v="2/28/2024"/>
    <d v="2024-02-28T00:00:00"/>
    <s v="6/22/2024"/>
    <d v="2024-06-22T00:00:00"/>
    <d v="2025-06-02T00:00:00"/>
    <d v="2025-06-02T00:00:00"/>
    <s v="22782 Oriole Way"/>
    <n v="24"/>
    <n v="61"/>
    <s v="Active"/>
    <n v="240"/>
    <n v="660"/>
    <x v="1"/>
    <x v="9"/>
    <n v="460"/>
    <s v="Safe"/>
  </r>
  <r>
    <s v="82-395-5070"/>
    <x v="61"/>
    <x v="5"/>
    <s v="01-801-9502"/>
    <s v="Vidoo"/>
    <n v="75"/>
    <n v="81"/>
    <n v="17"/>
    <s v="$5.00 "/>
    <n v="5"/>
    <d v="2024-09-07T00:00:00"/>
    <d v="2024-09-07T00:00:00"/>
    <s v="2/17/2025"/>
    <d v="2025-02-17T00:00:00"/>
    <s v="2/20/2025"/>
    <d v="2025-02-20T00:00:00"/>
    <s v="43442 Homewood Street"/>
    <n v="69"/>
    <n v="38"/>
    <s v="Active"/>
    <n v="345"/>
    <n v="375"/>
    <x v="0"/>
    <x v="11"/>
    <n v="166"/>
    <s v="Medium Risk"/>
  </r>
  <r>
    <s v="14-305-5348"/>
    <x v="62"/>
    <x v="4"/>
    <s v="71-092-6845"/>
    <s v="Shuffledrive"/>
    <n v="53"/>
    <n v="63"/>
    <n v="2"/>
    <s v="$9.00 "/>
    <n v="9"/>
    <d v="2024-02-08T00:00:00"/>
    <d v="2024-02-08T00:00:00"/>
    <d v="2024-12-10T00:00:00"/>
    <d v="2024-12-10T00:00:00"/>
    <s v="3/20/2024"/>
    <d v="2024-03-20T00:00:00"/>
    <s v="19 Shoshone Circle"/>
    <n v="56"/>
    <n v="95"/>
    <s v="Active"/>
    <n v="504"/>
    <n v="477"/>
    <x v="0"/>
    <x v="9"/>
    <n v="41"/>
    <s v="High Risk"/>
  </r>
  <r>
    <s v="82-243-3180"/>
    <x v="63"/>
    <x v="3"/>
    <s v="18-631-1458"/>
    <s v="Zooxo"/>
    <n v="43"/>
    <n v="63"/>
    <n v="80"/>
    <s v="$1.80 "/>
    <n v="1.8"/>
    <s v="6/23/2024"/>
    <d v="2024-06-23T00:00:00"/>
    <s v="7/31/2024"/>
    <d v="2024-07-31T00:00:00"/>
    <d v="2025-11-02T00:00:00"/>
    <d v="2025-11-02T00:00:00"/>
    <s v="97 Sunnyside Court"/>
    <n v="33"/>
    <n v="96"/>
    <s v="Discontinued"/>
    <n v="59.4"/>
    <n v="77.400000000000006"/>
    <x v="0"/>
    <x v="12"/>
    <n v="497"/>
    <s v="Safe"/>
  </r>
  <r>
    <s v="25-010-9478"/>
    <x v="51"/>
    <x v="2"/>
    <s v="24-576-3402"/>
    <s v="Topicblab"/>
    <n v="74"/>
    <n v="30"/>
    <n v="24"/>
    <s v="$3.00 "/>
    <n v="3"/>
    <d v="2024-09-08T00:00:00"/>
    <d v="2024-09-08T00:00:00"/>
    <s v="10/13/2024"/>
    <d v="2024-10-13T00:00:00"/>
    <s v="7/31/2024"/>
    <d v="2024-07-31T00:00:00"/>
    <s v="357 Maple Park"/>
    <n v="82"/>
    <n v="12"/>
    <s v="Active"/>
    <n v="246"/>
    <n v="222"/>
    <x v="1"/>
    <x v="11"/>
    <n v="-39"/>
    <s v="Invalid Data"/>
  </r>
  <r>
    <s v="13-202-4809"/>
    <x v="64"/>
    <x v="2"/>
    <s v="24-281-7685"/>
    <s v="Katz"/>
    <n v="27"/>
    <n v="22"/>
    <n v="89"/>
    <s v="$7.00 "/>
    <n v="7"/>
    <d v="2024-01-05T00:00:00"/>
    <d v="2024-01-05T00:00:00"/>
    <s v="7/28/2024"/>
    <d v="2024-07-28T00:00:00"/>
    <s v="5/20/2024"/>
    <d v="2024-05-20T00:00:00"/>
    <s v="6195 Monterey Center"/>
    <n v="91"/>
    <n v="77"/>
    <s v="Discontinued"/>
    <n v="637"/>
    <n v="189"/>
    <x v="1"/>
    <x v="1"/>
    <n v="136"/>
    <s v="Medium Risk"/>
  </r>
  <r>
    <s v="67-270-7464"/>
    <x v="65"/>
    <x v="0"/>
    <s v="83-960-5274"/>
    <s v="Yadel"/>
    <n v="91"/>
    <n v="73"/>
    <n v="77"/>
    <s v="$4.75 "/>
    <n v="4.75"/>
    <d v="2025-01-02T00:00:00"/>
    <d v="2025-01-02T00:00:00"/>
    <s v="8/24/2024"/>
    <d v="2024-08-24T00:00:00"/>
    <d v="2024-07-12T00:00:00"/>
    <d v="2024-07-12T00:00:00"/>
    <s v="7242 Claremont Avenue"/>
    <n v="51"/>
    <n v="49"/>
    <s v="Discontinued"/>
    <n v="242.25"/>
    <n v="432.25"/>
    <x v="1"/>
    <x v="13"/>
    <n v="-174"/>
    <s v="Invalid Data"/>
  </r>
  <r>
    <s v="11-733-1756"/>
    <x v="66"/>
    <x v="0"/>
    <s v="27-970-8649"/>
    <s v="Mynte"/>
    <n v="52"/>
    <n v="81"/>
    <n v="53"/>
    <s v="$2.00 "/>
    <n v="2"/>
    <s v="8/28/2024"/>
    <d v="2024-08-28T00:00:00"/>
    <s v="11/27/2024"/>
    <d v="2024-11-27T00:00:00"/>
    <s v="2/24/2025"/>
    <d v="2025-02-24T00:00:00"/>
    <s v="127 Eliot Road"/>
    <n v="95"/>
    <n v="88"/>
    <s v="Backordered"/>
    <n v="190"/>
    <n v="104"/>
    <x v="0"/>
    <x v="0"/>
    <n v="180"/>
    <s v="Medium Risk"/>
  </r>
  <r>
    <s v="80-988-4653"/>
    <x v="32"/>
    <x v="2"/>
    <s v="02-272-0535"/>
    <s v="Livetube"/>
    <n v="43"/>
    <n v="66"/>
    <n v="85"/>
    <s v="$2.50 "/>
    <n v="2.5"/>
    <s v="4/20/2024"/>
    <d v="2024-04-20T00:00:00"/>
    <s v="9/14/2024"/>
    <d v="2024-09-14T00:00:00"/>
    <s v="4/19/2024"/>
    <d v="2024-04-19T00:00:00"/>
    <s v="8 Russell Pass"/>
    <n v="66"/>
    <n v="65"/>
    <s v="Discontinued"/>
    <n v="165"/>
    <n v="107.5"/>
    <x v="0"/>
    <x v="4"/>
    <n v="-1"/>
    <s v="Invalid Data"/>
  </r>
  <r>
    <s v="60-343-7973"/>
    <x v="38"/>
    <x v="5"/>
    <s v="06-303-4127"/>
    <s v="Zoombox"/>
    <n v="56"/>
    <n v="86"/>
    <n v="23"/>
    <s v="$3.20 "/>
    <n v="3.2"/>
    <s v="4/15/2024"/>
    <d v="2024-04-15T00:00:00"/>
    <s v="4/29/2024"/>
    <d v="2024-04-29T00:00:00"/>
    <d v="2024-09-04T00:00:00"/>
    <d v="2024-09-04T00:00:00"/>
    <s v="85408 Toban Crossing"/>
    <n v="67"/>
    <n v="56"/>
    <s v="Backordered"/>
    <n v="214.4"/>
    <n v="179.20000000000002"/>
    <x v="0"/>
    <x v="4"/>
    <n v="142"/>
    <s v="Medium Risk"/>
  </r>
  <r>
    <s v="34-861-4446"/>
    <x v="47"/>
    <x v="4"/>
    <s v="40-696-4237"/>
    <s v="Photobug"/>
    <n v="66"/>
    <n v="40"/>
    <n v="8"/>
    <s v="$6.00 "/>
    <n v="6"/>
    <s v="11/27/2024"/>
    <d v="2024-11-27T00:00:00"/>
    <s v="1/18/2025"/>
    <d v="2025-01-18T00:00:00"/>
    <d v="2025-06-01T00:00:00"/>
    <d v="2025-06-01T00:00:00"/>
    <s v="113 Donald Court"/>
    <n v="43"/>
    <n v="49"/>
    <s v="Active"/>
    <n v="258"/>
    <n v="396"/>
    <x v="1"/>
    <x v="5"/>
    <n v="186"/>
    <s v="Low Risk"/>
  </r>
  <r>
    <s v="67-710-5120"/>
    <x v="14"/>
    <x v="0"/>
    <s v="00-131-9278"/>
    <s v="Skynoodle"/>
    <n v="84"/>
    <n v="92"/>
    <n v="18"/>
    <s v="$1.50 "/>
    <n v="1.5"/>
    <s v="10/29/2024"/>
    <d v="2024-10-29T00:00:00"/>
    <s v="12/29/2024"/>
    <d v="2024-12-29T00:00:00"/>
    <s v="2/25/2024"/>
    <d v="2024-02-25T00:00:00"/>
    <s v="978 Shasta Lane"/>
    <n v="92"/>
    <n v="69"/>
    <s v="Active"/>
    <n v="138"/>
    <n v="126"/>
    <x v="0"/>
    <x v="7"/>
    <n v="-247"/>
    <s v="Invalid Data"/>
  </r>
  <r>
    <s v="49-891-4927"/>
    <x v="67"/>
    <x v="4"/>
    <s v="89-155-3471"/>
    <s v="Midel"/>
    <n v="37"/>
    <n v="5"/>
    <n v="1"/>
    <s v="$5.00 "/>
    <n v="5"/>
    <d v="2025-02-01T00:00:00"/>
    <d v="2025-02-01T00:00:00"/>
    <s v="2/26/2024"/>
    <d v="2024-02-26T00:00:00"/>
    <s v="11/28/2024"/>
    <d v="2024-11-28T00:00:00"/>
    <s v="46 Hoffman Trail"/>
    <n v="68"/>
    <n v="99"/>
    <s v="Active"/>
    <n v="340"/>
    <n v="185"/>
    <x v="1"/>
    <x v="14"/>
    <n v="-65"/>
    <s v="Invalid Data"/>
  </r>
  <r>
    <s v="55-522-8242"/>
    <x v="68"/>
    <x v="4"/>
    <s v="48-884-5431"/>
    <s v="Feedbug"/>
    <n v="29"/>
    <n v="36"/>
    <n v="40"/>
    <s v="$4.00 "/>
    <n v="4"/>
    <d v="2024-08-11T00:00:00"/>
    <d v="2024-08-11T00:00:00"/>
    <s v="3/30/2024"/>
    <d v="2024-03-30T00:00:00"/>
    <d v="2024-07-09T00:00:00"/>
    <d v="2024-07-09T00:00:00"/>
    <s v="7 Spohn Avenue"/>
    <n v="60"/>
    <n v="96"/>
    <s v="Backordered"/>
    <n v="240"/>
    <n v="116"/>
    <x v="0"/>
    <x v="0"/>
    <n v="-33"/>
    <s v="Invalid Data"/>
  </r>
  <r>
    <s v="62-509-0666"/>
    <x v="69"/>
    <x v="0"/>
    <s v="16-419-1419"/>
    <s v="Brainverse"/>
    <n v="13"/>
    <n v="88"/>
    <n v="7"/>
    <s v="$9.50 "/>
    <n v="9.5"/>
    <s v="7/28/2024"/>
    <d v="2024-07-28T00:00:00"/>
    <s v="5/15/2024"/>
    <d v="2024-05-15T00:00:00"/>
    <d v="2024-03-07T00:00:00"/>
    <d v="2024-03-07T00:00:00"/>
    <s v="1468 Meadow Vale Court"/>
    <n v="24"/>
    <n v="21"/>
    <s v="Backordered"/>
    <n v="228"/>
    <n v="123.5"/>
    <x v="0"/>
    <x v="10"/>
    <n v="-143"/>
    <s v="Invalid Data"/>
  </r>
  <r>
    <s v="64-478-4745"/>
    <x v="35"/>
    <x v="2"/>
    <s v="36-780-8625"/>
    <s v="Mydo"/>
    <n v="63"/>
    <n v="81"/>
    <n v="94"/>
    <s v="$2.50 "/>
    <n v="2.5"/>
    <d v="2024-04-06T00:00:00"/>
    <d v="2024-04-06T00:00:00"/>
    <s v="4/20/2024"/>
    <d v="2024-04-20T00:00:00"/>
    <s v="11/19/2024"/>
    <d v="2024-11-19T00:00:00"/>
    <s v="208 Miller Court"/>
    <n v="56"/>
    <n v="2"/>
    <s v="Active"/>
    <n v="140"/>
    <n v="157.5"/>
    <x v="0"/>
    <x v="4"/>
    <n v="227"/>
    <s v="Low Risk"/>
  </r>
  <r>
    <s v="35-835-5591"/>
    <x v="70"/>
    <x v="6"/>
    <s v="54-876-4296"/>
    <s v="Fiveclub"/>
    <n v="95"/>
    <n v="63"/>
    <n v="73"/>
    <s v="$7.00 "/>
    <n v="7"/>
    <s v="11/17/2024"/>
    <d v="2024-11-17T00:00:00"/>
    <d v="2024-05-06T00:00:00"/>
    <d v="2024-05-06T00:00:00"/>
    <d v="2024-08-03T00:00:00"/>
    <d v="2024-08-03T00:00:00"/>
    <s v="509 Carpenter Trail"/>
    <n v="61"/>
    <n v="38"/>
    <s v="Backordered"/>
    <n v="427"/>
    <n v="665"/>
    <x v="1"/>
    <x v="5"/>
    <n v="-106"/>
    <s v="Invalid Data"/>
  </r>
  <r>
    <s v="26-690-3784"/>
    <x v="71"/>
    <x v="2"/>
    <s v="70-463-6597"/>
    <s v="Fadeo"/>
    <n v="58"/>
    <n v="5"/>
    <n v="1"/>
    <s v="$2.00 "/>
    <n v="2"/>
    <d v="2024-02-10T00:00:00"/>
    <d v="2024-02-10T00:00:00"/>
    <s v="10/14/2024"/>
    <d v="2024-10-14T00:00:00"/>
    <d v="2024-06-04T00:00:00"/>
    <d v="2024-06-04T00:00:00"/>
    <s v="19069 Cordelia Drive"/>
    <n v="53"/>
    <n v="80"/>
    <s v="Active"/>
    <n v="106"/>
    <n v="116"/>
    <x v="1"/>
    <x v="9"/>
    <n v="115"/>
    <s v="Medium Risk"/>
  </r>
  <r>
    <s v="67-546-1568"/>
    <x v="59"/>
    <x v="3"/>
    <s v="10-038-3988"/>
    <s v="Edgeify"/>
    <n v="57"/>
    <n v="36"/>
    <n v="53"/>
    <s v="$4.00 "/>
    <n v="4"/>
    <d v="2024-04-06T00:00:00"/>
    <d v="2024-04-06T00:00:00"/>
    <s v="6/16/2024"/>
    <d v="2024-06-16T00:00:00"/>
    <s v="3/28/2024"/>
    <d v="2024-03-28T00:00:00"/>
    <s v="203 Mariners Cove Junction"/>
    <n v="56"/>
    <n v="32"/>
    <s v="Backordered"/>
    <n v="224"/>
    <n v="228"/>
    <x v="1"/>
    <x v="4"/>
    <n v="-9"/>
    <s v="Invalid Data"/>
  </r>
  <r>
    <s v="67-625-9704"/>
    <x v="44"/>
    <x v="6"/>
    <s v="13-475-1009"/>
    <s v="Eayo"/>
    <n v="33"/>
    <n v="18"/>
    <n v="92"/>
    <s v="$6.00 "/>
    <n v="6"/>
    <d v="2024-03-06T00:00:00"/>
    <d v="2024-03-06T00:00:00"/>
    <s v="9/26/2024"/>
    <d v="2024-09-26T00:00:00"/>
    <s v="7/18/2024"/>
    <d v="2024-07-18T00:00:00"/>
    <s v="7819 Fallview Park"/>
    <n v="98"/>
    <n v="56"/>
    <s v="Discontinued"/>
    <n v="588"/>
    <n v="198"/>
    <x v="1"/>
    <x v="2"/>
    <n v="134"/>
    <s v="Medium Risk"/>
  </r>
  <r>
    <s v="31-969-4614"/>
    <x v="1"/>
    <x v="1"/>
    <s v="83-104-8425"/>
    <s v="Voomm"/>
    <n v="62"/>
    <n v="89"/>
    <n v="6"/>
    <s v="$20.00 "/>
    <n v="20"/>
    <d v="2024-08-09T00:00:00"/>
    <d v="2024-08-09T00:00:00"/>
    <d v="2024-06-06T00:00:00"/>
    <d v="2024-06-06T00:00:00"/>
    <s v="1/15/2025"/>
    <d v="2025-01-15T00:00:00"/>
    <s v="993 Kensington Drive"/>
    <n v="23"/>
    <n v="11"/>
    <s v="Discontinued"/>
    <n v="460"/>
    <n v="1240"/>
    <x v="0"/>
    <x v="0"/>
    <n v="159"/>
    <s v="Medium Risk"/>
  </r>
  <r>
    <s v="50-364-5828"/>
    <x v="72"/>
    <x v="2"/>
    <s v="17-239-6309"/>
    <s v="Mydo"/>
    <n v="89"/>
    <n v="57"/>
    <n v="92"/>
    <s v="$5.00 "/>
    <n v="5"/>
    <s v="8/15/2024"/>
    <d v="2024-08-15T00:00:00"/>
    <s v="6/14/2024"/>
    <d v="2024-06-14T00:00:00"/>
    <s v="12/23/2024"/>
    <d v="2024-12-23T00:00:00"/>
    <s v="772 Golf Course Junction"/>
    <n v="38"/>
    <n v="16"/>
    <s v="Active"/>
    <n v="190"/>
    <n v="445"/>
    <x v="1"/>
    <x v="0"/>
    <n v="130"/>
    <s v="Medium Risk"/>
  </r>
  <r>
    <s v="61-827-4098"/>
    <x v="73"/>
    <x v="6"/>
    <s v="34-850-0377"/>
    <s v="Devbug"/>
    <n v="23"/>
    <n v="42"/>
    <n v="87"/>
    <s v="$8.00 "/>
    <n v="8"/>
    <d v="2025-01-02T00:00:00"/>
    <d v="2025-01-02T00:00:00"/>
    <s v="7/15/2024"/>
    <d v="2024-07-15T00:00:00"/>
    <s v="3/24/2024"/>
    <d v="2024-03-24T00:00:00"/>
    <s v="29992 Warrior Center"/>
    <n v="63"/>
    <n v="5"/>
    <s v="Backordered"/>
    <n v="504"/>
    <n v="184"/>
    <x v="0"/>
    <x v="13"/>
    <n v="-284"/>
    <s v="Invalid Data"/>
  </r>
  <r>
    <s v="87-698-0944"/>
    <x v="74"/>
    <x v="2"/>
    <s v="73-717-0190"/>
    <s v="Vinder"/>
    <n v="56"/>
    <n v="12"/>
    <n v="59"/>
    <s v="$98.43 "/>
    <n v="98.43"/>
    <s v="9/17/2024"/>
    <d v="2024-09-17T00:00:00"/>
    <s v="8/27/2024"/>
    <d v="2024-08-27T00:00:00"/>
    <d v="2025-02-02T00:00:00"/>
    <d v="2025-02-02T00:00:00"/>
    <s v="8 Heffernan Point"/>
    <n v="35"/>
    <n v="16"/>
    <s v="Active"/>
    <n v="3445.05"/>
    <n v="5512.08"/>
    <x v="1"/>
    <x v="11"/>
    <n v="138"/>
    <s v="Medium Risk"/>
  </r>
  <r>
    <s v="36-636-4873"/>
    <x v="2"/>
    <x v="0"/>
    <s v="11-098-3982"/>
    <s v="Wikivu"/>
    <n v="86"/>
    <n v="100"/>
    <n v="74"/>
    <s v="$6.10 "/>
    <n v="6.1"/>
    <s v="3/25/2024"/>
    <d v="2024-03-25T00:00:00"/>
    <s v="1/17/2025"/>
    <d v="2025-01-17T00:00:00"/>
    <s v="5/30/2024"/>
    <d v="2024-05-30T00:00:00"/>
    <s v="451 Grim Hill"/>
    <n v="80"/>
    <n v="94"/>
    <s v="Active"/>
    <n v="488"/>
    <n v="524.6"/>
    <x v="0"/>
    <x v="2"/>
    <n v="66"/>
    <s v="High Risk"/>
  </r>
  <r>
    <s v="98-556-5323"/>
    <x v="75"/>
    <x v="2"/>
    <s v="21-490-8051"/>
    <s v="Dynabox"/>
    <n v="60"/>
    <n v="61"/>
    <n v="2"/>
    <s v="$6.00 "/>
    <n v="6"/>
    <s v="5/13/2024"/>
    <d v="2024-05-13T00:00:00"/>
    <d v="2024-12-08T00:00:00"/>
    <d v="2024-12-08T00:00:00"/>
    <s v="8/27/2024"/>
    <d v="2024-08-27T00:00:00"/>
    <s v="005 Tomscot Hill"/>
    <n v="96"/>
    <n v="50"/>
    <s v="Active"/>
    <n v="576"/>
    <n v="360"/>
    <x v="0"/>
    <x v="8"/>
    <n v="106"/>
    <s v="Medium Risk"/>
  </r>
  <r>
    <s v="97-772-2336"/>
    <x v="27"/>
    <x v="2"/>
    <s v="19-704-4404"/>
    <s v="Rooxo"/>
    <n v="70"/>
    <n v="30"/>
    <n v="69"/>
    <s v="$3.50 "/>
    <n v="3.5"/>
    <s v="8/13/2024"/>
    <d v="2024-08-13T00:00:00"/>
    <d v="2025-03-02T00:00:00"/>
    <d v="2025-03-02T00:00:00"/>
    <s v="7/14/2024"/>
    <d v="2024-07-14T00:00:00"/>
    <s v="9 Bartillon Trail"/>
    <n v="44"/>
    <n v="42"/>
    <s v="Discontinued"/>
    <n v="154"/>
    <n v="245"/>
    <x v="1"/>
    <x v="0"/>
    <n v="-30"/>
    <s v="Invalid Data"/>
  </r>
  <r>
    <s v="19-047-4239"/>
    <x v="76"/>
    <x v="2"/>
    <s v="11-146-9880"/>
    <s v="Quire"/>
    <n v="47"/>
    <n v="72"/>
    <n v="73"/>
    <s v="$4.00 "/>
    <n v="4"/>
    <s v="5/21/2024"/>
    <d v="2024-05-21T00:00:00"/>
    <s v="3/30/2024"/>
    <d v="2024-03-30T00:00:00"/>
    <s v="4/30/2024"/>
    <d v="2024-04-30T00:00:00"/>
    <s v="7 West Street"/>
    <n v="93"/>
    <n v="27"/>
    <s v="Backordered"/>
    <n v="372"/>
    <n v="188"/>
    <x v="0"/>
    <x v="8"/>
    <n v="-21"/>
    <s v="Invalid Data"/>
  </r>
  <r>
    <s v="41-316-8427"/>
    <x v="54"/>
    <x v="0"/>
    <s v="75-867-3635"/>
    <s v="Realcube"/>
    <n v="95"/>
    <n v="93"/>
    <n v="16"/>
    <s v="$4.50 "/>
    <n v="4.5"/>
    <s v="11/26/2024"/>
    <d v="2024-11-26T00:00:00"/>
    <d v="2024-06-09T00:00:00"/>
    <d v="2024-06-09T00:00:00"/>
    <s v="9/21/2024"/>
    <d v="2024-09-21T00:00:00"/>
    <s v="03416 Valley Edge Circle"/>
    <n v="60"/>
    <n v="19"/>
    <s v="Active"/>
    <n v="270"/>
    <n v="427.5"/>
    <x v="1"/>
    <x v="5"/>
    <n v="-66"/>
    <s v="Invalid Data"/>
  </r>
  <r>
    <s v="15-907-3681"/>
    <x v="4"/>
    <x v="2"/>
    <s v="72-931-9828"/>
    <s v="Brainsphere"/>
    <n v="20"/>
    <n v="42"/>
    <n v="21"/>
    <s v="$3.85 "/>
    <n v="3.85"/>
    <s v="11/28/2024"/>
    <d v="2024-11-28T00:00:00"/>
    <s v="1/27/2025"/>
    <d v="2025-01-27T00:00:00"/>
    <s v="2/20/2025"/>
    <d v="2025-02-20T00:00:00"/>
    <s v="21633 Sycamore Center"/>
    <n v="61"/>
    <n v="25"/>
    <s v="Discontinued"/>
    <n v="234.85"/>
    <n v="77"/>
    <x v="0"/>
    <x v="5"/>
    <n v="84"/>
    <s v="High Risk"/>
  </r>
  <r>
    <s v="14-305-9690"/>
    <x v="0"/>
    <x v="0"/>
    <s v="13-457-9946"/>
    <s v="Dabshots"/>
    <n v="19"/>
    <n v="17"/>
    <n v="14"/>
    <s v="$4.30 "/>
    <n v="4.3"/>
    <s v="8/30/2024"/>
    <d v="2024-08-30T00:00:00"/>
    <s v="6/29/2024"/>
    <d v="2024-06-29T00:00:00"/>
    <d v="2024-10-03T00:00:00"/>
    <d v="2024-10-03T00:00:00"/>
    <s v="43107 Schlimgen Circle"/>
    <n v="58"/>
    <n v="23"/>
    <s v="Active"/>
    <n v="249.39999999999998"/>
    <n v="81.7"/>
    <x v="1"/>
    <x v="0"/>
    <n v="34"/>
    <s v="High Risk"/>
  </r>
  <r>
    <s v="40-860-4532"/>
    <x v="1"/>
    <x v="1"/>
    <s v="73-625-5112"/>
    <s v="Yadel"/>
    <n v="74"/>
    <n v="72"/>
    <n v="18"/>
    <s v="$21.00 "/>
    <n v="21"/>
    <s v="11/15/2024"/>
    <d v="2024-11-15T00:00:00"/>
    <s v="2/27/2024"/>
    <d v="2024-02-27T00:00:00"/>
    <d v="2025-05-02T00:00:00"/>
    <d v="2025-05-02T00:00:00"/>
    <s v="988 Southridge Way"/>
    <n v="83"/>
    <n v="54"/>
    <s v="Active"/>
    <n v="1743"/>
    <n v="1554"/>
    <x v="1"/>
    <x v="5"/>
    <n v="168"/>
    <s v="Medium Risk"/>
  </r>
  <r>
    <s v="44-552-3909"/>
    <x v="25"/>
    <x v="2"/>
    <s v="80-863-1186"/>
    <s v="Riffwire"/>
    <n v="61"/>
    <n v="50"/>
    <n v="9"/>
    <s v="$4.50 "/>
    <n v="4.5"/>
    <d v="2024-08-10T00:00:00"/>
    <d v="2024-08-10T00:00:00"/>
    <s v="2/26/2024"/>
    <d v="2024-02-26T00:00:00"/>
    <s v="1/19/2025"/>
    <d v="2025-01-19T00:00:00"/>
    <s v="6 Charing Cross Circle"/>
    <n v="24"/>
    <n v="92"/>
    <s v="Active"/>
    <n v="108"/>
    <n v="274.5"/>
    <x v="1"/>
    <x v="0"/>
    <n v="162"/>
    <s v="Medium Risk"/>
  </r>
  <r>
    <s v="75-029-9003"/>
    <x v="40"/>
    <x v="5"/>
    <s v="61-917-4271"/>
    <s v="Eadel"/>
    <n v="34"/>
    <n v="42"/>
    <n v="86"/>
    <s v="$4.00 "/>
    <n v="4"/>
    <s v="5/16/2024"/>
    <d v="2024-05-16T00:00:00"/>
    <d v="2024-07-10T00:00:00"/>
    <d v="2024-07-10T00:00:00"/>
    <d v="2024-01-04T00:00:00"/>
    <d v="2024-01-04T00:00:00"/>
    <s v="19180 Hagan Parkway"/>
    <n v="28"/>
    <n v="23"/>
    <s v="Discontinued"/>
    <n v="112"/>
    <n v="136"/>
    <x v="0"/>
    <x v="8"/>
    <n v="-133"/>
    <s v="Invalid Data"/>
  </r>
  <r>
    <s v="74-587-2065"/>
    <x v="25"/>
    <x v="2"/>
    <s v="33-141-1402"/>
    <s v="Gigaclub"/>
    <n v="29"/>
    <n v="20"/>
    <n v="85"/>
    <s v="$4.50 "/>
    <n v="4.5"/>
    <s v="10/27/2024"/>
    <d v="2024-10-27T00:00:00"/>
    <s v="2/20/2025"/>
    <d v="2025-02-20T00:00:00"/>
    <d v="2024-02-03T00:00:00"/>
    <d v="2024-02-03T00:00:00"/>
    <s v="84642 Clarendon Point"/>
    <n v="31"/>
    <n v="31"/>
    <s v="Active"/>
    <n v="139.5"/>
    <n v="130.5"/>
    <x v="1"/>
    <x v="7"/>
    <n v="-267"/>
    <s v="Invalid Data"/>
  </r>
  <r>
    <s v="70-149-6756"/>
    <x v="52"/>
    <x v="4"/>
    <s v="97-150-9199"/>
    <s v="Skynoodle"/>
    <n v="14"/>
    <n v="99"/>
    <n v="97"/>
    <s v="$4.20 "/>
    <n v="4.2"/>
    <s v="4/21/2024"/>
    <d v="2024-04-21T00:00:00"/>
    <d v="2025-06-01T00:00:00"/>
    <d v="2025-06-01T00:00:00"/>
    <s v="6/26/2024"/>
    <d v="2024-06-26T00:00:00"/>
    <s v="6 Messerschmidt Place"/>
    <n v="28"/>
    <n v="45"/>
    <s v="Discontinued"/>
    <n v="117.60000000000001"/>
    <n v="58.800000000000004"/>
    <x v="0"/>
    <x v="4"/>
    <n v="66"/>
    <s v="High Risk"/>
  </r>
  <r>
    <s v="29-896-7926"/>
    <x v="77"/>
    <x v="0"/>
    <s v="86-400-4155"/>
    <s v="Centidel"/>
    <n v="20"/>
    <n v="20"/>
    <n v="56"/>
    <s v="$1.80 "/>
    <n v="1.8"/>
    <d v="2025-06-01T00:00:00"/>
    <d v="2025-06-01T00:00:00"/>
    <d v="2024-01-06T00:00:00"/>
    <d v="2024-01-06T00:00:00"/>
    <d v="2024-06-05T00:00:00"/>
    <d v="2024-06-05T00:00:00"/>
    <s v="80930 Briar Crest Point"/>
    <n v="62"/>
    <n v="69"/>
    <s v="Backordered"/>
    <n v="111.60000000000001"/>
    <n v="36"/>
    <x v="0"/>
    <x v="15"/>
    <n v="-361"/>
    <s v="Invalid Data"/>
  </r>
  <r>
    <s v="54-822-9009"/>
    <x v="78"/>
    <x v="0"/>
    <s v="23-197-9965"/>
    <s v="Shufflester"/>
    <n v="40"/>
    <n v="38"/>
    <n v="32"/>
    <s v="$3.20 "/>
    <n v="3.2"/>
    <s v="10/25/2024"/>
    <d v="2024-10-25T00:00:00"/>
    <d v="2024-08-06T00:00:00"/>
    <d v="2024-08-06T00:00:00"/>
    <d v="2025-03-01T00:00:00"/>
    <d v="2025-03-01T00:00:00"/>
    <s v="64389 Arkansas Alley"/>
    <n v="21"/>
    <n v="45"/>
    <s v="Backordered"/>
    <n v="67.2"/>
    <n v="128"/>
    <x v="1"/>
    <x v="7"/>
    <n v="127"/>
    <s v="Medium Risk"/>
  </r>
  <r>
    <s v="84-075-7647"/>
    <x v="79"/>
    <x v="3"/>
    <s v="95-889-8592"/>
    <s v="Mydeo"/>
    <n v="91"/>
    <n v="82"/>
    <n v="58"/>
    <s v="$2.30 "/>
    <n v="2.2999999999999998"/>
    <s v="4/27/2024"/>
    <d v="2024-04-27T00:00:00"/>
    <s v="10/21/2024"/>
    <d v="2024-10-21T00:00:00"/>
    <s v="2/22/2025"/>
    <d v="2025-02-22T00:00:00"/>
    <s v="51 7th Court"/>
    <n v="43"/>
    <n v="45"/>
    <s v="Discontinued"/>
    <n v="98.899999999999991"/>
    <n v="209.29999999999998"/>
    <x v="1"/>
    <x v="4"/>
    <n v="301"/>
    <s v="Low Risk"/>
  </r>
  <r>
    <s v="88-602-8210"/>
    <x v="80"/>
    <x v="3"/>
    <s v="26-411-9126"/>
    <s v="Skajo"/>
    <n v="99"/>
    <n v="96"/>
    <n v="39"/>
    <s v="$10.00 "/>
    <n v="10"/>
    <s v="6/22/2024"/>
    <d v="2024-06-22T00:00:00"/>
    <s v="6/19/2024"/>
    <d v="2024-06-19T00:00:00"/>
    <s v="9/28/2024"/>
    <d v="2024-09-28T00:00:00"/>
    <s v="042 Di Loreto Court"/>
    <n v="94"/>
    <n v="89"/>
    <s v="Backordered"/>
    <n v="940"/>
    <n v="990"/>
    <x v="1"/>
    <x v="12"/>
    <n v="98"/>
    <s v="Medium Risk"/>
  </r>
  <r>
    <s v="04-542-3863"/>
    <x v="14"/>
    <x v="0"/>
    <s v="55-952-9832"/>
    <s v="Eidel"/>
    <n v="34"/>
    <n v="46"/>
    <n v="45"/>
    <s v="$1.50 "/>
    <n v="1.5"/>
    <d v="2024-09-10T00:00:00"/>
    <d v="2024-09-10T00:00:00"/>
    <d v="2024-11-12T00:00:00"/>
    <d v="2024-11-12T00:00:00"/>
    <s v="12/22/2024"/>
    <d v="2024-12-22T00:00:00"/>
    <s v="403 Loomis Way"/>
    <n v="49"/>
    <n v="25"/>
    <s v="Backordered"/>
    <n v="73.5"/>
    <n v="51"/>
    <x v="0"/>
    <x v="11"/>
    <n v="103"/>
    <s v="Medium Risk"/>
  </r>
  <r>
    <s v="57-613-5779"/>
    <x v="81"/>
    <x v="4"/>
    <s v="29-009-9132"/>
    <s v="Thoughtblab"/>
    <n v="100"/>
    <n v="21"/>
    <n v="64"/>
    <s v="$7.00 "/>
    <n v="7"/>
    <s v="6/19/2024"/>
    <d v="2024-06-19T00:00:00"/>
    <d v="2024-11-03T00:00:00"/>
    <d v="2024-11-03T00:00:00"/>
    <s v="8/29/2024"/>
    <d v="2024-08-29T00:00:00"/>
    <s v="6 John Wall Plaza"/>
    <n v="20"/>
    <n v="13"/>
    <s v="Backordered"/>
    <n v="140"/>
    <n v="700"/>
    <x v="1"/>
    <x v="12"/>
    <n v="71"/>
    <s v="High Risk"/>
  </r>
  <r>
    <s v="90-737-0044"/>
    <x v="2"/>
    <x v="0"/>
    <s v="39-339-3869"/>
    <s v="Bubblemix"/>
    <n v="79"/>
    <n v="98"/>
    <n v="97"/>
    <s v="$6.00 "/>
    <n v="6"/>
    <d v="2024-10-12T00:00:00"/>
    <d v="2024-10-12T00:00:00"/>
    <s v="1/17/2025"/>
    <d v="2025-01-17T00:00:00"/>
    <s v="5/17/2024"/>
    <d v="2024-05-17T00:00:00"/>
    <s v="92321 Nelson Trail"/>
    <n v="26"/>
    <n v="21"/>
    <s v="Backordered"/>
    <n v="156"/>
    <n v="474"/>
    <x v="0"/>
    <x v="7"/>
    <n v="-148"/>
    <s v="Invalid Data"/>
  </r>
  <r>
    <s v="28-956-1320"/>
    <x v="8"/>
    <x v="4"/>
    <s v="01-445-8931"/>
    <s v="Thoughtblab"/>
    <n v="62"/>
    <n v="2"/>
    <n v="98"/>
    <s v="$3.00 "/>
    <n v="3"/>
    <s v="5/23/2024"/>
    <d v="2024-05-23T00:00:00"/>
    <s v="10/18/2024"/>
    <d v="2024-10-18T00:00:00"/>
    <d v="2024-05-09T00:00:00"/>
    <d v="2024-05-09T00:00:00"/>
    <s v="95 Onsgard Way"/>
    <n v="50"/>
    <n v="11"/>
    <s v="Discontinued"/>
    <n v="150"/>
    <n v="186"/>
    <x v="1"/>
    <x v="8"/>
    <n v="-14"/>
    <s v="Invalid Data"/>
  </r>
  <r>
    <s v="87-791-5803"/>
    <x v="82"/>
    <x v="6"/>
    <s v="89-843-0880"/>
    <s v="Meemm"/>
    <n v="25"/>
    <n v="44"/>
    <n v="96"/>
    <s v="$18.00 "/>
    <n v="18"/>
    <d v="2024-04-07T00:00:00"/>
    <d v="2024-04-07T00:00:00"/>
    <d v="2024-09-03T00:00:00"/>
    <d v="2024-09-03T00:00:00"/>
    <d v="2024-01-09T00:00:00"/>
    <d v="2024-01-09T00:00:00"/>
    <s v="8 Fremont Circle"/>
    <n v="36"/>
    <n v="16"/>
    <s v="Active"/>
    <n v="648"/>
    <n v="450"/>
    <x v="0"/>
    <x v="4"/>
    <n v="-89"/>
    <s v="Invalid Data"/>
  </r>
  <r>
    <s v="14-521-4167"/>
    <x v="83"/>
    <x v="4"/>
    <s v="68-609-1972"/>
    <s v="Vinder"/>
    <n v="47"/>
    <n v="2"/>
    <n v="76"/>
    <s v="$2.50 "/>
    <n v="2.5"/>
    <s v="5/13/2024"/>
    <d v="2024-05-13T00:00:00"/>
    <s v="6/29/2024"/>
    <d v="2024-06-29T00:00:00"/>
    <d v="2024-06-03T00:00:00"/>
    <d v="2024-06-03T00:00:00"/>
    <s v="00847 Reindahl Place"/>
    <n v="48"/>
    <n v="36"/>
    <s v="Discontinued"/>
    <n v="120"/>
    <n v="117.5"/>
    <x v="1"/>
    <x v="8"/>
    <n v="21"/>
    <s v="Critical"/>
  </r>
  <r>
    <s v="51-572-5497"/>
    <x v="41"/>
    <x v="2"/>
    <s v="43-035-3382"/>
    <s v="Kanoodle"/>
    <n v="15"/>
    <n v="44"/>
    <n v="88"/>
    <s v="$3.00 "/>
    <n v="3"/>
    <s v="8/31/2024"/>
    <d v="2024-08-31T00:00:00"/>
    <s v="2/13/2025"/>
    <d v="2025-02-13T00:00:00"/>
    <s v="4/28/2024"/>
    <d v="2024-04-28T00:00:00"/>
    <s v="9516 Burrows Circle"/>
    <n v="56"/>
    <n v="12"/>
    <s v="Discontinued"/>
    <n v="168"/>
    <n v="45"/>
    <x v="0"/>
    <x v="0"/>
    <n v="-125"/>
    <s v="Invalid Data"/>
  </r>
  <r>
    <s v="28-840-6096"/>
    <x v="75"/>
    <x v="2"/>
    <s v="15-444-8224"/>
    <s v="Flipopia"/>
    <n v="19"/>
    <n v="65"/>
    <n v="48"/>
    <s v="$6.00 "/>
    <n v="6"/>
    <d v="2024-09-09T00:00:00"/>
    <d v="2024-09-09T00:00:00"/>
    <s v="2/14/2025"/>
    <d v="2025-02-14T00:00:00"/>
    <d v="2024-12-09T00:00:00"/>
    <d v="2024-12-09T00:00:00"/>
    <s v="92655 Pond Park"/>
    <n v="59"/>
    <n v="53"/>
    <s v="Discontinued"/>
    <n v="354"/>
    <n v="114"/>
    <x v="0"/>
    <x v="11"/>
    <n v="91"/>
    <s v="Medium Risk"/>
  </r>
  <r>
    <s v="44-538-3366"/>
    <x v="82"/>
    <x v="6"/>
    <s v="33-898-6242"/>
    <s v="Realbridge"/>
    <n v="58"/>
    <n v="77"/>
    <n v="96"/>
    <s v="$18.00 "/>
    <n v="18"/>
    <d v="2024-11-09T00:00:00"/>
    <d v="2024-11-09T00:00:00"/>
    <s v="4/17/2024"/>
    <d v="2024-04-17T00:00:00"/>
    <s v="3/30/2024"/>
    <d v="2024-03-30T00:00:00"/>
    <s v="46 Cardinal Way"/>
    <n v="25"/>
    <n v="17"/>
    <s v="Discontinued"/>
    <n v="450"/>
    <n v="1044"/>
    <x v="0"/>
    <x v="5"/>
    <n v="-224"/>
    <s v="Invalid Data"/>
  </r>
  <r>
    <s v="51-459-5630"/>
    <x v="84"/>
    <x v="4"/>
    <s v="29-567-3732"/>
    <s v="Skyvu"/>
    <n v="11"/>
    <n v="30"/>
    <n v="4"/>
    <s v="$4.00 "/>
    <n v="4"/>
    <d v="2024-02-08T00:00:00"/>
    <d v="2024-02-08T00:00:00"/>
    <s v="9/29/2024"/>
    <d v="2024-09-29T00:00:00"/>
    <s v="12/14/2024"/>
    <d v="2024-12-14T00:00:00"/>
    <s v="805 Center Parkway"/>
    <n v="84"/>
    <n v="4"/>
    <s v="Active"/>
    <n v="336"/>
    <n v="44"/>
    <x v="0"/>
    <x v="9"/>
    <n v="310"/>
    <s v="Low Risk"/>
  </r>
  <r>
    <s v="02-655-3240"/>
    <x v="66"/>
    <x v="0"/>
    <s v="95-200-1972"/>
    <s v="Jabberstorm"/>
    <n v="99"/>
    <n v="44"/>
    <n v="52"/>
    <s v="$2.00 "/>
    <n v="2"/>
    <s v="10/25/2024"/>
    <d v="2024-10-25T00:00:00"/>
    <s v="5/21/2024"/>
    <d v="2024-05-21T00:00:00"/>
    <s v="6/20/2024"/>
    <d v="2024-06-20T00:00:00"/>
    <s v="6738 Tennyson Road"/>
    <n v="36"/>
    <n v="2"/>
    <s v="Discontinued"/>
    <n v="72"/>
    <n v="198"/>
    <x v="1"/>
    <x v="7"/>
    <n v="-127"/>
    <s v="Invalid Data"/>
  </r>
  <r>
    <s v="42-887-6557"/>
    <x v="3"/>
    <x v="0"/>
    <s v="49-092-2735"/>
    <s v="Geba"/>
    <n v="26"/>
    <n v="82"/>
    <n v="19"/>
    <s v="$1.50 "/>
    <n v="1.5"/>
    <s v="9/23/2024"/>
    <d v="2024-09-23T00:00:00"/>
    <d v="2024-10-07T00:00:00"/>
    <d v="2024-10-07T00:00:00"/>
    <s v="3/30/2024"/>
    <d v="2024-03-30T00:00:00"/>
    <s v="61224 Northridge Avenue"/>
    <n v="76"/>
    <n v="88"/>
    <s v="Active"/>
    <n v="114"/>
    <n v="39"/>
    <x v="0"/>
    <x v="11"/>
    <n v="-177"/>
    <s v="Invalid Data"/>
  </r>
  <r>
    <s v="96-316-7600"/>
    <x v="53"/>
    <x v="2"/>
    <s v="76-671-7104"/>
    <s v="Linklinks"/>
    <n v="70"/>
    <n v="31"/>
    <n v="55"/>
    <s v="$4.50 "/>
    <n v="4.5"/>
    <s v="7/31/2024"/>
    <d v="2024-07-31T00:00:00"/>
    <s v="7/27/2024"/>
    <d v="2024-07-27T00:00:00"/>
    <d v="2024-07-07T00:00:00"/>
    <d v="2024-07-07T00:00:00"/>
    <s v="6 Swallow Crossing"/>
    <n v="23"/>
    <n v="80"/>
    <s v="Discontinued"/>
    <n v="103.5"/>
    <n v="315"/>
    <x v="1"/>
    <x v="10"/>
    <n v="-24"/>
    <s v="Invalid Data"/>
  </r>
  <r>
    <s v="58-063-8633"/>
    <x v="53"/>
    <x v="2"/>
    <s v="21-932-5200"/>
    <s v="Skimia"/>
    <n v="50"/>
    <n v="3"/>
    <n v="88"/>
    <s v="$4.50 "/>
    <n v="4.5"/>
    <s v="7/21/2024"/>
    <d v="2024-07-21T00:00:00"/>
    <s v="6/30/2024"/>
    <d v="2024-06-30T00:00:00"/>
    <s v="9/22/2024"/>
    <d v="2024-09-22T00:00:00"/>
    <s v="33424 Express Avenue"/>
    <n v="69"/>
    <n v="73"/>
    <s v="Discontinued"/>
    <n v="310.5"/>
    <n v="225"/>
    <x v="1"/>
    <x v="10"/>
    <n v="63"/>
    <s v="High Risk"/>
  </r>
  <r>
    <s v="43-703-9939"/>
    <x v="27"/>
    <x v="2"/>
    <s v="69-928-4929"/>
    <s v="Bubblemix"/>
    <n v="55"/>
    <n v="91"/>
    <n v="35"/>
    <s v="$3.50 "/>
    <n v="3.5"/>
    <d v="2024-08-05T00:00:00"/>
    <d v="2024-08-05T00:00:00"/>
    <s v="5/22/2024"/>
    <d v="2024-05-22T00:00:00"/>
    <s v="2/17/2025"/>
    <d v="2025-02-17T00:00:00"/>
    <s v="4 Sundown Place"/>
    <n v="81"/>
    <n v="19"/>
    <s v="Active"/>
    <n v="283.5"/>
    <n v="192.5"/>
    <x v="0"/>
    <x v="0"/>
    <n v="196"/>
    <s v="Low Risk"/>
  </r>
  <r>
    <s v="88-069-5486"/>
    <x v="73"/>
    <x v="6"/>
    <s v="95-878-1614"/>
    <s v="Buzzshare"/>
    <n v="31"/>
    <n v="87"/>
    <n v="19"/>
    <s v="$8.00 "/>
    <n v="8"/>
    <s v="5/23/2024"/>
    <d v="2024-05-23T00:00:00"/>
    <s v="7/13/2024"/>
    <d v="2024-07-13T00:00:00"/>
    <d v="2024-01-05T00:00:00"/>
    <d v="2024-01-05T00:00:00"/>
    <s v="01330 Sheridan Way"/>
    <n v="41"/>
    <n v="10"/>
    <s v="Active"/>
    <n v="328"/>
    <n v="248"/>
    <x v="0"/>
    <x v="8"/>
    <n v="-139"/>
    <s v="Invalid Data"/>
  </r>
  <r>
    <s v="74-845-3299"/>
    <x v="85"/>
    <x v="1"/>
    <s v="21-792-1000"/>
    <s v="Oyoyo"/>
    <n v="63"/>
    <n v="92"/>
    <n v="26"/>
    <s v="$8.00 "/>
    <n v="8"/>
    <s v="8/18/2024"/>
    <d v="2024-08-18T00:00:00"/>
    <d v="2025-12-02T00:00:00"/>
    <d v="2025-12-02T00:00:00"/>
    <s v="4/29/2024"/>
    <d v="2024-04-29T00:00:00"/>
    <s v="2 Petterle Road"/>
    <n v="93"/>
    <n v="99"/>
    <s v="Active"/>
    <n v="744"/>
    <n v="504"/>
    <x v="0"/>
    <x v="0"/>
    <n v="-111"/>
    <s v="Invalid Data"/>
  </r>
  <r>
    <s v="81-605-6246"/>
    <x v="44"/>
    <x v="6"/>
    <s v="62-086-0407"/>
    <s v="Shufflester"/>
    <n v="73"/>
    <n v="31"/>
    <n v="49"/>
    <s v="$6.00 "/>
    <n v="6"/>
    <s v="1/26/2025"/>
    <d v="2025-01-26T00:00:00"/>
    <d v="2024-02-03T00:00:00"/>
    <d v="2024-02-03T00:00:00"/>
    <d v="2024-06-03T00:00:00"/>
    <d v="2024-06-03T00:00:00"/>
    <s v="65721 Caliangt Crossing"/>
    <n v="22"/>
    <n v="47"/>
    <s v="Discontinued"/>
    <n v="132"/>
    <n v="438"/>
    <x v="1"/>
    <x v="13"/>
    <n v="-237"/>
    <s v="Invalid Data"/>
  </r>
  <r>
    <s v="73-561-2867"/>
    <x v="40"/>
    <x v="5"/>
    <s v="60-386-5077"/>
    <s v="Eayo"/>
    <n v="12"/>
    <n v="86"/>
    <n v="98"/>
    <s v="$4.00 "/>
    <n v="4"/>
    <d v="2024-10-10T00:00:00"/>
    <d v="2024-10-10T00:00:00"/>
    <s v="6/29/2024"/>
    <d v="2024-06-29T00:00:00"/>
    <s v="9/29/2024"/>
    <d v="2024-09-29T00:00:00"/>
    <s v="7444 Saint Paul Circle"/>
    <n v="75"/>
    <n v="86"/>
    <s v="Discontinued"/>
    <n v="300"/>
    <n v="48"/>
    <x v="0"/>
    <x v="7"/>
    <n v="-11"/>
    <s v="Invalid Data"/>
  </r>
  <r>
    <s v="19-967-0632"/>
    <x v="33"/>
    <x v="0"/>
    <s v="90-445-1753"/>
    <s v="Yombu"/>
    <n v="53"/>
    <n v="86"/>
    <n v="54"/>
    <s v="$3.00 "/>
    <n v="3"/>
    <s v="8/14/2024"/>
    <d v="2024-08-14T00:00:00"/>
    <d v="2025-04-02T00:00:00"/>
    <d v="2025-04-02T00:00:00"/>
    <d v="2024-06-11T00:00:00"/>
    <d v="2024-06-11T00:00:00"/>
    <s v="6990 Kings Place"/>
    <n v="44"/>
    <n v="3"/>
    <s v="Discontinued"/>
    <n v="132"/>
    <n v="159"/>
    <x v="0"/>
    <x v="0"/>
    <n v="-64"/>
    <s v="Invalid Data"/>
  </r>
  <r>
    <s v="23-070-2433"/>
    <x v="86"/>
    <x v="0"/>
    <s v="82-235-9317"/>
    <s v="Meeveo"/>
    <n v="68"/>
    <n v="7"/>
    <n v="37"/>
    <s v="$2.50 "/>
    <n v="2.5"/>
    <d v="2024-08-08T00:00:00"/>
    <d v="2024-08-08T00:00:00"/>
    <d v="2024-11-04T00:00:00"/>
    <d v="2024-11-04T00:00:00"/>
    <s v="12/28/2024"/>
    <d v="2024-12-28T00:00:00"/>
    <s v="836 Brown Alley"/>
    <n v="69"/>
    <n v="1"/>
    <s v="Discontinued"/>
    <n v="172.5"/>
    <n v="170"/>
    <x v="1"/>
    <x v="0"/>
    <n v="142"/>
    <s v="Medium Risk"/>
  </r>
  <r>
    <s v="27-262-2437"/>
    <x v="15"/>
    <x v="4"/>
    <s v="05-181-2682"/>
    <s v="Skidoo"/>
    <n v="80"/>
    <n v="9"/>
    <n v="29"/>
    <s v="$8.10 "/>
    <n v="8.1"/>
    <s v="8/26/2024"/>
    <d v="2024-08-26T00:00:00"/>
    <s v="11/20/2024"/>
    <d v="2024-11-20T00:00:00"/>
    <d v="2024-09-10T00:00:00"/>
    <d v="2024-09-10T00:00:00"/>
    <s v="739 Swallow Road"/>
    <n v="54"/>
    <n v="62"/>
    <s v="Active"/>
    <n v="437.4"/>
    <n v="648"/>
    <x v="1"/>
    <x v="0"/>
    <n v="15"/>
    <s v="Critical"/>
  </r>
  <r>
    <s v="39-479-5147"/>
    <x v="82"/>
    <x v="6"/>
    <s v="02-156-7270"/>
    <s v="Meedoo"/>
    <n v="92"/>
    <n v="68"/>
    <n v="79"/>
    <s v="$18.00 "/>
    <n v="18"/>
    <s v="12/24/2024"/>
    <d v="2024-12-24T00:00:00"/>
    <s v="8/18/2024"/>
    <d v="2024-08-18T00:00:00"/>
    <d v="2024-04-04T00:00:00"/>
    <d v="2024-04-04T00:00:00"/>
    <s v="14 Talmadge Park"/>
    <n v="40"/>
    <n v="57"/>
    <s v="Discontinued"/>
    <n v="720"/>
    <n v="1656"/>
    <x v="1"/>
    <x v="6"/>
    <n v="-264"/>
    <s v="Invalid Data"/>
  </r>
  <r>
    <s v="71-085-4290"/>
    <x v="26"/>
    <x v="2"/>
    <s v="26-593-3478"/>
    <s v="Eire"/>
    <n v="31"/>
    <n v="98"/>
    <n v="72"/>
    <s v="$1.80 "/>
    <n v="1.8"/>
    <s v="8/26/2024"/>
    <d v="2024-08-26T00:00:00"/>
    <d v="2024-07-10T00:00:00"/>
    <d v="2024-07-10T00:00:00"/>
    <d v="2024-04-12T00:00:00"/>
    <d v="2024-04-12T00:00:00"/>
    <s v="2 Basil Street"/>
    <n v="91"/>
    <n v="29"/>
    <s v="Active"/>
    <n v="163.80000000000001"/>
    <n v="55.800000000000004"/>
    <x v="0"/>
    <x v="0"/>
    <n v="-136"/>
    <s v="Invalid Data"/>
  </r>
  <r>
    <s v="48-957-6116"/>
    <x v="51"/>
    <x v="2"/>
    <s v="34-334-6888"/>
    <s v="Topicstorm"/>
    <n v="31"/>
    <n v="44"/>
    <n v="9"/>
    <s v="$3.00 "/>
    <n v="3"/>
    <s v="5/30/2024"/>
    <d v="2024-05-30T00:00:00"/>
    <s v="5/16/2024"/>
    <d v="2024-05-16T00:00:00"/>
    <d v="2024-05-08T00:00:00"/>
    <d v="2024-05-08T00:00:00"/>
    <s v="938 Hanover Point"/>
    <n v="46"/>
    <n v="9"/>
    <s v="Discontinued"/>
    <n v="138"/>
    <n v="93"/>
    <x v="0"/>
    <x v="8"/>
    <n v="-22"/>
    <s v="Invalid Data"/>
  </r>
  <r>
    <s v="83-917-7384"/>
    <x v="64"/>
    <x v="2"/>
    <s v="84-923-5086"/>
    <s v="Tavu"/>
    <n v="76"/>
    <n v="97"/>
    <n v="20"/>
    <s v="$7.00 "/>
    <n v="7"/>
    <s v="3/27/2024"/>
    <d v="2024-03-27T00:00:00"/>
    <s v="8/24/2024"/>
    <d v="2024-08-24T00:00:00"/>
    <d v="2024-11-05T00:00:00"/>
    <d v="2024-11-05T00:00:00"/>
    <s v="3 Ilene Terrace"/>
    <n v="52"/>
    <n v="82"/>
    <s v="Discontinued"/>
    <n v="364"/>
    <n v="532"/>
    <x v="0"/>
    <x v="2"/>
    <n v="223"/>
    <s v="Low Risk"/>
  </r>
  <r>
    <s v="26-031-8070"/>
    <x v="87"/>
    <x v="3"/>
    <s v="11-096-4003"/>
    <s v="Trudeo"/>
    <n v="57"/>
    <n v="99"/>
    <n v="23"/>
    <s v="$2.00 "/>
    <n v="2"/>
    <s v="7/25/2024"/>
    <d v="2024-07-25T00:00:00"/>
    <s v="5/25/2024"/>
    <d v="2024-05-25T00:00:00"/>
    <s v="4/19/2024"/>
    <d v="2024-04-19T00:00:00"/>
    <s v="5414 Linden Point"/>
    <n v="89"/>
    <n v="21"/>
    <s v="Backordered"/>
    <n v="178"/>
    <n v="114"/>
    <x v="0"/>
    <x v="10"/>
    <n v="-97"/>
    <s v="Invalid Data"/>
  </r>
  <r>
    <s v="03-149-9760"/>
    <x v="68"/>
    <x v="4"/>
    <s v="08-141-2402"/>
    <s v="Yotz"/>
    <n v="92"/>
    <n v="99"/>
    <n v="93"/>
    <s v="$4.00 "/>
    <n v="4"/>
    <s v="2/19/2025"/>
    <d v="2025-02-19T00:00:00"/>
    <s v="7/13/2024"/>
    <d v="2024-07-13T00:00:00"/>
    <s v="3/26/2024"/>
    <d v="2024-03-26T00:00:00"/>
    <s v="554 Eliot Point"/>
    <n v="43"/>
    <n v="90"/>
    <s v="Discontinued"/>
    <n v="172"/>
    <n v="368"/>
    <x v="0"/>
    <x v="14"/>
    <n v="-330"/>
    <s v="Invalid Data"/>
  </r>
  <r>
    <s v="53-680-5293"/>
    <x v="88"/>
    <x v="4"/>
    <s v="47-732-4446"/>
    <s v="Demizz"/>
    <n v="88"/>
    <n v="74"/>
    <n v="97"/>
    <s v="$9.00 "/>
    <n v="9"/>
    <s v="5/28/2024"/>
    <d v="2024-05-28T00:00:00"/>
    <s v="5/31/2024"/>
    <d v="2024-05-31T00:00:00"/>
    <s v="8/24/2024"/>
    <d v="2024-08-24T00:00:00"/>
    <s v="97687 Mendota Terrace"/>
    <n v="79"/>
    <n v="5"/>
    <s v="Active"/>
    <n v="711"/>
    <n v="792"/>
    <x v="1"/>
    <x v="8"/>
    <n v="88"/>
    <s v="High Risk"/>
  </r>
  <r>
    <s v="49-861-7823"/>
    <x v="72"/>
    <x v="2"/>
    <s v="22-152-0111"/>
    <s v="Skippad"/>
    <n v="99"/>
    <n v="8"/>
    <n v="27"/>
    <s v="$5.00 "/>
    <n v="5"/>
    <s v="7/16/2024"/>
    <d v="2024-07-16T00:00:00"/>
    <s v="7/13/2024"/>
    <d v="2024-07-13T00:00:00"/>
    <d v="2024-10-08T00:00:00"/>
    <d v="2024-10-08T00:00:00"/>
    <s v="26 Graceland Circle"/>
    <n v="41"/>
    <n v="50"/>
    <s v="Discontinued"/>
    <n v="205"/>
    <n v="495"/>
    <x v="1"/>
    <x v="10"/>
    <n v="84"/>
    <s v="High Risk"/>
  </r>
  <r>
    <s v="24-364-3341"/>
    <x v="89"/>
    <x v="4"/>
    <s v="13-290-8513"/>
    <s v="Topiclounge"/>
    <n v="44"/>
    <n v="84"/>
    <n v="63"/>
    <s v="$2.50 "/>
    <n v="2.5"/>
    <s v="7/29/2024"/>
    <d v="2024-07-29T00:00:00"/>
    <d v="2024-11-04T00:00:00"/>
    <d v="2024-11-04T00:00:00"/>
    <s v="9/25/2024"/>
    <d v="2024-09-25T00:00:00"/>
    <s v="120 Gale Circle"/>
    <n v="51"/>
    <n v="67"/>
    <s v="Discontinued"/>
    <n v="127.5"/>
    <n v="110"/>
    <x v="0"/>
    <x v="10"/>
    <n v="58"/>
    <s v="High Risk"/>
  </r>
  <r>
    <s v="80-374-5711"/>
    <x v="29"/>
    <x v="1"/>
    <s v="77-566-9826"/>
    <s v="Browsecat"/>
    <n v="48"/>
    <n v="77"/>
    <n v="81"/>
    <s v="$31.00 "/>
    <n v="31"/>
    <s v="1/28/2025"/>
    <d v="2025-01-28T00:00:00"/>
    <d v="2024-05-10T00:00:00"/>
    <d v="2024-05-10T00:00:00"/>
    <d v="2024-07-12T00:00:00"/>
    <d v="2024-07-12T00:00:00"/>
    <s v="13 Bluejay Way"/>
    <n v="70"/>
    <n v="74"/>
    <s v="Backordered"/>
    <n v="2170"/>
    <n v="1488"/>
    <x v="0"/>
    <x v="13"/>
    <n v="-200"/>
    <s v="Invalid Data"/>
  </r>
  <r>
    <s v="76-325-9093"/>
    <x v="90"/>
    <x v="3"/>
    <s v="67-922-3399"/>
    <s v="Feedbug"/>
    <n v="27"/>
    <n v="92"/>
    <n v="56"/>
    <s v="$6.50 "/>
    <n v="6.5"/>
    <s v="4/18/2024"/>
    <d v="2024-04-18T00:00:00"/>
    <s v="10/19/2024"/>
    <d v="2024-10-19T00:00:00"/>
    <s v="12/18/2024"/>
    <d v="2024-12-18T00:00:00"/>
    <s v="01471 Burrows Lane"/>
    <n v="29"/>
    <n v="32"/>
    <s v="Discontinued"/>
    <n v="188.5"/>
    <n v="175.5"/>
    <x v="0"/>
    <x v="4"/>
    <n v="244"/>
    <s v="Low Risk"/>
  </r>
  <r>
    <s v="30-429-2162"/>
    <x v="2"/>
    <x v="0"/>
    <s v="05-100-7102"/>
    <s v="Npath"/>
    <n v="34"/>
    <n v="96"/>
    <n v="76"/>
    <s v="$6.15 "/>
    <n v="6.15"/>
    <d v="2024-03-10T00:00:00"/>
    <d v="2024-03-10T00:00:00"/>
    <d v="2024-06-12T00:00:00"/>
    <d v="2024-06-12T00:00:00"/>
    <s v="1/15/2025"/>
    <d v="2025-01-15T00:00:00"/>
    <s v="6382 Anniversary Pass"/>
    <n v="90"/>
    <n v="34"/>
    <s v="Discontinued"/>
    <n v="553.5"/>
    <n v="209.10000000000002"/>
    <x v="0"/>
    <x v="2"/>
    <n v="311"/>
    <s v="Low Risk"/>
  </r>
  <r>
    <s v="53-446-8243"/>
    <x v="41"/>
    <x v="2"/>
    <s v="51-666-7174"/>
    <s v="Skipfire"/>
    <n v="41"/>
    <n v="94"/>
    <n v="4"/>
    <s v="$3.00 "/>
    <n v="3"/>
    <d v="2025-04-02T00:00:00"/>
    <d v="2025-04-02T00:00:00"/>
    <s v="7/26/2024"/>
    <d v="2024-07-26T00:00:00"/>
    <s v="4/23/2024"/>
    <d v="2024-04-23T00:00:00"/>
    <s v="757 Grasskamp Drive"/>
    <n v="88"/>
    <n v="92"/>
    <s v="Discontinued"/>
    <n v="264"/>
    <n v="123"/>
    <x v="0"/>
    <x v="16"/>
    <n v="-344"/>
    <s v="Invalid Data"/>
  </r>
  <r>
    <s v="67-473-7093"/>
    <x v="46"/>
    <x v="1"/>
    <s v="92-830-6986"/>
    <s v="Topicstorm"/>
    <n v="56"/>
    <n v="12"/>
    <n v="85"/>
    <s v="$5.00 "/>
    <n v="5"/>
    <d v="2024-10-12T00:00:00"/>
    <d v="2024-10-12T00:00:00"/>
    <s v="3/20/2024"/>
    <d v="2024-03-20T00:00:00"/>
    <s v="4/19/2024"/>
    <d v="2024-04-19T00:00:00"/>
    <s v="87417 Forest Pass"/>
    <n v="52"/>
    <n v="46"/>
    <s v="Active"/>
    <n v="260"/>
    <n v="280"/>
    <x v="1"/>
    <x v="7"/>
    <n v="-176"/>
    <s v="Invalid Data"/>
  </r>
  <r>
    <s v="98-235-2711"/>
    <x v="91"/>
    <x v="2"/>
    <s v="23-052-4744"/>
    <s v="Devpoint"/>
    <n v="22"/>
    <n v="40"/>
    <n v="7"/>
    <s v="$5.00 "/>
    <n v="5"/>
    <d v="2024-12-09T00:00:00"/>
    <d v="2024-12-09T00:00:00"/>
    <s v="12/31/2024"/>
    <d v="2024-12-31T00:00:00"/>
    <s v="1/26/2025"/>
    <d v="2025-01-26T00:00:00"/>
    <s v="5 Transport Pass"/>
    <n v="98"/>
    <n v="60"/>
    <s v="Active"/>
    <n v="490"/>
    <n v="110"/>
    <x v="0"/>
    <x v="6"/>
    <n v="48"/>
    <s v="High Risk"/>
  </r>
  <r>
    <s v="07-219-8017"/>
    <x v="63"/>
    <x v="3"/>
    <s v="95-148-9287"/>
    <s v="Skibox"/>
    <n v="40"/>
    <n v="2"/>
    <n v="58"/>
    <s v="$1.80 "/>
    <n v="1.8"/>
    <s v="10/31/2024"/>
    <d v="2024-10-31T00:00:00"/>
    <s v="8/13/2024"/>
    <d v="2024-08-13T00:00:00"/>
    <d v="2024-08-11T00:00:00"/>
    <d v="2024-08-11T00:00:00"/>
    <s v="357 High Crossing Parkway"/>
    <n v="71"/>
    <n v="10"/>
    <s v="Active"/>
    <n v="127.8"/>
    <n v="72"/>
    <x v="1"/>
    <x v="7"/>
    <n v="-81"/>
    <s v="Invalid Data"/>
  </r>
  <r>
    <s v="97-040-3822"/>
    <x v="15"/>
    <x v="4"/>
    <s v="78-459-1417"/>
    <s v="Gevee"/>
    <n v="50"/>
    <n v="99"/>
    <n v="73"/>
    <s v="$8.00 "/>
    <n v="8"/>
    <d v="2024-12-05T00:00:00"/>
    <d v="2024-12-05T00:00:00"/>
    <s v="8/23/2024"/>
    <d v="2024-08-23T00:00:00"/>
    <s v="5/17/2024"/>
    <d v="2024-05-17T00:00:00"/>
    <s v="42 Clemons Terrace"/>
    <n v="42"/>
    <n v="1"/>
    <s v="Backordered"/>
    <n v="336"/>
    <n v="400"/>
    <x v="0"/>
    <x v="6"/>
    <n v="-202"/>
    <s v="Invalid Data"/>
  </r>
  <r>
    <s v="10-002-6494"/>
    <x v="34"/>
    <x v="2"/>
    <s v="47-509-7282"/>
    <s v="Meevee"/>
    <n v="89"/>
    <n v="92"/>
    <n v="62"/>
    <s v="$4.80 "/>
    <n v="4.8"/>
    <d v="2024-02-03T00:00:00"/>
    <d v="2024-02-03T00:00:00"/>
    <d v="2024-08-07T00:00:00"/>
    <d v="2024-08-07T00:00:00"/>
    <d v="2024-11-11T00:00:00"/>
    <d v="2024-11-11T00:00:00"/>
    <s v="48 Vahlen Place"/>
    <n v="46"/>
    <n v="11"/>
    <s v="Backordered"/>
    <n v="220.79999999999998"/>
    <n v="427.2"/>
    <x v="0"/>
    <x v="9"/>
    <n v="282"/>
    <s v="Low Risk"/>
  </r>
  <r>
    <s v="12-998-3882"/>
    <x v="89"/>
    <x v="4"/>
    <s v="06-151-9076"/>
    <s v="Bluezoom"/>
    <n v="76"/>
    <n v="54"/>
    <n v="76"/>
    <s v="$2.50 "/>
    <n v="2.5"/>
    <d v="2024-01-10T00:00:00"/>
    <d v="2024-01-10T00:00:00"/>
    <s v="8/17/2024"/>
    <d v="2024-08-17T00:00:00"/>
    <s v="5/26/2024"/>
    <d v="2024-05-26T00:00:00"/>
    <s v="94862 Beilfuss Terrace"/>
    <n v="69"/>
    <n v="27"/>
    <s v="Backordered"/>
    <n v="172.5"/>
    <n v="190"/>
    <x v="1"/>
    <x v="1"/>
    <n v="137"/>
    <s v="Medium Risk"/>
  </r>
  <r>
    <s v="31-746-4951"/>
    <x v="92"/>
    <x v="0"/>
    <s v="70-212-0990"/>
    <s v="Gigaclub"/>
    <n v="67"/>
    <n v="60"/>
    <n v="21"/>
    <s v="$2.75 "/>
    <n v="2.75"/>
    <d v="2024-03-04T00:00:00"/>
    <d v="2024-03-04T00:00:00"/>
    <s v="5/20/2024"/>
    <d v="2024-05-20T00:00:00"/>
    <d v="2024-06-09T00:00:00"/>
    <d v="2024-06-09T00:00:00"/>
    <s v="759 Waywood Court"/>
    <n v="30"/>
    <n v="6"/>
    <s v="Active"/>
    <n v="82.5"/>
    <n v="184.25"/>
    <x v="1"/>
    <x v="2"/>
    <n v="97"/>
    <s v="Medium Risk"/>
  </r>
  <r>
    <s v="87-097-5691"/>
    <x v="93"/>
    <x v="1"/>
    <s v="26-213-7885"/>
    <s v="Photofeed"/>
    <n v="62"/>
    <n v="78"/>
    <n v="97"/>
    <s v="$10.00 "/>
    <n v="10"/>
    <d v="2024-08-04T00:00:00"/>
    <d v="2024-08-04T00:00:00"/>
    <s v="8/29/2024"/>
    <d v="2024-08-29T00:00:00"/>
    <s v="3/26/2024"/>
    <d v="2024-03-26T00:00:00"/>
    <s v="236 Gateway Lane"/>
    <n v="62"/>
    <n v="97"/>
    <s v="Discontinued"/>
    <n v="620"/>
    <n v="620"/>
    <x v="0"/>
    <x v="0"/>
    <n v="-131"/>
    <s v="Invalid Data"/>
  </r>
  <r>
    <s v="34-075-0371"/>
    <x v="94"/>
    <x v="2"/>
    <s v="32-771-2617"/>
    <s v="Latz"/>
    <n v="75"/>
    <n v="10"/>
    <n v="68"/>
    <s v="$3.00 "/>
    <n v="3"/>
    <d v="2024-11-09T00:00:00"/>
    <d v="2024-11-09T00:00:00"/>
    <d v="2025-10-01T00:00:00"/>
    <d v="2025-10-01T00:00:00"/>
    <d v="2024-03-12T00:00:00"/>
    <d v="2024-03-12T00:00:00"/>
    <s v="0039 Shelley Place"/>
    <n v="90"/>
    <n v="42"/>
    <s v="Active"/>
    <n v="270"/>
    <n v="225"/>
    <x v="1"/>
    <x v="5"/>
    <n v="-242"/>
    <s v="Invalid Data"/>
  </r>
  <r>
    <s v="40-810-9261"/>
    <x v="43"/>
    <x v="1"/>
    <s v="56-554-1762"/>
    <s v="Cogibox"/>
    <n v="75"/>
    <n v="47"/>
    <n v="33"/>
    <s v="$12.50 "/>
    <n v="12.5"/>
    <s v="6/26/2024"/>
    <d v="2024-06-26T00:00:00"/>
    <d v="2024-09-12T00:00:00"/>
    <d v="2024-09-12T00:00:00"/>
    <s v="5/23/2024"/>
    <d v="2024-05-23T00:00:00"/>
    <s v="3 Raven Court"/>
    <n v="33"/>
    <n v="12"/>
    <s v="Discontinued"/>
    <n v="412.5"/>
    <n v="937.5"/>
    <x v="1"/>
    <x v="12"/>
    <n v="-34"/>
    <s v="Invalid Data"/>
  </r>
  <r>
    <s v="46-931-6897"/>
    <x v="58"/>
    <x v="4"/>
    <s v="22-946-8052"/>
    <s v="Meevee"/>
    <n v="29"/>
    <n v="32"/>
    <n v="26"/>
    <s v="$2.50 "/>
    <n v="2.5"/>
    <s v="9/21/2024"/>
    <d v="2024-09-21T00:00:00"/>
    <s v="6/15/2024"/>
    <d v="2024-06-15T00:00:00"/>
    <s v="9/15/2024"/>
    <d v="2024-09-15T00:00:00"/>
    <s v="44 Kensington Road"/>
    <n v="64"/>
    <n v="85"/>
    <s v="Discontinued"/>
    <n v="160"/>
    <n v="72.5"/>
    <x v="0"/>
    <x v="11"/>
    <n v="-6"/>
    <s v="Invalid Data"/>
  </r>
  <r>
    <s v="58-182-6781"/>
    <x v="24"/>
    <x v="5"/>
    <s v="75-328-1709"/>
    <s v="Pixope"/>
    <n v="34"/>
    <n v="55"/>
    <n v="22"/>
    <s v="$5.00 "/>
    <n v="5"/>
    <d v="2024-11-10T00:00:00"/>
    <d v="2024-11-10T00:00:00"/>
    <s v="6/29/2024"/>
    <d v="2024-06-29T00:00:00"/>
    <s v="11/15/2024"/>
    <d v="2024-11-15T00:00:00"/>
    <s v="86 Maryland Junction"/>
    <n v="77"/>
    <n v="85"/>
    <s v="Active"/>
    <n v="385"/>
    <n v="170"/>
    <x v="0"/>
    <x v="5"/>
    <n v="5"/>
    <s v="Critical"/>
  </r>
  <r>
    <s v="06-706-6490"/>
    <x v="85"/>
    <x v="1"/>
    <s v="85-670-6379"/>
    <s v="Tanoodle"/>
    <n v="15"/>
    <n v="66"/>
    <n v="85"/>
    <s v="$8.00 "/>
    <n v="8"/>
    <s v="10/18/2024"/>
    <d v="2024-10-18T00:00:00"/>
    <d v="2024-03-07T00:00:00"/>
    <d v="2024-03-07T00:00:00"/>
    <s v="3/15/2024"/>
    <d v="2024-03-15T00:00:00"/>
    <s v="443 Browning Terrace"/>
    <n v="60"/>
    <n v="40"/>
    <s v="Backordered"/>
    <n v="480"/>
    <n v="120"/>
    <x v="0"/>
    <x v="7"/>
    <n v="-217"/>
    <s v="Invalid Data"/>
  </r>
  <r>
    <s v="47-578-4161"/>
    <x v="95"/>
    <x v="6"/>
    <s v="96-001-5429"/>
    <s v="Jaxspan"/>
    <n v="88"/>
    <n v="56"/>
    <n v="81"/>
    <s v="$10.00 "/>
    <n v="10"/>
    <d v="2024-10-05T00:00:00"/>
    <d v="2024-10-05T00:00:00"/>
    <d v="2024-10-03T00:00:00"/>
    <d v="2024-10-03T00:00:00"/>
    <s v="9/14/2024"/>
    <d v="2024-09-14T00:00:00"/>
    <s v="5 Forest Run Way"/>
    <n v="98"/>
    <n v="86"/>
    <s v="Discontinued"/>
    <n v="980"/>
    <n v="880"/>
    <x v="1"/>
    <x v="7"/>
    <n v="-21"/>
    <s v="Invalid Data"/>
  </r>
  <r>
    <s v="18-199-5799"/>
    <x v="88"/>
    <x v="4"/>
    <s v="76-870-2139"/>
    <s v="Jayo"/>
    <n v="40"/>
    <n v="81"/>
    <n v="40"/>
    <s v="$9.00 "/>
    <n v="9"/>
    <d v="2024-09-10T00:00:00"/>
    <d v="2024-09-10T00:00:00"/>
    <s v="4/28/2024"/>
    <d v="2024-04-28T00:00:00"/>
    <s v="10/30/2024"/>
    <d v="2024-10-30T00:00:00"/>
    <s v="87784 Blaine Way"/>
    <n v="40"/>
    <n v="48"/>
    <s v="Backordered"/>
    <n v="360"/>
    <n v="360"/>
    <x v="0"/>
    <x v="11"/>
    <n v="50"/>
    <s v="High Risk"/>
  </r>
  <r>
    <s v="00-357-2313"/>
    <x v="80"/>
    <x v="3"/>
    <s v="93-619-6639"/>
    <s v="Quamba"/>
    <n v="10"/>
    <n v="86"/>
    <n v="23"/>
    <s v="$10.00 "/>
    <n v="10"/>
    <s v="6/29/2024"/>
    <d v="2024-06-29T00:00:00"/>
    <s v="11/26/2024"/>
    <d v="2024-11-26T00:00:00"/>
    <s v="12/13/2024"/>
    <d v="2024-12-13T00:00:00"/>
    <s v="0 Oxford Crossing"/>
    <n v="24"/>
    <n v="52"/>
    <s v="Backordered"/>
    <n v="240"/>
    <n v="100"/>
    <x v="0"/>
    <x v="12"/>
    <n v="167"/>
    <s v="Medium Risk"/>
  </r>
  <r>
    <s v="83-704-6367"/>
    <x v="1"/>
    <x v="1"/>
    <s v="41-628-8713"/>
    <s v="Feedmix"/>
    <n v="21"/>
    <n v="87"/>
    <n v="12"/>
    <s v="$21.00 "/>
    <n v="21"/>
    <s v="11/17/2024"/>
    <d v="2024-11-17T00:00:00"/>
    <d v="2024-02-09T00:00:00"/>
    <d v="2024-02-09T00:00:00"/>
    <d v="2024-07-09T00:00:00"/>
    <d v="2024-07-09T00:00:00"/>
    <s v="298 Corry Plaza"/>
    <n v="20"/>
    <n v="38"/>
    <s v="Discontinued"/>
    <n v="420"/>
    <n v="441"/>
    <x v="0"/>
    <x v="5"/>
    <n v="-131"/>
    <s v="Invalid Data"/>
  </r>
  <r>
    <s v="01-144-5960"/>
    <x v="17"/>
    <x v="6"/>
    <s v="80-848-7493"/>
    <s v="Zazio"/>
    <n v="75"/>
    <n v="25"/>
    <n v="99"/>
    <s v="$12.00 "/>
    <n v="12"/>
    <s v="10/20/2024"/>
    <d v="2024-10-20T00:00:00"/>
    <s v="5/29/2024"/>
    <d v="2024-05-29T00:00:00"/>
    <s v="7/13/2024"/>
    <d v="2024-07-13T00:00:00"/>
    <s v="52105 Mandrake Place"/>
    <n v="89"/>
    <n v="42"/>
    <s v="Active"/>
    <n v="1068"/>
    <n v="900"/>
    <x v="1"/>
    <x v="7"/>
    <n v="-99"/>
    <s v="Invalid Data"/>
  </r>
  <r>
    <s v="96-774-0457"/>
    <x v="73"/>
    <x v="6"/>
    <s v="71-991-5737"/>
    <s v="Izio"/>
    <n v="56"/>
    <n v="50"/>
    <n v="80"/>
    <s v="$8.00 "/>
    <n v="8"/>
    <s v="2/24/2025"/>
    <d v="2025-02-24T00:00:00"/>
    <d v="2024-12-03T00:00:00"/>
    <d v="2024-12-03T00:00:00"/>
    <s v="10/22/2024"/>
    <d v="2024-10-22T00:00:00"/>
    <s v="7369 Thackeray Drive"/>
    <n v="99"/>
    <n v="5"/>
    <s v="Discontinued"/>
    <n v="792"/>
    <n v="448"/>
    <x v="1"/>
    <x v="14"/>
    <n v="-125"/>
    <s v="Invalid Data"/>
  </r>
  <r>
    <s v="24-310-9184"/>
    <x v="11"/>
    <x v="5"/>
    <s v="69-378-2045"/>
    <s v="Brainlounge"/>
    <n v="69"/>
    <n v="65"/>
    <n v="91"/>
    <s v="$3.00 "/>
    <n v="3"/>
    <d v="2024-05-07T00:00:00"/>
    <d v="2024-05-07T00:00:00"/>
    <s v="7/26/2024"/>
    <d v="2024-07-26T00:00:00"/>
    <d v="2024-08-04T00:00:00"/>
    <d v="2024-08-04T00:00:00"/>
    <s v="6 Haas Circle"/>
    <n v="98"/>
    <n v="50"/>
    <s v="Backordered"/>
    <n v="294"/>
    <n v="207"/>
    <x v="1"/>
    <x v="8"/>
    <n v="89"/>
    <s v="High Risk"/>
  </r>
  <r>
    <s v="10-255-8579"/>
    <x v="96"/>
    <x v="0"/>
    <s v="29-112-1577"/>
    <s v="Trilia"/>
    <n v="56"/>
    <n v="53"/>
    <n v="77"/>
    <s v="$4.50 "/>
    <n v="4.5"/>
    <d v="2024-12-07T00:00:00"/>
    <d v="2024-12-07T00:00:00"/>
    <s v="7/24/2024"/>
    <d v="2024-07-24T00:00:00"/>
    <s v="1/28/2025"/>
    <d v="2025-01-28T00:00:00"/>
    <s v="1959 Marcy Center"/>
    <n v="69"/>
    <n v="69"/>
    <s v="Active"/>
    <n v="310.5"/>
    <n v="252"/>
    <x v="1"/>
    <x v="6"/>
    <n v="52"/>
    <s v="High Risk"/>
  </r>
  <r>
    <s v="38-417-4656"/>
    <x v="10"/>
    <x v="0"/>
    <s v="57-202-5756"/>
    <s v="Dazzlesphere"/>
    <n v="24"/>
    <n v="69"/>
    <n v="2"/>
    <s v="$2.00 "/>
    <n v="2"/>
    <d v="2024-05-10T00:00:00"/>
    <d v="2024-05-10T00:00:00"/>
    <s v="4/13/2024"/>
    <d v="2024-04-13T00:00:00"/>
    <s v="12/23/2024"/>
    <d v="2024-12-23T00:00:00"/>
    <s v="1309 Elka Junction"/>
    <n v="20"/>
    <n v="20"/>
    <s v="Backordered"/>
    <n v="40"/>
    <n v="48"/>
    <x v="0"/>
    <x v="8"/>
    <n v="227"/>
    <s v="Low Risk"/>
  </r>
  <r>
    <s v="53-080-8252"/>
    <x v="40"/>
    <x v="5"/>
    <s v="73-744-7022"/>
    <s v="Thoughtstorm"/>
    <n v="30"/>
    <n v="85"/>
    <n v="21"/>
    <s v="$4.50 "/>
    <n v="4.5"/>
    <s v="12/19/2024"/>
    <d v="2024-12-19T00:00:00"/>
    <s v="9/24/2024"/>
    <d v="2024-09-24T00:00:00"/>
    <s v="11/20/2024"/>
    <d v="2024-11-20T00:00:00"/>
    <s v="2 Grayhawk Junction"/>
    <n v="32"/>
    <n v="83"/>
    <s v="Discontinued"/>
    <n v="144"/>
    <n v="135"/>
    <x v="0"/>
    <x v="6"/>
    <n v="-29"/>
    <s v="Invalid Data"/>
  </r>
  <r>
    <s v="14-681-7035"/>
    <x v="48"/>
    <x v="1"/>
    <s v="01-308-0960"/>
    <s v="Voolith"/>
    <n v="36"/>
    <n v="90"/>
    <n v="57"/>
    <s v="$25.00 "/>
    <n v="25"/>
    <d v="2024-11-12T00:00:00"/>
    <d v="2024-11-12T00:00:00"/>
    <d v="2024-07-08T00:00:00"/>
    <d v="2024-07-08T00:00:00"/>
    <s v="5/18/2024"/>
    <d v="2024-05-18T00:00:00"/>
    <s v="95261 Morningstar Way"/>
    <n v="35"/>
    <n v="68"/>
    <s v="Backordered"/>
    <n v="875"/>
    <n v="900"/>
    <x v="0"/>
    <x v="5"/>
    <n v="-178"/>
    <s v="Invalid Data"/>
  </r>
  <r>
    <s v="96-503-7712"/>
    <x v="42"/>
    <x v="5"/>
    <s v="97-325-5889"/>
    <s v="Twitterbridge"/>
    <n v="93"/>
    <n v="76"/>
    <n v="82"/>
    <s v="$2.50 "/>
    <n v="2.5"/>
    <s v="5/25/2024"/>
    <d v="2024-05-25T00:00:00"/>
    <s v="7/28/2024"/>
    <d v="2024-07-28T00:00:00"/>
    <s v="1/19/2025"/>
    <d v="2025-01-19T00:00:00"/>
    <s v="84148 Prairie Rose Center"/>
    <n v="76"/>
    <n v="51"/>
    <s v="Backordered"/>
    <n v="190"/>
    <n v="232.5"/>
    <x v="1"/>
    <x v="8"/>
    <n v="239"/>
    <s v="Low Risk"/>
  </r>
  <r>
    <s v="98-064-4465"/>
    <x v="49"/>
    <x v="4"/>
    <s v="93-719-9817"/>
    <s v="Feedfire"/>
    <n v="96"/>
    <n v="38"/>
    <n v="17"/>
    <s v="$7.00 "/>
    <n v="7"/>
    <s v="4/19/2024"/>
    <d v="2024-04-19T00:00:00"/>
    <d v="2024-01-10T00:00:00"/>
    <d v="2024-01-10T00:00:00"/>
    <d v="2024-11-11T00:00:00"/>
    <d v="2024-11-11T00:00:00"/>
    <s v="109 Twin Pines Avenue"/>
    <n v="72"/>
    <n v="84"/>
    <s v="Active"/>
    <n v="504"/>
    <n v="672"/>
    <x v="1"/>
    <x v="4"/>
    <n v="206"/>
    <s v="Low Risk"/>
  </r>
  <r>
    <s v="84-198-7276"/>
    <x v="59"/>
    <x v="3"/>
    <s v="34-158-6684"/>
    <s v="Eidel"/>
    <n v="60"/>
    <n v="88"/>
    <n v="65"/>
    <s v="$4.00 "/>
    <n v="4"/>
    <s v="8/29/2024"/>
    <d v="2024-08-29T00:00:00"/>
    <s v="1/16/2025"/>
    <d v="2025-01-16T00:00:00"/>
    <s v="6/15/2024"/>
    <d v="2024-06-15T00:00:00"/>
    <s v="6 Harbort Hill"/>
    <n v="94"/>
    <n v="15"/>
    <s v="Active"/>
    <n v="376"/>
    <n v="240"/>
    <x v="0"/>
    <x v="0"/>
    <n v="-75"/>
    <s v="Invalid Data"/>
  </r>
  <r>
    <s v="18-278-2383"/>
    <x v="81"/>
    <x v="4"/>
    <s v="73-210-4267"/>
    <s v="Skimia"/>
    <n v="97"/>
    <n v="77"/>
    <n v="13"/>
    <s v="$7.00 "/>
    <n v="7"/>
    <d v="2024-11-11T00:00:00"/>
    <d v="2024-11-11T00:00:00"/>
    <s v="9/15/2024"/>
    <d v="2024-09-15T00:00:00"/>
    <d v="2024-02-07T00:00:00"/>
    <d v="2024-02-07T00:00:00"/>
    <s v="96 American Center"/>
    <n v="43"/>
    <n v="40"/>
    <s v="Backordered"/>
    <n v="301"/>
    <n v="679"/>
    <x v="1"/>
    <x v="5"/>
    <n v="-278"/>
    <s v="Invalid Data"/>
  </r>
  <r>
    <s v="20-054-3716"/>
    <x v="61"/>
    <x v="5"/>
    <s v="49-591-1019"/>
    <s v="JumpXS"/>
    <n v="11"/>
    <n v="6"/>
    <n v="100"/>
    <s v="$5.00 "/>
    <n v="5"/>
    <d v="2024-05-03T00:00:00"/>
    <d v="2024-05-03T00:00:00"/>
    <s v="9/16/2024"/>
    <d v="2024-09-16T00:00:00"/>
    <s v="2/25/2024"/>
    <d v="2024-02-25T00:00:00"/>
    <s v="39 Lakewood Gardens Center"/>
    <n v="88"/>
    <n v="24"/>
    <s v="Discontinued"/>
    <n v="440"/>
    <n v="55"/>
    <x v="1"/>
    <x v="8"/>
    <n v="-68"/>
    <s v="Invalid Data"/>
  </r>
  <r>
    <s v="63-822-5278"/>
    <x v="75"/>
    <x v="2"/>
    <s v="27-636-1606"/>
    <s v="Kamba"/>
    <n v="14"/>
    <n v="66"/>
    <n v="1"/>
    <s v="$6.00 "/>
    <n v="6"/>
    <s v="8/13/2024"/>
    <d v="2024-08-13T00:00:00"/>
    <s v="12/13/2024"/>
    <d v="2024-12-13T00:00:00"/>
    <s v="2/27/2024"/>
    <d v="2024-02-27T00:00:00"/>
    <s v="5900 Vahlen Avenue"/>
    <n v="86"/>
    <n v="15"/>
    <s v="Backordered"/>
    <n v="516"/>
    <n v="84"/>
    <x v="0"/>
    <x v="0"/>
    <n v="-168"/>
    <s v="Invalid Data"/>
  </r>
  <r>
    <s v="01-439-6231"/>
    <x v="97"/>
    <x v="3"/>
    <s v="08-490-1714"/>
    <s v="Skidoo"/>
    <n v="88"/>
    <n v="100"/>
    <n v="17"/>
    <s v="$2.50 "/>
    <n v="2.5"/>
    <d v="2024-11-12T00:00:00"/>
    <d v="2024-11-12T00:00:00"/>
    <s v="10/28/2024"/>
    <d v="2024-10-28T00:00:00"/>
    <d v="2024-09-12T00:00:00"/>
    <d v="2024-09-12T00:00:00"/>
    <s v="8 Spaight Circle"/>
    <n v="25"/>
    <n v="28"/>
    <s v="Discontinued"/>
    <n v="62.5"/>
    <n v="220"/>
    <x v="0"/>
    <x v="5"/>
    <n v="-61"/>
    <s v="Invalid Data"/>
  </r>
  <r>
    <s v="06-690-2335"/>
    <x v="65"/>
    <x v="0"/>
    <s v="66-317-4895"/>
    <s v="Jabbertype"/>
    <n v="24"/>
    <n v="15"/>
    <n v="6"/>
    <s v="$4.75 "/>
    <n v="4.75"/>
    <s v="2/22/2025"/>
    <d v="2025-02-22T00:00:00"/>
    <s v="6/16/2024"/>
    <d v="2024-06-16T00:00:00"/>
    <d v="2024-07-05T00:00:00"/>
    <d v="2024-07-05T00:00:00"/>
    <s v="5 Linden Terrace"/>
    <n v="35"/>
    <n v="4"/>
    <s v="Discontinued"/>
    <n v="166.25"/>
    <n v="114"/>
    <x v="1"/>
    <x v="14"/>
    <n v="-232"/>
    <s v="Invalid Data"/>
  </r>
  <r>
    <s v="47-554-5780"/>
    <x v="30"/>
    <x v="6"/>
    <s v="62-979-5038"/>
    <s v="Babbleopia"/>
    <n v="93"/>
    <n v="62"/>
    <n v="65"/>
    <s v="$9.00 "/>
    <n v="9"/>
    <d v="2024-09-06T00:00:00"/>
    <d v="2024-09-06T00:00:00"/>
    <s v="6/22/2024"/>
    <d v="2024-06-22T00:00:00"/>
    <s v="4/17/2024"/>
    <d v="2024-04-17T00:00:00"/>
    <s v="1 Westport Crossing"/>
    <n v="78"/>
    <n v="87"/>
    <s v="Active"/>
    <n v="702"/>
    <n v="837"/>
    <x v="1"/>
    <x v="11"/>
    <n v="-142"/>
    <s v="Invalid Data"/>
  </r>
  <r>
    <s v="70-587-1204"/>
    <x v="2"/>
    <x v="0"/>
    <s v="41-399-9203"/>
    <s v="Reallinks"/>
    <n v="68"/>
    <n v="68"/>
    <n v="97"/>
    <s v="$6.00 "/>
    <n v="6"/>
    <d v="2024-08-07T00:00:00"/>
    <d v="2024-08-07T00:00:00"/>
    <s v="7/15/2024"/>
    <d v="2024-07-15T00:00:00"/>
    <s v="6/23/2024"/>
    <d v="2024-06-23T00:00:00"/>
    <s v="2446 Anhalt Way"/>
    <n v="37"/>
    <n v="31"/>
    <s v="Discontinued"/>
    <n v="222"/>
    <n v="408"/>
    <x v="0"/>
    <x v="0"/>
    <n v="-45"/>
    <s v="Invalid Data"/>
  </r>
  <r>
    <s v="97-710-2449"/>
    <x v="11"/>
    <x v="5"/>
    <s v="39-676-9308"/>
    <s v="Tanoodle"/>
    <n v="28"/>
    <n v="94"/>
    <n v="80"/>
    <s v="$2.80 "/>
    <n v="2.8"/>
    <s v="5/23/2024"/>
    <d v="2024-05-23T00:00:00"/>
    <s v="1/23/2025"/>
    <d v="2025-01-23T00:00:00"/>
    <s v="6/19/2024"/>
    <d v="2024-06-19T00:00:00"/>
    <s v="0 Miller Pass"/>
    <n v="31"/>
    <n v="1"/>
    <s v="Backordered"/>
    <n v="86.8"/>
    <n v="78.399999999999991"/>
    <x v="0"/>
    <x v="8"/>
    <n v="27"/>
    <s v="Critical"/>
  </r>
  <r>
    <s v="51-462-0747"/>
    <x v="98"/>
    <x v="2"/>
    <s v="40-417-9838"/>
    <s v="Vinder"/>
    <n v="21"/>
    <n v="30"/>
    <n v="32"/>
    <s v="$2.00 "/>
    <n v="2"/>
    <s v="1/22/2025"/>
    <d v="2025-01-22T00:00:00"/>
    <d v="2025-07-02T00:00:00"/>
    <d v="2025-07-02T00:00:00"/>
    <d v="2024-10-03T00:00:00"/>
    <d v="2024-10-03T00:00:00"/>
    <s v="453 Dryden Park"/>
    <n v="43"/>
    <n v="54"/>
    <s v="Backordered"/>
    <n v="86"/>
    <n v="42"/>
    <x v="0"/>
    <x v="13"/>
    <n v="-111"/>
    <s v="Invalid Data"/>
  </r>
  <r>
    <s v="90-492-0564"/>
    <x v="75"/>
    <x v="2"/>
    <s v="18-085-1667"/>
    <s v="Shuffledrive"/>
    <n v="92"/>
    <n v="96"/>
    <n v="56"/>
    <s v="$6.00 "/>
    <n v="6"/>
    <s v="11/18/2024"/>
    <d v="2024-11-18T00:00:00"/>
    <s v="6/25/2024"/>
    <d v="2024-06-25T00:00:00"/>
    <s v="7/20/2024"/>
    <d v="2024-07-20T00:00:00"/>
    <s v="54 Pawling Crossing"/>
    <n v="32"/>
    <n v="22"/>
    <s v="Discontinued"/>
    <n v="192"/>
    <n v="552"/>
    <x v="0"/>
    <x v="5"/>
    <n v="-121"/>
    <s v="Invalid Data"/>
  </r>
  <r>
    <s v="63-956-0739"/>
    <x v="93"/>
    <x v="1"/>
    <s v="17-123-1252"/>
    <s v="Jetwire"/>
    <n v="68"/>
    <n v="12"/>
    <n v="42"/>
    <s v="$10.00 "/>
    <n v="10"/>
    <d v="2024-05-12T00:00:00"/>
    <d v="2024-05-12T00:00:00"/>
    <s v="2/21/2025"/>
    <d v="2025-02-21T00:00:00"/>
    <s v="12/22/2024"/>
    <d v="2024-12-22T00:00:00"/>
    <s v="6808 Chinook Parkway"/>
    <n v="39"/>
    <n v="6"/>
    <s v="Backordered"/>
    <n v="390"/>
    <n v="680"/>
    <x v="1"/>
    <x v="8"/>
    <n v="224"/>
    <s v="Low Risk"/>
  </r>
  <r>
    <s v="30-832-5429"/>
    <x v="38"/>
    <x v="5"/>
    <s v="41-800-2842"/>
    <s v="Topicshots"/>
    <n v="46"/>
    <n v="43"/>
    <n v="46"/>
    <s v="$3.50 "/>
    <n v="3.5"/>
    <d v="2025-10-01T00:00:00"/>
    <d v="2025-10-01T00:00:00"/>
    <d v="2024-05-10T00:00:00"/>
    <d v="2024-05-10T00:00:00"/>
    <s v="9/17/2024"/>
    <d v="2024-09-17T00:00:00"/>
    <s v="894 Kingsford Road"/>
    <n v="68"/>
    <n v="59"/>
    <s v="Backordered"/>
    <n v="238"/>
    <n v="161"/>
    <x v="1"/>
    <x v="17"/>
    <n v="-379"/>
    <s v="Invalid Data"/>
  </r>
  <r>
    <s v="38-822-8005"/>
    <x v="26"/>
    <x v="2"/>
    <s v="45-886-1540"/>
    <s v="Innojam"/>
    <n v="47"/>
    <n v="20"/>
    <n v="65"/>
    <s v="$1.75 "/>
    <n v="1.75"/>
    <s v="1/19/2025"/>
    <d v="2025-01-19T00:00:00"/>
    <d v="2025-12-01T00:00:00"/>
    <d v="2025-12-01T00:00:00"/>
    <s v="3/31/2024"/>
    <d v="2024-03-31T00:00:00"/>
    <s v="6 Stang Hill"/>
    <n v="49"/>
    <n v="19"/>
    <s v="Backordered"/>
    <n v="85.75"/>
    <n v="82.25"/>
    <x v="1"/>
    <x v="13"/>
    <n v="-294"/>
    <s v="Invalid Data"/>
  </r>
  <r>
    <s v="73-118-1117"/>
    <x v="28"/>
    <x v="3"/>
    <s v="55-557-8544"/>
    <s v="Layo"/>
    <n v="52"/>
    <n v="88"/>
    <n v="55"/>
    <s v="$6.00 "/>
    <n v="6"/>
    <s v="5/27/2024"/>
    <d v="2024-05-27T00:00:00"/>
    <d v="2024-05-05T00:00:00"/>
    <d v="2024-05-05T00:00:00"/>
    <s v="11/13/2024"/>
    <d v="2024-11-13T00:00:00"/>
    <s v="482 Green Center"/>
    <n v="100"/>
    <n v="46"/>
    <s v="Discontinued"/>
    <n v="600"/>
    <n v="312"/>
    <x v="0"/>
    <x v="8"/>
    <n v="170"/>
    <s v="Medium Risk"/>
  </r>
  <r>
    <s v="60-285-3783"/>
    <x v="23"/>
    <x v="2"/>
    <s v="58-827-9061"/>
    <s v="Youfeed"/>
    <n v="51"/>
    <n v="62"/>
    <n v="95"/>
    <s v="$6.00 "/>
    <n v="6"/>
    <d v="2024-07-04T00:00:00"/>
    <d v="2024-07-04T00:00:00"/>
    <s v="3/28/2024"/>
    <d v="2024-03-28T00:00:00"/>
    <s v="1/15/2025"/>
    <d v="2025-01-15T00:00:00"/>
    <s v="37973 Parkside Junction"/>
    <n v="52"/>
    <n v="21"/>
    <s v="Active"/>
    <n v="312"/>
    <n v="306"/>
    <x v="0"/>
    <x v="10"/>
    <n v="195"/>
    <s v="Low Risk"/>
  </r>
  <r>
    <s v="00-215-7434"/>
    <x v="7"/>
    <x v="4"/>
    <s v="85-272-3969"/>
    <s v="Quatz"/>
    <n v="14"/>
    <n v="63"/>
    <n v="74"/>
    <s v="$2.50 "/>
    <n v="2.5"/>
    <s v="4/28/2024"/>
    <d v="2024-04-28T00:00:00"/>
    <s v="2/19/2025"/>
    <d v="2025-02-19T00:00:00"/>
    <s v="11/28/2024"/>
    <d v="2024-11-28T00:00:00"/>
    <s v="389 Ridgeway Park"/>
    <n v="59"/>
    <n v="63"/>
    <s v="Backordered"/>
    <n v="147.5"/>
    <n v="35"/>
    <x v="0"/>
    <x v="4"/>
    <n v="214"/>
    <s v="Low Risk"/>
  </r>
  <r>
    <s v="68-734-1585"/>
    <x v="8"/>
    <x v="2"/>
    <s v="54-537-5633"/>
    <s v="Meeveo"/>
    <n v="62"/>
    <n v="44"/>
    <n v="11"/>
    <s v="$51.17 "/>
    <n v="51.17"/>
    <d v="2025-08-01T00:00:00"/>
    <d v="2025-08-01T00:00:00"/>
    <s v="4/16/2024"/>
    <d v="2024-04-16T00:00:00"/>
    <s v="7/13/2024"/>
    <d v="2024-07-13T00:00:00"/>
    <s v="3 Hagan Drive"/>
    <n v="92"/>
    <n v="37"/>
    <s v="Discontinued"/>
    <n v="4707.6400000000003"/>
    <n v="3172.54"/>
    <x v="1"/>
    <x v="18"/>
    <n v="-384"/>
    <s v="Invalid Data"/>
  </r>
  <r>
    <s v="08-703-1382"/>
    <x v="76"/>
    <x v="2"/>
    <s v="29-975-3449"/>
    <s v="Wikizz"/>
    <n v="40"/>
    <n v="53"/>
    <n v="7"/>
    <s v="$4.00 "/>
    <n v="4"/>
    <s v="2/21/2025"/>
    <d v="2025-02-21T00:00:00"/>
    <d v="2024-06-03T00:00:00"/>
    <d v="2024-06-03T00:00:00"/>
    <s v="6/21/2024"/>
    <d v="2024-06-21T00:00:00"/>
    <s v="082 Clove Plaza"/>
    <n v="70"/>
    <n v="20"/>
    <s v="Backordered"/>
    <n v="280"/>
    <n v="160"/>
    <x v="0"/>
    <x v="14"/>
    <n v="-245"/>
    <s v="Invalid Data"/>
  </r>
  <r>
    <s v="65-282-0419"/>
    <x v="48"/>
    <x v="1"/>
    <s v="85-932-1011"/>
    <s v="Feedbug"/>
    <n v="50"/>
    <n v="100"/>
    <n v="91"/>
    <s v="$25.50 "/>
    <n v="25.5"/>
    <s v="12/28/2024"/>
    <d v="2024-12-28T00:00:00"/>
    <s v="7/17/2024"/>
    <d v="2024-07-17T00:00:00"/>
    <d v="2024-05-12T00:00:00"/>
    <d v="2024-05-12T00:00:00"/>
    <s v="509 Waywood Center"/>
    <n v="29"/>
    <n v="31"/>
    <s v="Active"/>
    <n v="739.5"/>
    <n v="1275"/>
    <x v="0"/>
    <x v="6"/>
    <n v="-230"/>
    <s v="Invalid Data"/>
  </r>
  <r>
    <s v="62-777-6010"/>
    <x v="0"/>
    <x v="0"/>
    <s v="40-914-7156"/>
    <s v="Katz"/>
    <n v="77"/>
    <n v="20"/>
    <n v="37"/>
    <s v="$4.25 "/>
    <n v="4.25"/>
    <d v="2024-03-07T00:00:00"/>
    <d v="2024-03-07T00:00:00"/>
    <d v="2024-06-03T00:00:00"/>
    <d v="2024-06-03T00:00:00"/>
    <d v="2024-05-11T00:00:00"/>
    <d v="2024-05-11T00:00:00"/>
    <s v="5743 Superior Place"/>
    <n v="42"/>
    <n v="19"/>
    <s v="Backordered"/>
    <n v="178.5"/>
    <n v="327.25"/>
    <x v="1"/>
    <x v="2"/>
    <n v="65"/>
    <s v="High Risk"/>
  </r>
  <r>
    <s v="87-675-1506"/>
    <x v="12"/>
    <x v="2"/>
    <s v="21-697-8128"/>
    <s v="Skalith"/>
    <n v="31"/>
    <n v="89"/>
    <n v="7"/>
    <s v="$5.90 "/>
    <n v="5.9"/>
    <s v="8/26/2024"/>
    <d v="2024-08-26T00:00:00"/>
    <d v="2024-07-12T00:00:00"/>
    <d v="2024-07-12T00:00:00"/>
    <s v="5/21/2024"/>
    <d v="2024-05-21T00:00:00"/>
    <s v="60241 Portage Point"/>
    <n v="46"/>
    <n v="54"/>
    <s v="Discontinued"/>
    <n v="271.40000000000003"/>
    <n v="182.9"/>
    <x v="0"/>
    <x v="0"/>
    <n v="-97"/>
    <s v="Invalid Data"/>
  </r>
  <r>
    <s v="67-027-7269"/>
    <x v="23"/>
    <x v="2"/>
    <s v="50-050-5707"/>
    <s v="Twitterbeat"/>
    <n v="35"/>
    <n v="19"/>
    <n v="30"/>
    <s v="$6.50 "/>
    <n v="6.5"/>
    <d v="2025-06-01T00:00:00"/>
    <d v="2025-06-01T00:00:00"/>
    <s v="11/30/2024"/>
    <d v="2024-11-30T00:00:00"/>
    <d v="2024-09-11T00:00:00"/>
    <d v="2024-09-11T00:00:00"/>
    <s v="615 Mayer Drive"/>
    <n v="88"/>
    <n v="6"/>
    <s v="Backordered"/>
    <n v="572"/>
    <n v="227.5"/>
    <x v="1"/>
    <x v="15"/>
    <n v="-263"/>
    <s v="Invalid Data"/>
  </r>
  <r>
    <s v="72-066-4597"/>
    <x v="50"/>
    <x v="2"/>
    <s v="97-994-0773"/>
    <s v="Zoovu"/>
    <n v="31"/>
    <n v="54"/>
    <n v="52"/>
    <s v="$4.00 "/>
    <n v="4"/>
    <s v="2/20/2025"/>
    <d v="2025-02-20T00:00:00"/>
    <d v="2024-08-12T00:00:00"/>
    <d v="2024-08-12T00:00:00"/>
    <s v="12/13/2024"/>
    <d v="2024-12-13T00:00:00"/>
    <s v="03 Fisk Alley"/>
    <n v="69"/>
    <n v="77"/>
    <s v="Active"/>
    <n v="276"/>
    <n v="124"/>
    <x v="0"/>
    <x v="14"/>
    <n v="-69"/>
    <s v="Invalid Data"/>
  </r>
  <r>
    <s v="31-627-6025"/>
    <x v="42"/>
    <x v="5"/>
    <s v="17-084-8551"/>
    <s v="Ozu"/>
    <n v="56"/>
    <n v="62"/>
    <n v="64"/>
    <s v="$2.50 "/>
    <n v="2.5"/>
    <s v="8/22/2024"/>
    <d v="2024-08-22T00:00:00"/>
    <d v="2024-03-09T00:00:00"/>
    <d v="2024-03-09T00:00:00"/>
    <s v="1/20/2025"/>
    <d v="2025-01-20T00:00:00"/>
    <s v="44638 Corscot Lane"/>
    <n v="56"/>
    <n v="73"/>
    <s v="Backordered"/>
    <n v="140"/>
    <n v="140"/>
    <x v="0"/>
    <x v="0"/>
    <n v="151"/>
    <s v="Medium Risk"/>
  </r>
  <r>
    <s v="09-286-8107"/>
    <x v="8"/>
    <x v="4"/>
    <s v="90-727-4816"/>
    <s v="Skyndu"/>
    <n v="90"/>
    <n v="62"/>
    <n v="54"/>
    <s v="$3.00 "/>
    <n v="3"/>
    <s v="1/20/2025"/>
    <d v="2025-01-20T00:00:00"/>
    <d v="2024-07-09T00:00:00"/>
    <d v="2024-07-09T00:00:00"/>
    <s v="12/15/2024"/>
    <d v="2024-12-15T00:00:00"/>
    <s v="75 Bunting Junction"/>
    <n v="70"/>
    <n v="83"/>
    <s v="Discontinued"/>
    <n v="210"/>
    <n v="270"/>
    <x v="1"/>
    <x v="13"/>
    <n v="-36"/>
    <s v="Invalid Data"/>
  </r>
  <r>
    <s v="77-013-1553"/>
    <x v="79"/>
    <x v="3"/>
    <s v="42-252-5861"/>
    <s v="Yodo"/>
    <n v="79"/>
    <n v="31"/>
    <n v="66"/>
    <s v="$2.30 "/>
    <n v="2.2999999999999998"/>
    <d v="2024-10-04T00:00:00"/>
    <d v="2024-10-04T00:00:00"/>
    <s v="10/13/2024"/>
    <d v="2024-10-13T00:00:00"/>
    <s v="8/20/2024"/>
    <d v="2024-08-20T00:00:00"/>
    <s v="48788 Chinook Place"/>
    <n v="92"/>
    <n v="13"/>
    <s v="Discontinued"/>
    <n v="211.6"/>
    <n v="181.7"/>
    <x v="1"/>
    <x v="7"/>
    <n v="-45"/>
    <s v="Invalid Data"/>
  </r>
  <r>
    <s v="15-762-1058"/>
    <x v="98"/>
    <x v="2"/>
    <s v="32-914-1424"/>
    <s v="Tazz"/>
    <n v="29"/>
    <n v="83"/>
    <n v="91"/>
    <s v="$2.00 "/>
    <n v="2"/>
    <s v="11/29/2024"/>
    <d v="2024-11-29T00:00:00"/>
    <d v="2025-07-02T00:00:00"/>
    <d v="2025-07-02T00:00:00"/>
    <d v="2025-04-01T00:00:00"/>
    <d v="2025-04-01T00:00:00"/>
    <s v="083 Mccormick Park"/>
    <n v="81"/>
    <n v="53"/>
    <s v="Backordered"/>
    <n v="162"/>
    <n v="58"/>
    <x v="0"/>
    <x v="5"/>
    <n v="123"/>
    <s v="Medium Risk"/>
  </r>
  <r>
    <s v="48-193-1199"/>
    <x v="79"/>
    <x v="3"/>
    <s v="63-924-5144"/>
    <s v="Omba"/>
    <n v="46"/>
    <n v="51"/>
    <n v="92"/>
    <s v="$2.30 "/>
    <n v="2.2999999999999998"/>
    <d v="2024-07-05T00:00:00"/>
    <d v="2024-07-05T00:00:00"/>
    <s v="12/24/2024"/>
    <d v="2024-12-24T00:00:00"/>
    <d v="2024-09-06T00:00:00"/>
    <d v="2024-09-06T00:00:00"/>
    <s v="339 Paget Place"/>
    <n v="47"/>
    <n v="25"/>
    <s v="Discontinued"/>
    <n v="108.1"/>
    <n v="105.8"/>
    <x v="0"/>
    <x v="10"/>
    <n v="63"/>
    <s v="High Risk"/>
  </r>
  <r>
    <s v="01-173-0029"/>
    <x v="60"/>
    <x v="2"/>
    <s v="18-880-7910"/>
    <s v="DabZ"/>
    <n v="42"/>
    <n v="4"/>
    <n v="53"/>
    <s v="$10.00 "/>
    <n v="10"/>
    <d v="2025-10-01T00:00:00"/>
    <d v="2025-10-01T00:00:00"/>
    <d v="2024-05-07T00:00:00"/>
    <d v="2024-05-07T00:00:00"/>
    <d v="2024-12-04T00:00:00"/>
    <d v="2024-12-04T00:00:00"/>
    <s v="8 Dakota Avenue"/>
    <n v="37"/>
    <n v="53"/>
    <s v="Active"/>
    <n v="370"/>
    <n v="420"/>
    <x v="1"/>
    <x v="17"/>
    <n v="-301"/>
    <s v="Invalid Data"/>
  </r>
  <r>
    <s v="79-400-6216"/>
    <x v="49"/>
    <x v="4"/>
    <s v="83-361-7509"/>
    <s v="Devpoint"/>
    <n v="16"/>
    <n v="56"/>
    <n v="13"/>
    <s v="$7.20 "/>
    <n v="7.2"/>
    <d v="2025-10-02T00:00:00"/>
    <d v="2025-10-02T00:00:00"/>
    <d v="2024-10-03T00:00:00"/>
    <d v="2024-10-03T00:00:00"/>
    <d v="2024-02-10T00:00:00"/>
    <d v="2024-02-10T00:00:00"/>
    <s v="4 Warbler Center"/>
    <n v="56"/>
    <n v="28"/>
    <s v="Discontinued"/>
    <n v="403.2"/>
    <n v="115.2"/>
    <x v="0"/>
    <x v="17"/>
    <n v="-600"/>
    <s v="Invalid Data"/>
  </r>
  <r>
    <s v="80-072-8774"/>
    <x v="82"/>
    <x v="6"/>
    <s v="61-222-8413"/>
    <s v="Viva"/>
    <n v="89"/>
    <n v="95"/>
    <n v="41"/>
    <s v="$18.00 "/>
    <n v="18"/>
    <s v="9/24/2024"/>
    <d v="2024-09-24T00:00:00"/>
    <d v="2024-06-07T00:00:00"/>
    <d v="2024-06-07T00:00:00"/>
    <s v="10/15/2024"/>
    <d v="2024-10-15T00:00:00"/>
    <s v="239 Anderson Court"/>
    <n v="76"/>
    <n v="96"/>
    <s v="Discontinued"/>
    <n v="1368"/>
    <n v="1602"/>
    <x v="0"/>
    <x v="11"/>
    <n v="21"/>
    <s v="Critical"/>
  </r>
  <r>
    <s v="78-689-8958"/>
    <x v="48"/>
    <x v="1"/>
    <s v="52-744-6162"/>
    <s v="Chatterbridge"/>
    <n v="20"/>
    <n v="43"/>
    <n v="43"/>
    <s v="$25.00 "/>
    <n v="25"/>
    <d v="2025-07-01T00:00:00"/>
    <d v="2025-07-01T00:00:00"/>
    <s v="2/27/2024"/>
    <d v="2024-02-27T00:00:00"/>
    <s v="3/29/2024"/>
    <d v="2024-03-29T00:00:00"/>
    <s v="04 Mesta Parkway"/>
    <n v="73"/>
    <n v="6"/>
    <s v="Active"/>
    <n v="1825"/>
    <n v="500"/>
    <x v="0"/>
    <x v="19"/>
    <n v="-459"/>
    <s v="Invalid Data"/>
  </r>
  <r>
    <s v="57-562-2358"/>
    <x v="36"/>
    <x v="1"/>
    <s v="22-644-6447"/>
    <s v="Quamba"/>
    <n v="37"/>
    <n v="94"/>
    <n v="76"/>
    <s v="$15.00 "/>
    <n v="15"/>
    <s v="6/17/2024"/>
    <d v="2024-06-17T00:00:00"/>
    <s v="1/19/2025"/>
    <d v="2025-01-19T00:00:00"/>
    <d v="2025-04-02T00:00:00"/>
    <d v="2025-04-02T00:00:00"/>
    <s v="00 6th Parkway"/>
    <n v="94"/>
    <n v="66"/>
    <s v="Backordered"/>
    <n v="1410"/>
    <n v="555"/>
    <x v="0"/>
    <x v="12"/>
    <n v="289"/>
    <s v="Low Risk"/>
  </r>
  <r>
    <s v="56-191-6497"/>
    <x v="14"/>
    <x v="0"/>
    <s v="65-395-5947"/>
    <s v="Bubblebox"/>
    <n v="97"/>
    <n v="41"/>
    <n v="68"/>
    <s v="$1.50 "/>
    <n v="1.5"/>
    <s v="1/14/2025"/>
    <d v="2025-01-14T00:00:00"/>
    <d v="2024-04-10T00:00:00"/>
    <d v="2024-04-10T00:00:00"/>
    <d v="2025-07-01T00:00:00"/>
    <d v="2025-07-01T00:00:00"/>
    <s v="844 Schurz Point"/>
    <n v="35"/>
    <n v="16"/>
    <s v="Discontinued"/>
    <n v="52.5"/>
    <n v="145.5"/>
    <x v="1"/>
    <x v="13"/>
    <n v="168"/>
    <s v="Medium Risk"/>
  </r>
  <r>
    <s v="46-753-8430"/>
    <x v="13"/>
    <x v="4"/>
    <s v="35-042-9391"/>
    <s v="Rhynyx"/>
    <n v="98"/>
    <n v="77"/>
    <n v="7"/>
    <s v="$7.00 "/>
    <n v="7"/>
    <d v="2024-02-10T00:00:00"/>
    <d v="2024-02-10T00:00:00"/>
    <s v="11/19/2024"/>
    <d v="2024-11-19T00:00:00"/>
    <d v="2024-05-08T00:00:00"/>
    <d v="2024-05-08T00:00:00"/>
    <s v="60356 Derek Lane"/>
    <n v="92"/>
    <n v="29"/>
    <s v="Discontinued"/>
    <n v="644"/>
    <n v="686"/>
    <x v="1"/>
    <x v="9"/>
    <n v="88"/>
    <s v="High Risk"/>
  </r>
  <r>
    <s v="48-461-3742"/>
    <x v="39"/>
    <x v="2"/>
    <s v="78-381-5054"/>
    <s v="Zooveo"/>
    <n v="37"/>
    <n v="8"/>
    <n v="50"/>
    <s v="$6.00 "/>
    <n v="6"/>
    <d v="2024-06-07T00:00:00"/>
    <d v="2024-06-07T00:00:00"/>
    <s v="5/17/2024"/>
    <d v="2024-05-17T00:00:00"/>
    <s v="1/23/2025"/>
    <d v="2025-01-23T00:00:00"/>
    <s v="42719 Milwaukee Avenue"/>
    <n v="47"/>
    <n v="62"/>
    <s v="Discontinued"/>
    <n v="282"/>
    <n v="222"/>
    <x v="1"/>
    <x v="12"/>
    <n v="230"/>
    <s v="Low Risk"/>
  </r>
  <r>
    <s v="16-354-8122"/>
    <x v="99"/>
    <x v="5"/>
    <s v="61-604-8116"/>
    <s v="BlogXS"/>
    <n v="97"/>
    <n v="99"/>
    <n v="96"/>
    <s v="$4.00 "/>
    <n v="4"/>
    <s v="4/25/2024"/>
    <d v="2024-04-25T00:00:00"/>
    <s v="1/22/2025"/>
    <d v="2025-01-22T00:00:00"/>
    <s v="11/27/2024"/>
    <d v="2024-11-27T00:00:00"/>
    <s v="66 Raven Pass"/>
    <n v="57"/>
    <n v="42"/>
    <s v="Backordered"/>
    <n v="228"/>
    <n v="388"/>
    <x v="0"/>
    <x v="4"/>
    <n v="216"/>
    <s v="Low Risk"/>
  </r>
  <r>
    <s v="76-954-1442"/>
    <x v="1"/>
    <x v="1"/>
    <s v="68-200-8955"/>
    <s v="Mynte"/>
    <n v="97"/>
    <n v="77"/>
    <n v="99"/>
    <s v="$20.00 "/>
    <n v="20"/>
    <s v="11/22/2024"/>
    <d v="2024-11-22T00:00:00"/>
    <s v="4/24/2024"/>
    <d v="2024-04-24T00:00:00"/>
    <s v="3/18/2024"/>
    <d v="2024-03-18T00:00:00"/>
    <s v="43024 Elka Avenue"/>
    <n v="74"/>
    <n v="98"/>
    <s v="Backordered"/>
    <n v="1480"/>
    <n v="1940"/>
    <x v="1"/>
    <x v="5"/>
    <n v="-249"/>
    <s v="Invalid Data"/>
  </r>
  <r>
    <s v="44-476-0390"/>
    <x v="35"/>
    <x v="2"/>
    <s v="48-562-3582"/>
    <s v="Flashspan"/>
    <n v="90"/>
    <n v="92"/>
    <n v="56"/>
    <s v="$2.50 "/>
    <n v="2.5"/>
    <s v="7/28/2024"/>
    <d v="2024-07-28T00:00:00"/>
    <s v="4/27/2024"/>
    <d v="2024-04-27T00:00:00"/>
    <s v="3/14/2024"/>
    <d v="2024-03-14T00:00:00"/>
    <s v="022 Pierstorff Point"/>
    <n v="71"/>
    <n v="13"/>
    <s v="Active"/>
    <n v="177.5"/>
    <n v="225"/>
    <x v="0"/>
    <x v="10"/>
    <n v="-136"/>
    <s v="Invalid Data"/>
  </r>
  <r>
    <s v="35-617-3857"/>
    <x v="1"/>
    <x v="1"/>
    <s v="90-718-2724"/>
    <s v="Youspan"/>
    <n v="46"/>
    <n v="31"/>
    <n v="89"/>
    <s v="$20.00 "/>
    <n v="20"/>
    <d v="2025-04-01T00:00:00"/>
    <d v="2025-04-01T00:00:00"/>
    <s v="3/21/2024"/>
    <d v="2024-03-21T00:00:00"/>
    <d v="2024-06-03T00:00:00"/>
    <d v="2024-06-03T00:00:00"/>
    <s v="292 Charing Cross Terrace"/>
    <n v="59"/>
    <n v="65"/>
    <s v="Backordered"/>
    <n v="1180"/>
    <n v="920"/>
    <x v="1"/>
    <x v="16"/>
    <n v="-302"/>
    <s v="Invalid Data"/>
  </r>
  <r>
    <s v="94-029-2717"/>
    <x v="50"/>
    <x v="2"/>
    <s v="37-878-9392"/>
    <s v="Jetpulse"/>
    <n v="40"/>
    <n v="8"/>
    <n v="98"/>
    <s v="$4.00 "/>
    <n v="4"/>
    <s v="7/26/2024"/>
    <d v="2024-07-26T00:00:00"/>
    <d v="2025-06-02T00:00:00"/>
    <d v="2025-06-02T00:00:00"/>
    <d v="2024-09-06T00:00:00"/>
    <d v="2024-09-06T00:00:00"/>
    <s v="071 Nobel Circle"/>
    <n v="86"/>
    <n v="12"/>
    <s v="Discontinued"/>
    <n v="344"/>
    <n v="160"/>
    <x v="1"/>
    <x v="10"/>
    <n v="42"/>
    <s v="High Risk"/>
  </r>
  <r>
    <s v="49-526-7806"/>
    <x v="100"/>
    <x v="2"/>
    <s v="66-973-4855"/>
    <s v="Yodoo"/>
    <n v="77"/>
    <n v="52"/>
    <n v="28"/>
    <s v="$4.00 "/>
    <n v="4"/>
    <s v="12/19/2024"/>
    <d v="2024-12-19T00:00:00"/>
    <s v="11/19/2024"/>
    <d v="2024-11-19T00:00:00"/>
    <d v="2024-01-05T00:00:00"/>
    <d v="2024-01-05T00:00:00"/>
    <s v="6744 Helena Pass"/>
    <n v="48"/>
    <n v="43"/>
    <s v="Active"/>
    <n v="192"/>
    <n v="308"/>
    <x v="1"/>
    <x v="6"/>
    <n v="-349"/>
    <s v="Invalid Data"/>
  </r>
  <r>
    <s v="99-137-1730"/>
    <x v="14"/>
    <x v="0"/>
    <s v="65-797-3468"/>
    <s v="Skyndu"/>
    <n v="62"/>
    <n v="79"/>
    <n v="23"/>
    <s v="$1.50 "/>
    <n v="1.5"/>
    <s v="7/22/2024"/>
    <d v="2024-07-22T00:00:00"/>
    <s v="2/28/2024"/>
    <d v="2024-02-28T00:00:00"/>
    <s v="10/18/2024"/>
    <d v="2024-10-18T00:00:00"/>
    <s v="4105 Fair Oaks Parkway"/>
    <n v="32"/>
    <n v="80"/>
    <s v="Active"/>
    <n v="48"/>
    <n v="93"/>
    <x v="0"/>
    <x v="10"/>
    <n v="88"/>
    <s v="High Risk"/>
  </r>
  <r>
    <s v="27-442-3654"/>
    <x v="29"/>
    <x v="1"/>
    <s v="57-544-2465"/>
    <s v="Yoveo"/>
    <n v="59"/>
    <n v="17"/>
    <n v="1"/>
    <s v="$30.00 "/>
    <n v="30"/>
    <s v="7/21/2024"/>
    <d v="2024-07-21T00:00:00"/>
    <s v="8/26/2024"/>
    <d v="2024-08-26T00:00:00"/>
    <d v="2024-03-12T00:00:00"/>
    <d v="2024-03-12T00:00:00"/>
    <s v="67677 Lakewood Gardens Way"/>
    <n v="69"/>
    <n v="82"/>
    <s v="Active"/>
    <n v="2070"/>
    <n v="1770"/>
    <x v="1"/>
    <x v="10"/>
    <n v="-131"/>
    <s v="Invalid Data"/>
  </r>
  <r>
    <s v="32-933-0329"/>
    <x v="60"/>
    <x v="2"/>
    <s v="86-760-5412"/>
    <s v="Linklinks"/>
    <n v="23"/>
    <n v="38"/>
    <n v="54"/>
    <s v="$10.00 "/>
    <n v="10"/>
    <s v="1/17/2025"/>
    <d v="2025-01-17T00:00:00"/>
    <s v="7/14/2024"/>
    <d v="2024-07-14T00:00:00"/>
    <s v="4/15/2024"/>
    <d v="2024-04-15T00:00:00"/>
    <s v="57150 Del Sol Alley"/>
    <n v="40"/>
    <n v="15"/>
    <s v="Active"/>
    <n v="400"/>
    <n v="230"/>
    <x v="0"/>
    <x v="13"/>
    <n v="-277"/>
    <s v="Invalid Data"/>
  </r>
  <r>
    <s v="93-813-2419"/>
    <x v="99"/>
    <x v="5"/>
    <s v="12-264-4503"/>
    <s v="Dynabox"/>
    <n v="39"/>
    <n v="16"/>
    <n v="57"/>
    <s v="$4.00 "/>
    <n v="4"/>
    <s v="12/21/2024"/>
    <d v="2024-12-21T00:00:00"/>
    <d v="2024-09-04T00:00:00"/>
    <d v="2024-09-04T00:00:00"/>
    <s v="6/22/2024"/>
    <d v="2024-06-22T00:00:00"/>
    <s v="7407 Farragut Pass"/>
    <n v="98"/>
    <n v="12"/>
    <s v="Active"/>
    <n v="392"/>
    <n v="156"/>
    <x v="1"/>
    <x v="6"/>
    <n v="-182"/>
    <s v="Invalid Data"/>
  </r>
  <r>
    <s v="85-440-3667"/>
    <x v="81"/>
    <x v="4"/>
    <s v="00-680-5333"/>
    <s v="Kamba"/>
    <n v="68"/>
    <n v="29"/>
    <n v="31"/>
    <s v="$7.00 "/>
    <n v="7"/>
    <d v="2024-06-08T00:00:00"/>
    <d v="2024-06-08T00:00:00"/>
    <d v="2024-03-06T00:00:00"/>
    <d v="2024-03-06T00:00:00"/>
    <d v="2024-09-09T00:00:00"/>
    <d v="2024-09-09T00:00:00"/>
    <s v="6151 Forster Drive"/>
    <n v="53"/>
    <n v="20"/>
    <s v="Backordered"/>
    <n v="371"/>
    <n v="476"/>
    <x v="1"/>
    <x v="12"/>
    <n v="93"/>
    <s v="Medium Risk"/>
  </r>
  <r>
    <s v="77-224-2227"/>
    <x v="69"/>
    <x v="0"/>
    <s v="89-226-5813"/>
    <s v="Eimbee"/>
    <n v="75"/>
    <n v="46"/>
    <n v="75"/>
    <s v="$9.50 "/>
    <n v="9.5"/>
    <s v="8/26/2024"/>
    <d v="2024-08-26T00:00:00"/>
    <s v="9/30/2024"/>
    <d v="2024-09-30T00:00:00"/>
    <s v="10/26/2024"/>
    <d v="2024-10-26T00:00:00"/>
    <s v="5426 Fordem Pass"/>
    <n v="43"/>
    <n v="77"/>
    <s v="Backordered"/>
    <n v="408.5"/>
    <n v="712.5"/>
    <x v="1"/>
    <x v="0"/>
    <n v="61"/>
    <s v="High Risk"/>
  </r>
  <r>
    <s v="60-632-8752"/>
    <x v="61"/>
    <x v="5"/>
    <s v="07-948-8632"/>
    <s v="Trunyx"/>
    <n v="96"/>
    <n v="16"/>
    <n v="48"/>
    <s v="$5.00 "/>
    <n v="5"/>
    <d v="2024-04-11T00:00:00"/>
    <d v="2024-04-11T00:00:00"/>
    <d v="2024-04-04T00:00:00"/>
    <d v="2024-04-04T00:00:00"/>
    <s v="1/26/2025"/>
    <d v="2025-01-26T00:00:00"/>
    <s v="48 Golf View Pass"/>
    <n v="45"/>
    <n v="68"/>
    <s v="Active"/>
    <n v="225"/>
    <n v="480"/>
    <x v="1"/>
    <x v="4"/>
    <n v="290"/>
    <s v="Low Risk"/>
  </r>
  <r>
    <s v="99-561-4871"/>
    <x v="30"/>
    <x v="6"/>
    <s v="04-786-5408"/>
    <s v="Buzzdog"/>
    <n v="17"/>
    <n v="38"/>
    <n v="93"/>
    <s v="$9.00 "/>
    <n v="9"/>
    <s v="2/14/2025"/>
    <d v="2025-02-14T00:00:00"/>
    <s v="8/20/2024"/>
    <d v="2024-08-20T00:00:00"/>
    <s v="7/28/2024"/>
    <d v="2024-07-28T00:00:00"/>
    <s v="952 Rowland Junction"/>
    <n v="100"/>
    <n v="63"/>
    <s v="Active"/>
    <n v="900"/>
    <n v="153"/>
    <x v="0"/>
    <x v="14"/>
    <n v="-201"/>
    <s v="Invalid Data"/>
  </r>
  <r>
    <s v="61-607-7622"/>
    <x v="9"/>
    <x v="4"/>
    <s v="77-175-2969"/>
    <s v="Zoonoodle"/>
    <n v="23"/>
    <n v="38"/>
    <n v="25"/>
    <s v="$1.00 "/>
    <n v="1"/>
    <s v="5/13/2024"/>
    <d v="2024-05-13T00:00:00"/>
    <s v="2/21/2025"/>
    <d v="2025-02-21T00:00:00"/>
    <s v="1/15/2025"/>
    <d v="2025-01-15T00:00:00"/>
    <s v="329 Helena Park"/>
    <n v="84"/>
    <n v="78"/>
    <s v="Discontinued"/>
    <n v="84"/>
    <n v="23"/>
    <x v="0"/>
    <x v="8"/>
    <n v="247"/>
    <s v="Low Risk"/>
  </r>
  <r>
    <s v="11-745-3025"/>
    <x v="76"/>
    <x v="2"/>
    <s v="54-711-1582"/>
    <s v="Oyoloo"/>
    <n v="15"/>
    <n v="27"/>
    <n v="21"/>
    <s v="$4.00 "/>
    <n v="4"/>
    <d v="2024-11-06T00:00:00"/>
    <d v="2024-11-06T00:00:00"/>
    <s v="2/21/2025"/>
    <d v="2025-02-21T00:00:00"/>
    <d v="2024-03-09T00:00:00"/>
    <d v="2024-03-09T00:00:00"/>
    <s v="3104 Ridge Oak Hill"/>
    <n v="37"/>
    <n v="67"/>
    <s v="Backordered"/>
    <n v="148"/>
    <n v="60"/>
    <x v="0"/>
    <x v="5"/>
    <n v="-242"/>
    <s v="Invalid Data"/>
  </r>
  <r>
    <s v="56-810-0550"/>
    <x v="101"/>
    <x v="6"/>
    <s v="94-145-9423"/>
    <s v="Janyx"/>
    <n v="71"/>
    <n v="7"/>
    <n v="6"/>
    <s v="$7.50 "/>
    <n v="7.5"/>
    <s v="8/29/2024"/>
    <d v="2024-08-29T00:00:00"/>
    <d v="2024-02-12T00:00:00"/>
    <d v="2024-02-12T00:00:00"/>
    <d v="2024-04-09T00:00:00"/>
    <d v="2024-04-09T00:00:00"/>
    <s v="376 Reinke Court"/>
    <n v="52"/>
    <n v="68"/>
    <s v="Backordered"/>
    <n v="390"/>
    <n v="532.5"/>
    <x v="1"/>
    <x v="0"/>
    <n v="-142"/>
    <s v="Invalid Data"/>
  </r>
  <r>
    <s v="59-075-2457"/>
    <x v="7"/>
    <x v="4"/>
    <s v="18-733-2453"/>
    <s v="Dynava"/>
    <n v="97"/>
    <n v="26"/>
    <n v="15"/>
    <s v="$2.50 "/>
    <n v="2.5"/>
    <s v="8/21/2024"/>
    <d v="2024-08-21T00:00:00"/>
    <d v="2025-03-02T00:00:00"/>
    <d v="2025-03-02T00:00:00"/>
    <d v="2024-10-11T00:00:00"/>
    <d v="2024-10-11T00:00:00"/>
    <s v="2 Barby Lane"/>
    <n v="33"/>
    <n v="58"/>
    <s v="Discontinued"/>
    <n v="82.5"/>
    <n v="242.5"/>
    <x v="1"/>
    <x v="0"/>
    <n v="51"/>
    <s v="High Risk"/>
  </r>
  <r>
    <s v="40-021-2400"/>
    <x v="32"/>
    <x v="2"/>
    <s v="62-648-2577"/>
    <s v="Katz"/>
    <n v="29"/>
    <n v="18"/>
    <n v="86"/>
    <s v="$2.50 "/>
    <n v="2.5"/>
    <s v="10/24/2024"/>
    <d v="2024-10-24T00:00:00"/>
    <s v="11/16/2024"/>
    <d v="2024-11-16T00:00:00"/>
    <d v="2024-11-05T00:00:00"/>
    <d v="2024-11-05T00:00:00"/>
    <s v="265 Columbus Way"/>
    <n v="53"/>
    <n v="69"/>
    <s v="Active"/>
    <n v="132.5"/>
    <n v="72.5"/>
    <x v="1"/>
    <x v="7"/>
    <n v="12"/>
    <s v="Critical"/>
  </r>
  <r>
    <s v="29-017-6255"/>
    <x v="53"/>
    <x v="2"/>
    <s v="43-348-2450"/>
    <s v="Eimbee"/>
    <n v="46"/>
    <n v="64"/>
    <n v="17"/>
    <s v="$4.60 "/>
    <n v="4.5999999999999996"/>
    <d v="2024-01-03T00:00:00"/>
    <d v="2024-01-03T00:00:00"/>
    <d v="2025-06-01T00:00:00"/>
    <d v="2025-06-01T00:00:00"/>
    <s v="1/31/2025"/>
    <d v="2025-01-31T00:00:00"/>
    <s v="20 Pennsylvania Parkway"/>
    <n v="96"/>
    <n v="55"/>
    <s v="Discontinued"/>
    <n v="441.59999999999997"/>
    <n v="211.6"/>
    <x v="0"/>
    <x v="1"/>
    <n v="394"/>
    <s v="Safe"/>
  </r>
  <r>
    <s v="92-291-7089"/>
    <x v="62"/>
    <x v="4"/>
    <s v="08-523-5066"/>
    <s v="Jaxspan"/>
    <n v="76"/>
    <n v="15"/>
    <n v="99"/>
    <s v="$9.50 "/>
    <n v="9.5"/>
    <d v="2025-01-02T00:00:00"/>
    <d v="2025-01-02T00:00:00"/>
    <s v="7/26/2024"/>
    <d v="2024-07-26T00:00:00"/>
    <d v="2024-06-05T00:00:00"/>
    <d v="2024-06-05T00:00:00"/>
    <s v="9307 Kingsford Road"/>
    <n v="60"/>
    <n v="49"/>
    <s v="Discontinued"/>
    <n v="570"/>
    <n v="722"/>
    <x v="1"/>
    <x v="13"/>
    <n v="-211"/>
    <s v="Invalid Data"/>
  </r>
  <r>
    <s v="69-287-9113"/>
    <x v="32"/>
    <x v="2"/>
    <s v="20-952-0731"/>
    <s v="Jaxspan"/>
    <n v="59"/>
    <n v="91"/>
    <n v="24"/>
    <s v="$2.50 "/>
    <n v="2.5"/>
    <s v="10/27/2024"/>
    <d v="2024-10-27T00:00:00"/>
    <s v="6/29/2024"/>
    <d v="2024-06-29T00:00:00"/>
    <s v="12/16/2024"/>
    <d v="2024-12-16T00:00:00"/>
    <s v="11 Golden Leaf Alley"/>
    <n v="54"/>
    <n v="87"/>
    <s v="Active"/>
    <n v="135"/>
    <n v="147.5"/>
    <x v="0"/>
    <x v="7"/>
    <n v="50"/>
    <s v="High Risk"/>
  </r>
  <r>
    <s v="76-540-6407"/>
    <x v="41"/>
    <x v="2"/>
    <s v="78-644-5877"/>
    <s v="Demimbu"/>
    <n v="92"/>
    <n v="54"/>
    <n v="73"/>
    <s v="$3.10 "/>
    <n v="3.1"/>
    <d v="2025-07-02T00:00:00"/>
    <d v="2025-07-02T00:00:00"/>
    <s v="1/17/2025"/>
    <d v="2025-01-17T00:00:00"/>
    <s v="12/13/2024"/>
    <d v="2024-12-13T00:00:00"/>
    <s v="77 Prairie Rose Park"/>
    <n v="79"/>
    <n v="1"/>
    <s v="Backordered"/>
    <n v="244.9"/>
    <n v="285.2"/>
    <x v="1"/>
    <x v="19"/>
    <n v="-201"/>
    <s v="Invalid Data"/>
  </r>
  <r>
    <s v="85-561-4694"/>
    <x v="39"/>
    <x v="2"/>
    <s v="57-486-8971"/>
    <s v="Tazz"/>
    <n v="28"/>
    <n v="27"/>
    <n v="22"/>
    <s v="$6.00 "/>
    <n v="6"/>
    <s v="5/15/2024"/>
    <d v="2024-05-15T00:00:00"/>
    <s v="8/15/2024"/>
    <d v="2024-08-15T00:00:00"/>
    <d v="2024-11-05T00:00:00"/>
    <d v="2024-11-05T00:00:00"/>
    <s v="1 Lake View Trail"/>
    <n v="70"/>
    <n v="30"/>
    <s v="Discontinued"/>
    <n v="420"/>
    <n v="168"/>
    <x v="1"/>
    <x v="8"/>
    <n v="174"/>
    <s v="Medium Risk"/>
  </r>
  <r>
    <s v="34-928-2775"/>
    <x v="72"/>
    <x v="2"/>
    <s v="07-959-3210"/>
    <s v="Browseblab"/>
    <n v="19"/>
    <n v="47"/>
    <n v="25"/>
    <s v="$5.00 "/>
    <n v="5"/>
    <s v="12/18/2024"/>
    <d v="2024-12-18T00:00:00"/>
    <s v="2/24/2025"/>
    <d v="2025-02-24T00:00:00"/>
    <s v="1/28/2025"/>
    <d v="2025-01-28T00:00:00"/>
    <s v="7945 Mayer Center"/>
    <n v="96"/>
    <n v="37"/>
    <s v="Discontinued"/>
    <n v="480"/>
    <n v="95"/>
    <x v="0"/>
    <x v="6"/>
    <n v="41"/>
    <s v="High Risk"/>
  </r>
  <r>
    <s v="90-773-9557"/>
    <x v="37"/>
    <x v="4"/>
    <s v="02-165-5779"/>
    <s v="Npath"/>
    <n v="85"/>
    <n v="28"/>
    <n v="21"/>
    <s v="$3.00 "/>
    <n v="3"/>
    <s v="8/20/2024"/>
    <d v="2024-08-20T00:00:00"/>
    <s v="6/30/2024"/>
    <d v="2024-06-30T00:00:00"/>
    <d v="2024-12-06T00:00:00"/>
    <d v="2024-12-06T00:00:00"/>
    <s v="904 Del Mar Crossing"/>
    <n v="45"/>
    <n v="89"/>
    <s v="Active"/>
    <n v="135"/>
    <n v="255"/>
    <x v="1"/>
    <x v="0"/>
    <n v="108"/>
    <s v="Medium Risk"/>
  </r>
  <r>
    <s v="57-394-1587"/>
    <x v="14"/>
    <x v="0"/>
    <s v="59-595-7531"/>
    <s v="Roomm"/>
    <n v="57"/>
    <n v="63"/>
    <n v="41"/>
    <s v="$1.50 "/>
    <n v="1.5"/>
    <s v="8/25/2024"/>
    <d v="2024-08-25T00:00:00"/>
    <s v="2/17/2025"/>
    <d v="2025-02-17T00:00:00"/>
    <s v="10/30/2024"/>
    <d v="2024-10-30T00:00:00"/>
    <s v="561 Blue Bill Park Road"/>
    <n v="53"/>
    <n v="94"/>
    <s v="Discontinued"/>
    <n v="79.5"/>
    <n v="85.5"/>
    <x v="0"/>
    <x v="0"/>
    <n v="66"/>
    <s v="High Risk"/>
  </r>
  <r>
    <s v="28-008-2951"/>
    <x v="50"/>
    <x v="2"/>
    <s v="64-118-1480"/>
    <s v="Buzzster"/>
    <n v="95"/>
    <n v="29"/>
    <n v="28"/>
    <s v="$4.00 "/>
    <n v="4"/>
    <s v="7/20/2024"/>
    <d v="2024-07-20T00:00:00"/>
    <s v="1/16/2025"/>
    <d v="2025-01-16T00:00:00"/>
    <s v="5/20/2024"/>
    <d v="2024-05-20T00:00:00"/>
    <s v="26 Barnett Junction"/>
    <n v="52"/>
    <n v="46"/>
    <s v="Discontinued"/>
    <n v="208"/>
    <n v="380"/>
    <x v="1"/>
    <x v="10"/>
    <n v="-61"/>
    <s v="Invalid Data"/>
  </r>
  <r>
    <s v="74-711-7160"/>
    <x v="0"/>
    <x v="0"/>
    <s v="40-662-8853"/>
    <s v="Meembee"/>
    <n v="84"/>
    <n v="69"/>
    <n v="77"/>
    <s v="$4.50 "/>
    <n v="4.5"/>
    <s v="1/22/2025"/>
    <d v="2025-01-22T00:00:00"/>
    <s v="12/28/2024"/>
    <d v="2024-12-28T00:00:00"/>
    <d v="2024-01-06T00:00:00"/>
    <d v="2024-01-06T00:00:00"/>
    <s v="44296 Kropf Avenue"/>
    <n v="39"/>
    <n v="69"/>
    <s v="Backordered"/>
    <n v="175.5"/>
    <n v="378"/>
    <x v="1"/>
    <x v="13"/>
    <n v="-382"/>
    <s v="Invalid Data"/>
  </r>
  <r>
    <s v="22-895-6595"/>
    <x v="66"/>
    <x v="0"/>
    <s v="18-445-5057"/>
    <s v="Topicblab"/>
    <n v="31"/>
    <n v="32"/>
    <n v="69"/>
    <s v="$2.00 "/>
    <n v="2"/>
    <s v="2/29/2024"/>
    <d v="2024-02-29T00:00:00"/>
    <d v="2024-04-06T00:00:00"/>
    <d v="2024-04-06T00:00:00"/>
    <s v="11/21/2024"/>
    <d v="2024-11-21T00:00:00"/>
    <s v="34642 Carpenter Place"/>
    <n v="38"/>
    <n v="23"/>
    <s v="Active"/>
    <n v="76"/>
    <n v="62"/>
    <x v="0"/>
    <x v="9"/>
    <n v="266"/>
    <s v="Low Risk"/>
  </r>
  <r>
    <s v="19-214-5762"/>
    <x v="25"/>
    <x v="2"/>
    <s v="88-108-3774"/>
    <s v="Gigashots"/>
    <n v="41"/>
    <n v="52"/>
    <n v="75"/>
    <s v="$4.50 "/>
    <n v="4.5"/>
    <d v="2024-06-04T00:00:00"/>
    <d v="2024-06-04T00:00:00"/>
    <s v="4/24/2024"/>
    <d v="2024-04-24T00:00:00"/>
    <s v="10/13/2024"/>
    <d v="2024-10-13T00:00:00"/>
    <s v="7 Bonner Terrace"/>
    <n v="57"/>
    <n v="62"/>
    <s v="Backordered"/>
    <n v="256.5"/>
    <n v="184.5"/>
    <x v="0"/>
    <x v="12"/>
    <n v="131"/>
    <s v="Medium Risk"/>
  </r>
  <r>
    <s v="95-349-0828"/>
    <x v="13"/>
    <x v="4"/>
    <s v="43-977-2343"/>
    <s v="Avaveo"/>
    <n v="97"/>
    <n v="57"/>
    <n v="84"/>
    <s v="$7.00 "/>
    <n v="7"/>
    <s v="9/27/2024"/>
    <d v="2024-09-27T00:00:00"/>
    <s v="8/29/2024"/>
    <d v="2024-08-29T00:00:00"/>
    <d v="2025-06-02T00:00:00"/>
    <d v="2025-06-02T00:00:00"/>
    <s v="60 Towne Hill"/>
    <n v="95"/>
    <n v="28"/>
    <s v="Active"/>
    <n v="665"/>
    <n v="679"/>
    <x v="1"/>
    <x v="11"/>
    <n v="248"/>
    <s v="Low Risk"/>
  </r>
  <r>
    <s v="00-963-2193"/>
    <x v="102"/>
    <x v="4"/>
    <s v="39-521-8484"/>
    <s v="Thoughtsphere"/>
    <n v="43"/>
    <n v="88"/>
    <n v="33"/>
    <s v="$1.00 "/>
    <n v="1"/>
    <s v="7/19/2024"/>
    <d v="2024-07-19T00:00:00"/>
    <d v="2025-03-02T00:00:00"/>
    <d v="2025-03-02T00:00:00"/>
    <s v="12/23/2024"/>
    <d v="2024-12-23T00:00:00"/>
    <s v="5030 Moose Junction"/>
    <n v="84"/>
    <n v="75"/>
    <s v="Discontinued"/>
    <n v="84"/>
    <n v="43"/>
    <x v="0"/>
    <x v="10"/>
    <n v="157"/>
    <s v="Medium Risk"/>
  </r>
  <r>
    <s v="76-459-2392"/>
    <x v="63"/>
    <x v="3"/>
    <s v="91-030-6609"/>
    <s v="Fivebridge"/>
    <n v="74"/>
    <n v="4"/>
    <n v="67"/>
    <s v="$1.80 "/>
    <n v="1.8"/>
    <s v="3/26/2024"/>
    <d v="2024-03-26T00:00:00"/>
    <s v="4/13/2024"/>
    <d v="2024-04-13T00:00:00"/>
    <s v="5/24/2024"/>
    <d v="2024-05-24T00:00:00"/>
    <s v="2005 Mccormick Road"/>
    <n v="31"/>
    <n v="34"/>
    <s v="Backordered"/>
    <n v="55.800000000000004"/>
    <n v="133.20000000000002"/>
    <x v="1"/>
    <x v="2"/>
    <n v="59"/>
    <s v="High Risk"/>
  </r>
  <r>
    <s v="10-034-7654"/>
    <x v="14"/>
    <x v="0"/>
    <s v="27-292-4656"/>
    <s v="Zava"/>
    <n v="70"/>
    <n v="96"/>
    <n v="92"/>
    <s v="$1.50 "/>
    <n v="1.5"/>
    <s v="4/18/2024"/>
    <d v="2024-04-18T00:00:00"/>
    <s v="10/25/2024"/>
    <d v="2024-10-25T00:00:00"/>
    <s v="5/28/2024"/>
    <d v="2024-05-28T00:00:00"/>
    <s v="21 Esker Way"/>
    <n v="27"/>
    <n v="58"/>
    <s v="Backordered"/>
    <n v="40.5"/>
    <n v="105"/>
    <x v="0"/>
    <x v="4"/>
    <n v="40"/>
    <s v="High Risk"/>
  </r>
  <r>
    <s v="24-972-6969"/>
    <x v="62"/>
    <x v="4"/>
    <s v="27-532-7847"/>
    <s v="Twitterbeat"/>
    <n v="69"/>
    <n v="53"/>
    <n v="32"/>
    <s v="$9.20 "/>
    <n v="9.1999999999999993"/>
    <d v="2024-11-09T00:00:00"/>
    <d v="2024-11-09T00:00:00"/>
    <s v="5/28/2024"/>
    <d v="2024-05-28T00:00:00"/>
    <s v="6/13/2024"/>
    <d v="2024-06-13T00:00:00"/>
    <s v="5862 Hooker Pass"/>
    <n v="28"/>
    <n v="56"/>
    <s v="Active"/>
    <n v="257.59999999999997"/>
    <n v="634.79999999999995"/>
    <x v="1"/>
    <x v="5"/>
    <n v="-149"/>
    <s v="Invalid Data"/>
  </r>
  <r>
    <s v="94-190-5193"/>
    <x v="45"/>
    <x v="2"/>
    <s v="95-778-2888"/>
    <s v="Quinu"/>
    <n v="67"/>
    <n v="68"/>
    <n v="50"/>
    <s v="$1.50 "/>
    <n v="1.5"/>
    <s v="9/23/2024"/>
    <d v="2024-09-23T00:00:00"/>
    <s v="11/21/2024"/>
    <d v="2024-11-21T00:00:00"/>
    <d v="2024-09-04T00:00:00"/>
    <d v="2024-09-04T00:00:00"/>
    <s v="24385 Prentice Plaza"/>
    <n v="67"/>
    <n v="82"/>
    <s v="Discontinued"/>
    <n v="100.5"/>
    <n v="100.5"/>
    <x v="0"/>
    <x v="11"/>
    <n v="-19"/>
    <s v="Invalid Data"/>
  </r>
  <r>
    <s v="92-791-0606"/>
    <x v="33"/>
    <x v="0"/>
    <s v="56-050-1773"/>
    <s v="Photobean"/>
    <n v="18"/>
    <n v="62"/>
    <n v="2"/>
    <s v="$3.00 "/>
    <n v="3"/>
    <s v="3/26/2024"/>
    <d v="2024-03-26T00:00:00"/>
    <s v="4/28/2024"/>
    <d v="2024-04-28T00:00:00"/>
    <d v="2024-06-09T00:00:00"/>
    <d v="2024-06-09T00:00:00"/>
    <s v="739 Grayhawk Trail"/>
    <n v="61"/>
    <n v="78"/>
    <s v="Discontinued"/>
    <n v="183"/>
    <n v="54"/>
    <x v="0"/>
    <x v="2"/>
    <n v="75"/>
    <s v="High Risk"/>
  </r>
  <r>
    <s v="84-629-1532"/>
    <x v="1"/>
    <x v="1"/>
    <s v="50-378-4320"/>
    <s v="Chatterpoint"/>
    <n v="22"/>
    <n v="89"/>
    <n v="25"/>
    <s v="$21.00 "/>
    <n v="21"/>
    <s v="2/25/2024"/>
    <d v="2024-02-25T00:00:00"/>
    <s v="11/27/2024"/>
    <d v="2024-11-27T00:00:00"/>
    <s v="7/20/2024"/>
    <d v="2024-07-20T00:00:00"/>
    <s v="7 Sloan Park"/>
    <n v="30"/>
    <n v="62"/>
    <s v="Discontinued"/>
    <n v="630"/>
    <n v="462"/>
    <x v="0"/>
    <x v="9"/>
    <n v="146"/>
    <s v="Medium Risk"/>
  </r>
  <r>
    <s v="68-977-2498"/>
    <x v="103"/>
    <x v="2"/>
    <s v="26-222-1156"/>
    <s v="Skinix"/>
    <n v="88"/>
    <n v="99"/>
    <n v="41"/>
    <s v="$5.50 "/>
    <n v="5.5"/>
    <s v="7/30/2024"/>
    <d v="2024-07-30T00:00:00"/>
    <s v="5/20/2024"/>
    <d v="2024-05-20T00:00:00"/>
    <s v="7/21/2024"/>
    <d v="2024-07-21T00:00:00"/>
    <s v="6482 Ramsey Alley"/>
    <n v="93"/>
    <n v="99"/>
    <s v="Backordered"/>
    <n v="511.5"/>
    <n v="484"/>
    <x v="0"/>
    <x v="10"/>
    <n v="-9"/>
    <s v="Invalid Data"/>
  </r>
  <r>
    <s v="91-257-3672"/>
    <x v="70"/>
    <x v="6"/>
    <s v="30-438-6295"/>
    <s v="InnoZ"/>
    <n v="78"/>
    <n v="75"/>
    <n v="3"/>
    <s v="$7.00 "/>
    <n v="7"/>
    <d v="2024-08-08T00:00:00"/>
    <d v="2024-08-08T00:00:00"/>
    <s v="12/18/2024"/>
    <d v="2024-12-18T00:00:00"/>
    <d v="2024-05-07T00:00:00"/>
    <d v="2024-05-07T00:00:00"/>
    <s v="10997 Dexter Parkway"/>
    <n v="63"/>
    <n v="100"/>
    <s v="Active"/>
    <n v="441"/>
    <n v="546"/>
    <x v="1"/>
    <x v="0"/>
    <n v="-93"/>
    <s v="Invalid Data"/>
  </r>
  <r>
    <s v="09-536-2626"/>
    <x v="28"/>
    <x v="3"/>
    <s v="14-483-5712"/>
    <s v="Fliptune"/>
    <n v="83"/>
    <n v="52"/>
    <n v="32"/>
    <s v="$6.00 "/>
    <n v="6"/>
    <s v="10/17/2024"/>
    <d v="2024-10-17T00:00:00"/>
    <s v="8/26/2024"/>
    <d v="2024-08-26T00:00:00"/>
    <s v="3/21/2024"/>
    <d v="2024-03-21T00:00:00"/>
    <s v="205 Straubel Court"/>
    <n v="47"/>
    <n v="7"/>
    <s v="Active"/>
    <n v="282"/>
    <n v="498"/>
    <x v="1"/>
    <x v="7"/>
    <n v="-210"/>
    <s v="Invalid Data"/>
  </r>
  <r>
    <s v="61-801-8665"/>
    <x v="93"/>
    <x v="1"/>
    <s v="78-283-9751"/>
    <s v="Demivee"/>
    <n v="42"/>
    <n v="88"/>
    <n v="17"/>
    <s v="$10.50 "/>
    <n v="10.5"/>
    <s v="10/19/2024"/>
    <d v="2024-10-19T00:00:00"/>
    <d v="2024-06-12T00:00:00"/>
    <d v="2024-06-12T00:00:00"/>
    <s v="6/24/2024"/>
    <d v="2024-06-24T00:00:00"/>
    <s v="58 La Follette Park"/>
    <n v="34"/>
    <n v="51"/>
    <s v="Discontinued"/>
    <n v="357"/>
    <n v="441"/>
    <x v="0"/>
    <x v="7"/>
    <n v="-117"/>
    <s v="Invalid Data"/>
  </r>
  <r>
    <s v="38-296-6634"/>
    <x v="57"/>
    <x v="2"/>
    <s v="41-083-3955"/>
    <s v="Skipfire"/>
    <n v="49"/>
    <n v="46"/>
    <n v="8"/>
    <s v="$3.00 "/>
    <n v="3"/>
    <s v="10/22/2024"/>
    <d v="2024-10-22T00:00:00"/>
    <s v="3/31/2024"/>
    <d v="2024-03-31T00:00:00"/>
    <d v="2024-10-12T00:00:00"/>
    <d v="2024-10-12T00:00:00"/>
    <s v="160 Kings Street"/>
    <n v="82"/>
    <n v="21"/>
    <s v="Discontinued"/>
    <n v="246"/>
    <n v="147"/>
    <x v="1"/>
    <x v="7"/>
    <n v="-10"/>
    <s v="Invalid Data"/>
  </r>
  <r>
    <s v="30-591-7275"/>
    <x v="104"/>
    <x v="0"/>
    <s v="12-431-9207"/>
    <s v="Oyondu"/>
    <n v="17"/>
    <n v="88"/>
    <n v="41"/>
    <s v="$2.50 "/>
    <n v="2.5"/>
    <s v="10/21/2024"/>
    <d v="2024-10-21T00:00:00"/>
    <s v="2/19/2025"/>
    <d v="2025-02-19T00:00:00"/>
    <s v="1/18/2025"/>
    <d v="2025-01-18T00:00:00"/>
    <s v="7020 Porter Trail"/>
    <n v="45"/>
    <n v="29"/>
    <s v="Backordered"/>
    <n v="112.5"/>
    <n v="42.5"/>
    <x v="0"/>
    <x v="7"/>
    <n v="89"/>
    <s v="High Risk"/>
  </r>
  <r>
    <s v="83-763-5038"/>
    <x v="83"/>
    <x v="4"/>
    <s v="26-438-8349"/>
    <s v="Jatri"/>
    <n v="52"/>
    <n v="64"/>
    <n v="54"/>
    <s v="$2.40 "/>
    <n v="2.4"/>
    <s v="11/22/2024"/>
    <d v="2024-11-22T00:00:00"/>
    <d v="2024-09-09T00:00:00"/>
    <d v="2024-09-09T00:00:00"/>
    <s v="10/23/2024"/>
    <d v="2024-10-23T00:00:00"/>
    <s v="5 Armistice Parkway"/>
    <n v="21"/>
    <n v="55"/>
    <s v="Backordered"/>
    <n v="50.4"/>
    <n v="124.8"/>
    <x v="0"/>
    <x v="5"/>
    <n v="-30"/>
    <s v="Invalid Data"/>
  </r>
  <r>
    <s v="37-709-3532"/>
    <x v="23"/>
    <x v="2"/>
    <s v="08-439-3820"/>
    <s v="Demivee"/>
    <n v="79"/>
    <n v="45"/>
    <n v="39"/>
    <s v="$6.00 "/>
    <n v="6"/>
    <s v="10/29/2024"/>
    <d v="2024-10-29T00:00:00"/>
    <d v="2024-07-11T00:00:00"/>
    <d v="2024-07-11T00:00:00"/>
    <d v="2024-11-05T00:00:00"/>
    <d v="2024-11-05T00:00:00"/>
    <s v="524 Saint Paul Park"/>
    <n v="55"/>
    <n v="20"/>
    <s v="Backordered"/>
    <n v="330"/>
    <n v="474"/>
    <x v="1"/>
    <x v="7"/>
    <n v="7"/>
    <s v="Critical"/>
  </r>
  <r>
    <s v="62-795-7801"/>
    <x v="63"/>
    <x v="3"/>
    <s v="08-312-0872"/>
    <s v="Buzzshare"/>
    <n v="35"/>
    <n v="41"/>
    <n v="84"/>
    <s v="$1.80 "/>
    <n v="1.8"/>
    <s v="8/17/2024"/>
    <d v="2024-08-17T00:00:00"/>
    <s v="7/28/2024"/>
    <d v="2024-07-28T00:00:00"/>
    <s v="11/23/2024"/>
    <d v="2024-11-23T00:00:00"/>
    <s v="94451 Arkansas Park"/>
    <n v="62"/>
    <n v="14"/>
    <s v="Backordered"/>
    <n v="111.60000000000001"/>
    <n v="63"/>
    <x v="0"/>
    <x v="0"/>
    <n v="98"/>
    <s v="Medium Risk"/>
  </r>
  <r>
    <s v="98-575-4736"/>
    <x v="26"/>
    <x v="2"/>
    <s v="44-429-6199"/>
    <s v="Flashset"/>
    <n v="76"/>
    <n v="11"/>
    <n v="15"/>
    <s v="$1.80 "/>
    <n v="1.8"/>
    <s v="10/20/2024"/>
    <d v="2024-10-20T00:00:00"/>
    <s v="5/25/2024"/>
    <d v="2024-05-25T00:00:00"/>
    <s v="9/17/2024"/>
    <d v="2024-09-17T00:00:00"/>
    <s v="83 Pleasure Street"/>
    <n v="22"/>
    <n v="91"/>
    <s v="Active"/>
    <n v="39.6"/>
    <n v="136.80000000000001"/>
    <x v="1"/>
    <x v="7"/>
    <n v="-33"/>
    <s v="Invalid Data"/>
  </r>
  <r>
    <s v="57-861-4379"/>
    <x v="15"/>
    <x v="4"/>
    <s v="73-383-4390"/>
    <s v="Feedmix"/>
    <n v="93"/>
    <n v="8"/>
    <n v="51"/>
    <s v="$8.00 "/>
    <n v="8"/>
    <s v="2/28/2024"/>
    <d v="2024-02-28T00:00:00"/>
    <s v="5/15/2024"/>
    <d v="2024-05-15T00:00:00"/>
    <d v="2025-04-02T00:00:00"/>
    <d v="2025-04-02T00:00:00"/>
    <s v="64407 Marcy Plaza"/>
    <n v="93"/>
    <n v="85"/>
    <s v="Backordered"/>
    <n v="744"/>
    <n v="744"/>
    <x v="1"/>
    <x v="9"/>
    <n v="399"/>
    <s v="Safe"/>
  </r>
  <r>
    <s v="00-119-8780"/>
    <x v="105"/>
    <x v="6"/>
    <s v="14-703-2550"/>
    <s v="Jaxspan"/>
    <n v="40"/>
    <n v="81"/>
    <n v="78"/>
    <s v="$20.00 "/>
    <n v="20"/>
    <s v="2/17/2025"/>
    <d v="2025-02-17T00:00:00"/>
    <s v="7/16/2024"/>
    <d v="2024-07-16T00:00:00"/>
    <d v="2024-04-03T00:00:00"/>
    <d v="2024-04-03T00:00:00"/>
    <s v="21 Sunbrook Court"/>
    <n v="39"/>
    <n v="65"/>
    <s v="Backordered"/>
    <n v="780"/>
    <n v="800"/>
    <x v="0"/>
    <x v="14"/>
    <n v="-320"/>
    <s v="Invalid Data"/>
  </r>
  <r>
    <s v="28-824-9017"/>
    <x v="17"/>
    <x v="6"/>
    <s v="93-712-3934"/>
    <s v="Flipbug"/>
    <n v="19"/>
    <n v="94"/>
    <n v="17"/>
    <s v="$11.50 "/>
    <n v="11.5"/>
    <s v="8/22/2024"/>
    <d v="2024-08-22T00:00:00"/>
    <d v="2024-08-06T00:00:00"/>
    <d v="2024-08-06T00:00:00"/>
    <s v="6/14/2024"/>
    <d v="2024-06-14T00:00:00"/>
    <s v="4 Jay Terrace"/>
    <n v="96"/>
    <n v="74"/>
    <s v="Discontinued"/>
    <n v="1104"/>
    <n v="218.5"/>
    <x v="0"/>
    <x v="0"/>
    <n v="-69"/>
    <s v="Invalid Data"/>
  </r>
  <r>
    <s v="56-668-5370"/>
    <x v="87"/>
    <x v="3"/>
    <s v="13-526-1392"/>
    <s v="Vimbo"/>
    <n v="70"/>
    <n v="96"/>
    <n v="21"/>
    <s v="$2.00 "/>
    <n v="2"/>
    <s v="11/26/2024"/>
    <d v="2024-11-26T00:00:00"/>
    <d v="2024-10-09T00:00:00"/>
    <d v="2024-10-09T00:00:00"/>
    <d v="2024-03-08T00:00:00"/>
    <d v="2024-03-08T00:00:00"/>
    <s v="05686 Golden Leaf Point"/>
    <n v="100"/>
    <n v="15"/>
    <s v="Discontinued"/>
    <n v="200"/>
    <n v="140"/>
    <x v="0"/>
    <x v="5"/>
    <n v="-263"/>
    <s v="Invalid Data"/>
  </r>
  <r>
    <s v="29-756-7042"/>
    <x v="99"/>
    <x v="5"/>
    <s v="20-426-2191"/>
    <s v="Dabvine"/>
    <n v="90"/>
    <n v="52"/>
    <n v="50"/>
    <s v="$4.00 "/>
    <n v="4"/>
    <s v="6/29/2024"/>
    <d v="2024-06-29T00:00:00"/>
    <s v="4/15/2024"/>
    <d v="2024-04-15T00:00:00"/>
    <d v="2024-07-05T00:00:00"/>
    <d v="2024-07-05T00:00:00"/>
    <s v="99 Fair Oaks Circle"/>
    <n v="63"/>
    <n v="14"/>
    <s v="Discontinued"/>
    <n v="252"/>
    <n v="360"/>
    <x v="1"/>
    <x v="12"/>
    <n v="6"/>
    <s v="Critical"/>
  </r>
  <r>
    <s v="41-538-3129"/>
    <x v="99"/>
    <x v="5"/>
    <s v="91-589-9007"/>
    <s v="Devshare"/>
    <n v="77"/>
    <n v="79"/>
    <n v="65"/>
    <s v="$4.00 "/>
    <n v="4"/>
    <d v="2024-01-09T00:00:00"/>
    <d v="2024-01-09T00:00:00"/>
    <s v="3/17/2024"/>
    <d v="2024-03-17T00:00:00"/>
    <s v="7/31/2024"/>
    <d v="2024-07-31T00:00:00"/>
    <s v="2 Carioca Crossing"/>
    <n v="62"/>
    <n v="75"/>
    <s v="Backordered"/>
    <n v="248"/>
    <n v="308"/>
    <x v="0"/>
    <x v="1"/>
    <n v="204"/>
    <s v="Low Risk"/>
  </r>
  <r>
    <s v="16-380-0753"/>
    <x v="106"/>
    <x v="2"/>
    <s v="24-603-5521"/>
    <s v="Quinu"/>
    <n v="38"/>
    <n v="22"/>
    <n v="71"/>
    <s v="$5.00 "/>
    <n v="5"/>
    <d v="2024-07-10T00:00:00"/>
    <d v="2024-07-10T00:00:00"/>
    <s v="5/16/2024"/>
    <d v="2024-05-16T00:00:00"/>
    <d v="2024-08-05T00:00:00"/>
    <d v="2024-08-05T00:00:00"/>
    <s v="701 Logan Court"/>
    <n v="33"/>
    <n v="62"/>
    <s v="Active"/>
    <n v="165"/>
    <n v="190"/>
    <x v="1"/>
    <x v="10"/>
    <n v="26"/>
    <s v="Critical"/>
  </r>
  <r>
    <s v="26-535-4727"/>
    <x v="70"/>
    <x v="6"/>
    <s v="17-939-1338"/>
    <s v="Jamia"/>
    <n v="93"/>
    <n v="25"/>
    <n v="23"/>
    <s v="$7.00 "/>
    <n v="7"/>
    <s v="6/21/2024"/>
    <d v="2024-06-21T00:00:00"/>
    <s v="8/17/2024"/>
    <d v="2024-08-17T00:00:00"/>
    <s v="4/29/2024"/>
    <d v="2024-04-29T00:00:00"/>
    <s v="4 Darwin Circle"/>
    <n v="72"/>
    <n v="83"/>
    <s v="Backordered"/>
    <n v="504"/>
    <n v="651"/>
    <x v="1"/>
    <x v="12"/>
    <n v="-53"/>
    <s v="Invalid Data"/>
  </r>
  <r>
    <s v="59-857-6577"/>
    <x v="107"/>
    <x v="4"/>
    <s v="57-569-7172"/>
    <s v="Blognation"/>
    <n v="23"/>
    <n v="100"/>
    <n v="77"/>
    <s v="$2.00 "/>
    <n v="2"/>
    <d v="2024-10-05T00:00:00"/>
    <d v="2024-10-05T00:00:00"/>
    <d v="2024-10-08T00:00:00"/>
    <d v="2024-10-08T00:00:00"/>
    <d v="2024-04-03T00:00:00"/>
    <d v="2024-04-03T00:00:00"/>
    <s v="230 Tony Court"/>
    <n v="63"/>
    <n v="26"/>
    <s v="Discontinued"/>
    <n v="126"/>
    <n v="46"/>
    <x v="0"/>
    <x v="7"/>
    <n v="-185"/>
    <s v="Invalid Data"/>
  </r>
  <r>
    <s v="14-550-2152"/>
    <x v="85"/>
    <x v="1"/>
    <s v="60-003-2919"/>
    <s v="Livepath"/>
    <n v="51"/>
    <n v="1"/>
    <n v="61"/>
    <s v="$7.60 "/>
    <n v="7.6"/>
    <s v="3/29/2024"/>
    <d v="2024-03-29T00:00:00"/>
    <s v="6/18/2024"/>
    <d v="2024-06-18T00:00:00"/>
    <s v="11/17/2024"/>
    <d v="2024-11-17T00:00:00"/>
    <s v="3 Forster Point"/>
    <n v="96"/>
    <n v="26"/>
    <s v="Active"/>
    <n v="729.59999999999991"/>
    <n v="387.59999999999997"/>
    <x v="1"/>
    <x v="2"/>
    <n v="233"/>
    <s v="Low Risk"/>
  </r>
  <r>
    <s v="39-315-3936"/>
    <x v="52"/>
    <x v="4"/>
    <s v="99-034-7010"/>
    <s v="Yata"/>
    <n v="57"/>
    <n v="62"/>
    <n v="72"/>
    <s v="$4.00 "/>
    <n v="4"/>
    <s v="2/21/2025"/>
    <d v="2025-02-21T00:00:00"/>
    <s v="9/25/2024"/>
    <d v="2024-09-25T00:00:00"/>
    <d v="2024-10-08T00:00:00"/>
    <d v="2024-10-08T00:00:00"/>
    <s v="850 Glacier Hill Drive"/>
    <n v="23"/>
    <n v="4"/>
    <s v="Backordered"/>
    <n v="92"/>
    <n v="228"/>
    <x v="0"/>
    <x v="14"/>
    <n v="-136"/>
    <s v="Invalid Data"/>
  </r>
  <r>
    <s v="87-199-2743"/>
    <x v="108"/>
    <x v="2"/>
    <s v="54-907-6531"/>
    <s v="Demivee"/>
    <n v="59"/>
    <n v="74"/>
    <n v="100"/>
    <s v="$4.50 "/>
    <n v="4.5"/>
    <s v="3/26/2024"/>
    <d v="2024-03-26T00:00:00"/>
    <s v="9/15/2024"/>
    <d v="2024-09-15T00:00:00"/>
    <d v="2024-12-11T00:00:00"/>
    <d v="2024-12-11T00:00:00"/>
    <s v="38695 Kenwood Circle"/>
    <n v="63"/>
    <n v="69"/>
    <s v="Active"/>
    <n v="283.5"/>
    <n v="265.5"/>
    <x v="0"/>
    <x v="2"/>
    <n v="260"/>
    <s v="Low Risk"/>
  </r>
  <r>
    <s v="60-771-0879"/>
    <x v="60"/>
    <x v="2"/>
    <s v="90-554-0576"/>
    <s v="Kayveo"/>
    <n v="89"/>
    <n v="15"/>
    <n v="22"/>
    <s v="$10.00 "/>
    <n v="10"/>
    <s v="11/17/2024"/>
    <d v="2024-11-17T00:00:00"/>
    <d v="2025-11-02T00:00:00"/>
    <d v="2025-11-02T00:00:00"/>
    <d v="2024-03-05T00:00:00"/>
    <d v="2024-03-05T00:00:00"/>
    <s v="9 Karstens Center"/>
    <n v="79"/>
    <n v="42"/>
    <s v="Discontinued"/>
    <n v="790"/>
    <n v="890"/>
    <x v="1"/>
    <x v="5"/>
    <n v="-257"/>
    <s v="Invalid Data"/>
  </r>
  <r>
    <s v="00-440-9568"/>
    <x v="60"/>
    <x v="2"/>
    <s v="43-605-2448"/>
    <s v="Kamba"/>
    <n v="53"/>
    <n v="98"/>
    <n v="25"/>
    <s v="$10.00 "/>
    <n v="10"/>
    <s v="9/23/2024"/>
    <d v="2024-09-23T00:00:00"/>
    <d v="2024-04-09T00:00:00"/>
    <d v="2024-04-09T00:00:00"/>
    <s v="12/20/2024"/>
    <d v="2024-12-20T00:00:00"/>
    <s v="052 Northland Trail"/>
    <n v="55"/>
    <n v="51"/>
    <s v="Active"/>
    <n v="550"/>
    <n v="530"/>
    <x v="0"/>
    <x v="11"/>
    <n v="88"/>
    <s v="High Risk"/>
  </r>
  <r>
    <s v="07-074-1196"/>
    <x v="4"/>
    <x v="2"/>
    <s v="69-112-6969"/>
    <s v="Skajo"/>
    <n v="11"/>
    <n v="56"/>
    <n v="62"/>
    <s v="$3.90 "/>
    <n v="3.9"/>
    <s v="4/14/2024"/>
    <d v="2024-04-14T00:00:00"/>
    <d v="2025-10-01T00:00:00"/>
    <d v="2025-10-01T00:00:00"/>
    <d v="2024-10-10T00:00:00"/>
    <d v="2024-10-10T00:00:00"/>
    <s v="27 New Castle Avenue"/>
    <n v="40"/>
    <n v="5"/>
    <s v="Backordered"/>
    <n v="156"/>
    <n v="42.9"/>
    <x v="0"/>
    <x v="4"/>
    <n v="179"/>
    <s v="Medium Risk"/>
  </r>
  <r>
    <s v="69-674-5387"/>
    <x v="109"/>
    <x v="4"/>
    <s v="04-313-0298"/>
    <s v="Miboo"/>
    <n v="59"/>
    <n v="27"/>
    <n v="63"/>
    <s v="$1.75 "/>
    <n v="1.75"/>
    <s v="6/15/2024"/>
    <d v="2024-06-15T00:00:00"/>
    <s v="6/27/2024"/>
    <d v="2024-06-27T00:00:00"/>
    <d v="2025-01-02T00:00:00"/>
    <d v="2025-01-02T00:00:00"/>
    <s v="6211 Hanson Terrace"/>
    <n v="92"/>
    <n v="82"/>
    <s v="Discontinued"/>
    <n v="161"/>
    <n v="103.25"/>
    <x v="1"/>
    <x v="12"/>
    <n v="201"/>
    <s v="Low Risk"/>
  </r>
  <r>
    <s v="08-940-8578"/>
    <x v="31"/>
    <x v="2"/>
    <s v="37-686-1726"/>
    <s v="Oba"/>
    <n v="34"/>
    <n v="29"/>
    <n v="65"/>
    <s v="$2.00 "/>
    <n v="2"/>
    <d v="2024-03-05T00:00:00"/>
    <d v="2024-03-05T00:00:00"/>
    <d v="2024-04-10T00:00:00"/>
    <d v="2024-04-10T00:00:00"/>
    <s v="11/22/2024"/>
    <d v="2024-11-22T00:00:00"/>
    <s v="74 Menomonie Point"/>
    <n v="90"/>
    <n v="23"/>
    <s v="Discontinued"/>
    <n v="180"/>
    <n v="68"/>
    <x v="1"/>
    <x v="2"/>
    <n v="262"/>
    <s v="Low Risk"/>
  </r>
  <r>
    <s v="94-020-6982"/>
    <x v="82"/>
    <x v="6"/>
    <s v="72-649-3163"/>
    <s v="Thoughtstorm"/>
    <n v="25"/>
    <n v="75"/>
    <n v="27"/>
    <s v="$18.00 "/>
    <n v="18"/>
    <d v="2025-02-01T00:00:00"/>
    <d v="2025-02-01T00:00:00"/>
    <d v="2024-05-10T00:00:00"/>
    <d v="2024-05-10T00:00:00"/>
    <d v="2024-04-05T00:00:00"/>
    <d v="2024-04-05T00:00:00"/>
    <s v="381 Rutledge Place"/>
    <n v="31"/>
    <n v="36"/>
    <s v="Active"/>
    <n v="558"/>
    <n v="450"/>
    <x v="0"/>
    <x v="14"/>
    <n v="-302"/>
    <s v="Invalid Data"/>
  </r>
  <r>
    <s v="42-879-9478"/>
    <x v="95"/>
    <x v="6"/>
    <s v="00-900-0119"/>
    <s v="Zoonder"/>
    <n v="81"/>
    <n v="22"/>
    <n v="20"/>
    <s v="$10.00 "/>
    <n v="10"/>
    <d v="2024-01-06T00:00:00"/>
    <d v="2024-01-06T00:00:00"/>
    <s v="2/23/2025"/>
    <d v="2025-02-23T00:00:00"/>
    <s v="8/22/2024"/>
    <d v="2024-08-22T00:00:00"/>
    <s v="86 Porter Junction"/>
    <n v="95"/>
    <n v="77"/>
    <s v="Discontinued"/>
    <n v="950"/>
    <n v="810"/>
    <x v="1"/>
    <x v="1"/>
    <n v="229"/>
    <s v="Low Risk"/>
  </r>
  <r>
    <s v="00-405-7428"/>
    <x v="110"/>
    <x v="2"/>
    <s v="42-746-2717"/>
    <s v="Zava"/>
    <n v="81"/>
    <n v="74"/>
    <n v="45"/>
    <s v="$3.50 "/>
    <n v="3.5"/>
    <s v="1/20/2025"/>
    <d v="2025-01-20T00:00:00"/>
    <s v="1/27/2025"/>
    <d v="2025-01-27T00:00:00"/>
    <d v="2025-12-01T00:00:00"/>
    <d v="2025-12-01T00:00:00"/>
    <s v="42 Mallory Court"/>
    <n v="42"/>
    <n v="23"/>
    <s v="Discontinued"/>
    <n v="147"/>
    <n v="283.5"/>
    <x v="1"/>
    <x v="13"/>
    <n v="315"/>
    <s v="Low Risk"/>
  </r>
  <r>
    <s v="87-997-0228"/>
    <x v="94"/>
    <x v="2"/>
    <s v="55-156-6528"/>
    <s v="Topicblab"/>
    <n v="71"/>
    <n v="4"/>
    <n v="37"/>
    <s v="$3.00 "/>
    <n v="3"/>
    <s v="9/15/2024"/>
    <d v="2024-09-15T00:00:00"/>
    <s v="10/24/2024"/>
    <d v="2024-10-24T00:00:00"/>
    <s v="12/27/2024"/>
    <d v="2024-12-27T00:00:00"/>
    <s v="26240 Maple Wood Place"/>
    <n v="81"/>
    <n v="25"/>
    <s v="Discontinued"/>
    <n v="243"/>
    <n v="213"/>
    <x v="1"/>
    <x v="11"/>
    <n v="103"/>
    <s v="Medium Risk"/>
  </r>
  <r>
    <s v="05-498-7751"/>
    <x v="78"/>
    <x v="2"/>
    <s v="17-963-6051"/>
    <s v="Abata"/>
    <n v="52"/>
    <n v="22"/>
    <n v="37"/>
    <s v="$2.50 "/>
    <n v="2.5"/>
    <s v="10/28/2024"/>
    <d v="2024-10-28T00:00:00"/>
    <d v="2024-10-07T00:00:00"/>
    <d v="2024-10-07T00:00:00"/>
    <s v="3/24/2024"/>
    <d v="2024-03-24T00:00:00"/>
    <s v="30408 5th Way"/>
    <n v="56"/>
    <n v="44"/>
    <s v="Active"/>
    <n v="140"/>
    <n v="130"/>
    <x v="1"/>
    <x v="7"/>
    <n v="-218"/>
    <s v="Invalid Data"/>
  </r>
  <r>
    <s v="55-631-7937"/>
    <x v="8"/>
    <x v="4"/>
    <s v="79-508-5241"/>
    <s v="Avamba"/>
    <n v="26"/>
    <n v="54"/>
    <n v="90"/>
    <s v="$3.00 "/>
    <n v="3"/>
    <s v="10/15/2024"/>
    <d v="2024-10-15T00:00:00"/>
    <s v="6/19/2024"/>
    <d v="2024-06-19T00:00:00"/>
    <s v="1/21/2025"/>
    <d v="2025-01-21T00:00:00"/>
    <s v="82 Drewry Junction"/>
    <n v="25"/>
    <n v="81"/>
    <s v="Active"/>
    <n v="75"/>
    <n v="78"/>
    <x v="0"/>
    <x v="7"/>
    <n v="98"/>
    <s v="Medium Risk"/>
  </r>
  <r>
    <s v="27-389-3529"/>
    <x v="30"/>
    <x v="6"/>
    <s v="73-201-2803"/>
    <s v="Feedfish"/>
    <n v="84"/>
    <n v="8"/>
    <n v="54"/>
    <s v="$9.00 "/>
    <n v="9"/>
    <s v="1/14/2025"/>
    <d v="2025-01-14T00:00:00"/>
    <s v="4/23/2024"/>
    <d v="2024-04-23T00:00:00"/>
    <d v="2024-09-03T00:00:00"/>
    <d v="2024-09-03T00:00:00"/>
    <s v="234 Eagle Crest Avenue"/>
    <n v="60"/>
    <n v="38"/>
    <s v="Active"/>
    <n v="540"/>
    <n v="756"/>
    <x v="1"/>
    <x v="13"/>
    <n v="-133"/>
    <s v="Invalid Data"/>
  </r>
  <r>
    <s v="84-272-0790"/>
    <x v="60"/>
    <x v="2"/>
    <s v="00-635-4638"/>
    <s v="Eidel"/>
    <n v="28"/>
    <n v="86"/>
    <n v="44"/>
    <s v="$10.00 "/>
    <n v="10"/>
    <s v="5/23/2024"/>
    <d v="2024-05-23T00:00:00"/>
    <s v="11/18/2024"/>
    <d v="2024-11-18T00:00:00"/>
    <s v="7/29/2024"/>
    <d v="2024-07-29T00:00:00"/>
    <s v="53 Caliangt Junction"/>
    <n v="48"/>
    <n v="12"/>
    <s v="Backordered"/>
    <n v="480"/>
    <n v="280"/>
    <x v="0"/>
    <x v="8"/>
    <n v="67"/>
    <s v="High Risk"/>
  </r>
  <r>
    <s v="01-903-5373"/>
    <x v="12"/>
    <x v="2"/>
    <s v="37-902-0286"/>
    <s v="Lazz"/>
    <n v="94"/>
    <n v="77"/>
    <n v="89"/>
    <s v="$6.00 "/>
    <n v="6"/>
    <s v="9/30/2024"/>
    <d v="2024-09-30T00:00:00"/>
    <s v="6/20/2024"/>
    <d v="2024-06-20T00:00:00"/>
    <s v="6/21/2024"/>
    <d v="2024-06-21T00:00:00"/>
    <s v="32525 Marquette Park"/>
    <n v="40"/>
    <n v="84"/>
    <s v="Discontinued"/>
    <n v="240"/>
    <n v="564"/>
    <x v="1"/>
    <x v="11"/>
    <n v="-101"/>
    <s v="Invalid Data"/>
  </r>
  <r>
    <s v="49-311-3063"/>
    <x v="39"/>
    <x v="2"/>
    <s v="15-947-9718"/>
    <s v="Talane"/>
    <n v="47"/>
    <n v="75"/>
    <n v="53"/>
    <s v="$6.00 "/>
    <n v="6"/>
    <d v="2025-06-02T00:00:00"/>
    <d v="2025-06-02T00:00:00"/>
    <d v="2024-03-10T00:00:00"/>
    <d v="2024-03-10T00:00:00"/>
    <d v="2024-03-07T00:00:00"/>
    <d v="2024-03-07T00:00:00"/>
    <s v="71 Bultman Drive"/>
    <n v="70"/>
    <n v="20"/>
    <s v="Discontinued"/>
    <n v="420"/>
    <n v="282"/>
    <x v="0"/>
    <x v="15"/>
    <n v="-452"/>
    <s v="Invalid Data"/>
  </r>
  <r>
    <s v="04-277-5245"/>
    <x v="111"/>
    <x v="0"/>
    <s v="90-175-7764"/>
    <s v="Bubblebox"/>
    <n v="20"/>
    <n v="51"/>
    <n v="21"/>
    <s v="$5.00 "/>
    <n v="5"/>
    <s v="3/19/2024"/>
    <d v="2024-03-19T00:00:00"/>
    <s v="7/28/2024"/>
    <d v="2024-07-28T00:00:00"/>
    <s v="6/18/2024"/>
    <d v="2024-06-18T00:00:00"/>
    <s v="911 Ridgeway Way"/>
    <n v="71"/>
    <n v="26"/>
    <s v="Backordered"/>
    <n v="355"/>
    <n v="100"/>
    <x v="0"/>
    <x v="2"/>
    <n v="91"/>
    <s v="Medium Risk"/>
  </r>
  <r>
    <s v="04-453-5485"/>
    <x v="112"/>
    <x v="2"/>
    <s v="43-880-2879"/>
    <s v="Quatz"/>
    <n v="84"/>
    <n v="20"/>
    <n v="58"/>
    <s v="$2.50 "/>
    <n v="2.5"/>
    <d v="2024-08-04T00:00:00"/>
    <d v="2024-08-04T00:00:00"/>
    <d v="2025-10-01T00:00:00"/>
    <d v="2025-10-01T00:00:00"/>
    <d v="2024-02-04T00:00:00"/>
    <d v="2024-02-04T00:00:00"/>
    <s v="2 Sunbrook Lane"/>
    <n v="86"/>
    <n v="64"/>
    <s v="Backordered"/>
    <n v="215"/>
    <n v="210"/>
    <x v="1"/>
    <x v="0"/>
    <n v="-182"/>
    <s v="Invalid Data"/>
  </r>
  <r>
    <s v="42-141-5718"/>
    <x v="62"/>
    <x v="4"/>
    <s v="67-662-3444"/>
    <s v="Mydeo"/>
    <n v="100"/>
    <n v="31"/>
    <n v="43"/>
    <s v="$9.00 "/>
    <n v="9"/>
    <s v="9/13/2024"/>
    <d v="2024-09-13T00:00:00"/>
    <d v="2025-06-01T00:00:00"/>
    <d v="2025-06-01T00:00:00"/>
    <s v="12/26/2024"/>
    <d v="2024-12-26T00:00:00"/>
    <s v="1700 Briar Crest Parkway"/>
    <n v="88"/>
    <n v="52"/>
    <s v="Backordered"/>
    <n v="792"/>
    <n v="900"/>
    <x v="1"/>
    <x v="11"/>
    <n v="104"/>
    <s v="Medium Risk"/>
  </r>
  <r>
    <s v="89-602-6755"/>
    <x v="102"/>
    <x v="4"/>
    <s v="51-054-3811"/>
    <s v="BlogXS"/>
    <n v="74"/>
    <n v="90"/>
    <n v="26"/>
    <s v="$1.00 "/>
    <n v="1"/>
    <s v="5/23/2024"/>
    <d v="2024-05-23T00:00:00"/>
    <d v="2025-07-02T00:00:00"/>
    <d v="2025-07-02T00:00:00"/>
    <s v="7/17/2024"/>
    <d v="2024-07-17T00:00:00"/>
    <s v="4 Bashford Court"/>
    <n v="24"/>
    <n v="11"/>
    <s v="Discontinued"/>
    <n v="24"/>
    <n v="74"/>
    <x v="0"/>
    <x v="8"/>
    <n v="55"/>
    <s v="High Risk"/>
  </r>
  <r>
    <s v="15-045-8444"/>
    <x v="43"/>
    <x v="1"/>
    <s v="29-143-2001"/>
    <s v="Aibox"/>
    <n v="27"/>
    <n v="12"/>
    <n v="93"/>
    <s v="$12.00 "/>
    <n v="12"/>
    <d v="2024-04-03T00:00:00"/>
    <d v="2024-04-03T00:00:00"/>
    <d v="2024-12-07T00:00:00"/>
    <d v="2024-12-07T00:00:00"/>
    <s v="3/27/2024"/>
    <d v="2024-03-27T00:00:00"/>
    <s v="97 Thierer Terrace"/>
    <n v="88"/>
    <n v="83"/>
    <s v="Discontinued"/>
    <n v="1056"/>
    <n v="324"/>
    <x v="1"/>
    <x v="4"/>
    <n v="-7"/>
    <s v="Invalid Data"/>
  </r>
  <r>
    <s v="15-240-6267"/>
    <x v="51"/>
    <x v="2"/>
    <s v="12-983-3026"/>
    <s v="Mybuzz"/>
    <n v="91"/>
    <n v="55"/>
    <n v="94"/>
    <s v="$3.00 "/>
    <n v="3"/>
    <d v="2024-11-03T00:00:00"/>
    <d v="2024-11-03T00:00:00"/>
    <d v="2024-10-04T00:00:00"/>
    <d v="2024-10-04T00:00:00"/>
    <s v="4/26/2024"/>
    <d v="2024-04-26T00:00:00"/>
    <s v="25784 Old Gate Crossing"/>
    <n v="42"/>
    <n v="93"/>
    <s v="Active"/>
    <n v="126"/>
    <n v="273"/>
    <x v="1"/>
    <x v="5"/>
    <n v="-191"/>
    <s v="Invalid Data"/>
  </r>
  <r>
    <s v="05-193-8096"/>
    <x v="103"/>
    <x v="2"/>
    <s v="86-709-5618"/>
    <s v="Rhynoodle"/>
    <n v="82"/>
    <n v="21"/>
    <n v="85"/>
    <s v="$5.50 "/>
    <n v="5.5"/>
    <s v="4/14/2024"/>
    <d v="2024-04-14T00:00:00"/>
    <s v="3/19/2024"/>
    <d v="2024-03-19T00:00:00"/>
    <d v="2024-08-07T00:00:00"/>
    <d v="2024-08-07T00:00:00"/>
    <s v="38 Rutledge Plaza"/>
    <n v="39"/>
    <n v="18"/>
    <s v="Backordered"/>
    <n v="214.5"/>
    <n v="451"/>
    <x v="1"/>
    <x v="4"/>
    <n v="115"/>
    <s v="Medium Risk"/>
  </r>
  <r>
    <s v="93-342-8794"/>
    <x v="14"/>
    <x v="0"/>
    <s v="93-688-1260"/>
    <s v="Realblab"/>
    <n v="84"/>
    <n v="91"/>
    <n v="86"/>
    <s v="$1.50 "/>
    <n v="1.5"/>
    <d v="2025-08-01T00:00:00"/>
    <d v="2025-08-01T00:00:00"/>
    <d v="2024-07-12T00:00:00"/>
    <d v="2024-07-12T00:00:00"/>
    <s v="11/22/2024"/>
    <d v="2024-11-22T00:00:00"/>
    <s v="39102 Division Trail"/>
    <n v="83"/>
    <n v="95"/>
    <s v="Backordered"/>
    <n v="124.5"/>
    <n v="126"/>
    <x v="0"/>
    <x v="18"/>
    <n v="-252"/>
    <s v="Invalid Data"/>
  </r>
  <r>
    <s v="83-716-2177"/>
    <x v="105"/>
    <x v="6"/>
    <s v="79-518-8344"/>
    <s v="Linktype"/>
    <n v="18"/>
    <n v="46"/>
    <n v="26"/>
    <s v="$20.00 "/>
    <n v="20"/>
    <d v="2024-10-04T00:00:00"/>
    <d v="2024-10-04T00:00:00"/>
    <d v="2024-10-10T00:00:00"/>
    <d v="2024-10-10T00:00:00"/>
    <s v="9/13/2024"/>
    <d v="2024-09-13T00:00:00"/>
    <s v="26266 Esker Point"/>
    <n v="57"/>
    <n v="95"/>
    <s v="Backordered"/>
    <n v="1140"/>
    <n v="360"/>
    <x v="0"/>
    <x v="7"/>
    <n v="-21"/>
    <s v="Invalid Data"/>
  </r>
  <r>
    <s v="56-635-6764"/>
    <x v="40"/>
    <x v="5"/>
    <s v="20-257-6927"/>
    <s v="Avamba"/>
    <n v="12"/>
    <n v="59"/>
    <n v="62"/>
    <s v="$4.50 "/>
    <n v="4.5"/>
    <d v="2024-03-06T00:00:00"/>
    <d v="2024-03-06T00:00:00"/>
    <s v="1/16/2025"/>
    <d v="2025-01-16T00:00:00"/>
    <d v="2024-05-08T00:00:00"/>
    <d v="2024-05-08T00:00:00"/>
    <s v="744 Green Center"/>
    <n v="75"/>
    <n v="92"/>
    <s v="Backordered"/>
    <n v="337.5"/>
    <n v="54"/>
    <x v="0"/>
    <x v="2"/>
    <n v="63"/>
    <s v="High Risk"/>
  </r>
  <r>
    <s v="10-249-7928"/>
    <x v="2"/>
    <x v="0"/>
    <s v="69-861-0313"/>
    <s v="Voomm"/>
    <n v="85"/>
    <n v="4"/>
    <n v="75"/>
    <s v="$6.50 "/>
    <n v="6.5"/>
    <s v="8/18/2024"/>
    <d v="2024-08-18T00:00:00"/>
    <d v="2024-03-04T00:00:00"/>
    <d v="2024-03-04T00:00:00"/>
    <d v="2024-03-11T00:00:00"/>
    <d v="2024-03-11T00:00:00"/>
    <s v="57598 Russell Center"/>
    <n v="95"/>
    <n v="70"/>
    <s v="Backordered"/>
    <n v="617.5"/>
    <n v="552.5"/>
    <x v="1"/>
    <x v="0"/>
    <n v="-160"/>
    <s v="Invalid Data"/>
  </r>
  <r>
    <s v="65-759-3721"/>
    <x v="56"/>
    <x v="5"/>
    <s v="21-634-5781"/>
    <s v="Vipe"/>
    <n v="33"/>
    <n v="60"/>
    <n v="67"/>
    <s v="$6.00 "/>
    <n v="6"/>
    <s v="6/16/2024"/>
    <d v="2024-06-16T00:00:00"/>
    <s v="5/24/2024"/>
    <d v="2024-05-24T00:00:00"/>
    <s v="12/28/2024"/>
    <d v="2024-12-28T00:00:00"/>
    <s v="315 Acker Alley"/>
    <n v="20"/>
    <n v="7"/>
    <s v="Discontinued"/>
    <n v="120"/>
    <n v="198"/>
    <x v="0"/>
    <x v="12"/>
    <n v="195"/>
    <s v="Low Risk"/>
  </r>
  <r>
    <s v="08-725-8156"/>
    <x v="70"/>
    <x v="6"/>
    <s v="32-196-4714"/>
    <s v="Flipopia"/>
    <n v="59"/>
    <n v="59"/>
    <n v="10"/>
    <s v="$7.00 "/>
    <n v="7"/>
    <s v="8/18/2024"/>
    <d v="2024-08-18T00:00:00"/>
    <d v="2024-10-11T00:00:00"/>
    <d v="2024-10-11T00:00:00"/>
    <s v="3/15/2024"/>
    <d v="2024-03-15T00:00:00"/>
    <s v="73397 Steensland Circle"/>
    <n v="57"/>
    <n v="50"/>
    <s v="Active"/>
    <n v="399"/>
    <n v="413"/>
    <x v="0"/>
    <x v="0"/>
    <n v="-156"/>
    <s v="Invalid Data"/>
  </r>
  <r>
    <s v="15-679-3935"/>
    <x v="103"/>
    <x v="2"/>
    <s v="35-906-1010"/>
    <s v="Jabbersphere"/>
    <n v="22"/>
    <n v="69"/>
    <n v="87"/>
    <s v="$5.50 "/>
    <n v="5.5"/>
    <d v="2025-09-02T00:00:00"/>
    <d v="2025-09-02T00:00:00"/>
    <s v="6/15/2024"/>
    <d v="2024-06-15T00:00:00"/>
    <s v="2/20/2025"/>
    <d v="2025-02-20T00:00:00"/>
    <s v="95 Garrison Plaza"/>
    <n v="34"/>
    <n v="26"/>
    <s v="Backordered"/>
    <n v="187"/>
    <n v="121"/>
    <x v="0"/>
    <x v="20"/>
    <n v="-194"/>
    <s v="Invalid Data"/>
  </r>
  <r>
    <s v="81-578-7404"/>
    <x v="81"/>
    <x v="4"/>
    <s v="90-177-6733"/>
    <s v="Rhyloo"/>
    <n v="67"/>
    <n v="79"/>
    <n v="98"/>
    <s v="$7.00 "/>
    <n v="7"/>
    <s v="2/13/2025"/>
    <d v="2025-02-13T00:00:00"/>
    <d v="2024-11-08T00:00:00"/>
    <d v="2024-11-08T00:00:00"/>
    <d v="2024-06-04T00:00:00"/>
    <d v="2024-06-04T00:00:00"/>
    <s v="5989 Longview Drive"/>
    <n v="73"/>
    <n v="36"/>
    <s v="Active"/>
    <n v="511"/>
    <n v="469"/>
    <x v="0"/>
    <x v="14"/>
    <n v="-254"/>
    <s v="Invalid Data"/>
  </r>
  <r>
    <s v="82-380-5378"/>
    <x v="62"/>
    <x v="4"/>
    <s v="96-353-3049"/>
    <s v="Oozz"/>
    <n v="78"/>
    <n v="24"/>
    <n v="31"/>
    <s v="$9.00 "/>
    <n v="9"/>
    <d v="2024-01-06T00:00:00"/>
    <d v="2024-01-06T00:00:00"/>
    <d v="2024-03-06T00:00:00"/>
    <d v="2024-03-06T00:00:00"/>
    <d v="2024-07-03T00:00:00"/>
    <d v="2024-07-03T00:00:00"/>
    <s v="05518 Saint Paul Street"/>
    <n v="60"/>
    <n v="41"/>
    <s v="Active"/>
    <n v="540"/>
    <n v="702"/>
    <x v="1"/>
    <x v="1"/>
    <n v="179"/>
    <s v="Medium Risk"/>
  </r>
  <r>
    <s v="78-362-8578"/>
    <x v="35"/>
    <x v="2"/>
    <s v="57-633-6273"/>
    <s v="Vimbo"/>
    <n v="72"/>
    <n v="32"/>
    <n v="80"/>
    <s v="$2.45 "/>
    <n v="2.4500000000000002"/>
    <d v="2024-06-07T00:00:00"/>
    <d v="2024-06-07T00:00:00"/>
    <s v="11/17/2024"/>
    <d v="2024-11-17T00:00:00"/>
    <d v="2024-10-04T00:00:00"/>
    <d v="2024-10-04T00:00:00"/>
    <s v="86 Corben Crossing"/>
    <n v="25"/>
    <n v="9"/>
    <s v="Backordered"/>
    <n v="61.250000000000007"/>
    <n v="176.4"/>
    <x v="1"/>
    <x v="12"/>
    <n v="119"/>
    <s v="Medium Risk"/>
  </r>
  <r>
    <s v="32-261-0008"/>
    <x v="52"/>
    <x v="4"/>
    <s v="26-073-5798"/>
    <s v="Oyoyo"/>
    <n v="63"/>
    <n v="48"/>
    <n v="22"/>
    <s v="$4.00 "/>
    <n v="4"/>
    <s v="5/30/2024"/>
    <d v="2024-05-30T00:00:00"/>
    <s v="2/18/2025"/>
    <d v="2025-02-18T00:00:00"/>
    <s v="7/18/2024"/>
    <d v="2024-07-18T00:00:00"/>
    <s v="2 Kingsford Center"/>
    <n v="21"/>
    <n v="90"/>
    <s v="Discontinued"/>
    <n v="84"/>
    <n v="252"/>
    <x v="1"/>
    <x v="8"/>
    <n v="49"/>
    <s v="High Risk"/>
  </r>
  <r>
    <s v="74-943-9034"/>
    <x v="42"/>
    <x v="5"/>
    <s v="15-739-5480"/>
    <s v="Tagfeed"/>
    <n v="30"/>
    <n v="91"/>
    <n v="34"/>
    <s v="$2.50 "/>
    <n v="2.5"/>
    <d v="2024-11-07T00:00:00"/>
    <d v="2024-11-07T00:00:00"/>
    <s v="11/18/2024"/>
    <d v="2024-11-18T00:00:00"/>
    <d v="2024-06-05T00:00:00"/>
    <d v="2024-06-05T00:00:00"/>
    <s v="0 Saint Paul Center"/>
    <n v="97"/>
    <n v="88"/>
    <s v="Active"/>
    <n v="242.5"/>
    <n v="75"/>
    <x v="0"/>
    <x v="5"/>
    <n v="-155"/>
    <s v="Invalid Data"/>
  </r>
  <r>
    <s v="86-330-0214"/>
    <x v="1"/>
    <x v="1"/>
    <s v="87-840-7803"/>
    <s v="Jayo"/>
    <n v="36"/>
    <n v="64"/>
    <n v="63"/>
    <s v="$20.00 "/>
    <n v="20"/>
    <s v="3/15/2024"/>
    <d v="2024-03-15T00:00:00"/>
    <s v="2/18/2025"/>
    <d v="2025-02-18T00:00:00"/>
    <s v="3/30/2024"/>
    <d v="2024-03-30T00:00:00"/>
    <s v="5818 Twin Pines Place"/>
    <n v="91"/>
    <n v="35"/>
    <s v="Backordered"/>
    <n v="1820"/>
    <n v="720"/>
    <x v="0"/>
    <x v="2"/>
    <n v="15"/>
    <s v="Critical"/>
  </r>
  <r>
    <s v="80-334-0215"/>
    <x v="103"/>
    <x v="2"/>
    <s v="19-156-3869"/>
    <s v="Camimbo"/>
    <n v="88"/>
    <n v="27"/>
    <n v="92"/>
    <s v="$5.50 "/>
    <n v="5.5"/>
    <s v="11/27/2024"/>
    <d v="2024-11-27T00:00:00"/>
    <s v="4/30/2024"/>
    <d v="2024-04-30T00:00:00"/>
    <s v="6/22/2024"/>
    <d v="2024-06-22T00:00:00"/>
    <s v="611 Waubesa Circle"/>
    <n v="57"/>
    <n v="37"/>
    <s v="Discontinued"/>
    <n v="313.5"/>
    <n v="484"/>
    <x v="1"/>
    <x v="5"/>
    <n v="-158"/>
    <s v="Invalid Data"/>
  </r>
  <r>
    <s v="48-957-8596"/>
    <x v="74"/>
    <x v="2"/>
    <s v="40-817-2222"/>
    <s v="Youfeed"/>
    <n v="95"/>
    <n v="25"/>
    <n v="91"/>
    <s v="$53.82 "/>
    <n v="53.82"/>
    <d v="2024-04-09T00:00:00"/>
    <d v="2024-04-09T00:00:00"/>
    <s v="4/24/2024"/>
    <d v="2024-04-24T00:00:00"/>
    <s v="10/18/2024"/>
    <d v="2024-10-18T00:00:00"/>
    <s v="3825 Raven Avenue"/>
    <n v="87"/>
    <n v="5"/>
    <s v="Discontinued"/>
    <n v="4682.34"/>
    <n v="5112.8999999999996"/>
    <x v="1"/>
    <x v="4"/>
    <n v="192"/>
    <s v="Low Risk"/>
  </r>
  <r>
    <s v="37-246-0018"/>
    <x v="50"/>
    <x v="2"/>
    <s v="61-907-0994"/>
    <s v="Skilith"/>
    <n v="30"/>
    <n v="59"/>
    <n v="76"/>
    <s v="$4.00 "/>
    <n v="4"/>
    <s v="3/20/2024"/>
    <d v="2024-03-20T00:00:00"/>
    <s v="1/14/2025"/>
    <d v="2025-01-14T00:00:00"/>
    <d v="2024-11-04T00:00:00"/>
    <d v="2024-11-04T00:00:00"/>
    <s v="52 Alpine Crossing"/>
    <n v="61"/>
    <n v="3"/>
    <s v="Discontinued"/>
    <n v="244"/>
    <n v="120"/>
    <x v="0"/>
    <x v="2"/>
    <n v="229"/>
    <s v="Low Risk"/>
  </r>
  <r>
    <s v="17-002-4721"/>
    <x v="18"/>
    <x v="2"/>
    <s v="38-310-4533"/>
    <s v="Omba"/>
    <n v="31"/>
    <n v="55"/>
    <n v="5"/>
    <s v="$2.00 "/>
    <n v="2"/>
    <d v="2024-10-09T00:00:00"/>
    <d v="2024-10-09T00:00:00"/>
    <s v="2/18/2025"/>
    <d v="2025-02-18T00:00:00"/>
    <s v="10/29/2024"/>
    <d v="2024-10-29T00:00:00"/>
    <s v="379 Duke Court"/>
    <n v="71"/>
    <n v="46"/>
    <s v="Active"/>
    <n v="142"/>
    <n v="62"/>
    <x v="0"/>
    <x v="7"/>
    <n v="20"/>
    <s v="Critical"/>
  </r>
  <r>
    <s v="47-802-5023"/>
    <x v="73"/>
    <x v="6"/>
    <s v="51-010-8144"/>
    <s v="Buzzster"/>
    <n v="16"/>
    <n v="20"/>
    <n v="45"/>
    <s v="$8.00 "/>
    <n v="8"/>
    <s v="4/30/2024"/>
    <d v="2024-04-30T00:00:00"/>
    <s v="10/18/2024"/>
    <d v="2024-10-18T00:00:00"/>
    <d v="2024-07-06T00:00:00"/>
    <d v="2024-07-06T00:00:00"/>
    <s v="7096 Mcguire Park"/>
    <n v="81"/>
    <n v="62"/>
    <s v="Active"/>
    <n v="648"/>
    <n v="128"/>
    <x v="0"/>
    <x v="4"/>
    <n v="67"/>
    <s v="High Risk"/>
  </r>
  <r>
    <s v="22-319-1377"/>
    <x v="10"/>
    <x v="0"/>
    <s v="82-266-1796"/>
    <s v="Skyba"/>
    <n v="14"/>
    <n v="16"/>
    <n v="93"/>
    <s v="$2.00 "/>
    <n v="2"/>
    <s v="7/23/2024"/>
    <d v="2024-07-23T00:00:00"/>
    <d v="2024-03-03T00:00:00"/>
    <d v="2024-03-03T00:00:00"/>
    <s v="6/21/2024"/>
    <d v="2024-06-21T00:00:00"/>
    <s v="083 Gulseth Pass"/>
    <n v="39"/>
    <n v="30"/>
    <s v="Active"/>
    <n v="78"/>
    <n v="28"/>
    <x v="0"/>
    <x v="10"/>
    <n v="-32"/>
    <s v="Invalid Data"/>
  </r>
  <r>
    <s v="57-903-6434"/>
    <x v="112"/>
    <x v="2"/>
    <s v="30-460-3122"/>
    <s v="Shuffledrive"/>
    <n v="44"/>
    <n v="67"/>
    <n v="15"/>
    <s v="$2.50 "/>
    <n v="2.5"/>
    <s v="3/13/2024"/>
    <d v="2024-03-13T00:00:00"/>
    <d v="2024-10-03T00:00:00"/>
    <d v="2024-10-03T00:00:00"/>
    <s v="3/23/2024"/>
    <d v="2024-03-23T00:00:00"/>
    <s v="34 Linden Court"/>
    <n v="82"/>
    <n v="51"/>
    <s v="Active"/>
    <n v="205"/>
    <n v="110"/>
    <x v="0"/>
    <x v="2"/>
    <n v="10"/>
    <s v="Critical"/>
  </r>
  <r>
    <s v="22-083-3347"/>
    <x v="3"/>
    <x v="0"/>
    <s v="01-431-7544"/>
    <s v="Yodoo"/>
    <n v="69"/>
    <n v="82"/>
    <n v="58"/>
    <s v="$1.50 "/>
    <n v="1.5"/>
    <d v="2024-07-07T00:00:00"/>
    <d v="2024-07-07T00:00:00"/>
    <s v="4/29/2024"/>
    <d v="2024-04-29T00:00:00"/>
    <s v="4/30/2024"/>
    <d v="2024-04-30T00:00:00"/>
    <s v="38 Superior Road"/>
    <n v="34"/>
    <n v="22"/>
    <s v="Discontinued"/>
    <n v="51"/>
    <n v="103.5"/>
    <x v="0"/>
    <x v="10"/>
    <n v="-68"/>
    <s v="Invalid Data"/>
  </r>
  <r>
    <s v="65-145-9672"/>
    <x v="3"/>
    <x v="0"/>
    <s v="65-068-1200"/>
    <s v="Gigashots"/>
    <n v="71"/>
    <n v="10"/>
    <n v="49"/>
    <s v="$1.50 "/>
    <n v="1.5"/>
    <d v="2024-11-08T00:00:00"/>
    <d v="2024-11-08T00:00:00"/>
    <s v="3/16/2024"/>
    <d v="2024-03-16T00:00:00"/>
    <s v="5/26/2024"/>
    <d v="2024-05-26T00:00:00"/>
    <s v="8 Dovetail Junction"/>
    <n v="66"/>
    <n v="43"/>
    <s v="Active"/>
    <n v="99"/>
    <n v="106.5"/>
    <x v="1"/>
    <x v="5"/>
    <n v="-166"/>
    <s v="Invalid Data"/>
  </r>
  <r>
    <s v="95-252-9619"/>
    <x v="45"/>
    <x v="2"/>
    <s v="38-819-2922"/>
    <s v="Skynoodle"/>
    <n v="92"/>
    <n v="39"/>
    <n v="50"/>
    <s v="$1.60 "/>
    <n v="1.6"/>
    <s v="12/27/2024"/>
    <d v="2024-12-27T00:00:00"/>
    <d v="2024-07-12T00:00:00"/>
    <d v="2024-07-12T00:00:00"/>
    <d v="2024-09-11T00:00:00"/>
    <d v="2024-09-11T00:00:00"/>
    <s v="57453 Northwestern Alley"/>
    <n v="30"/>
    <n v="41"/>
    <s v="Backordered"/>
    <n v="48"/>
    <n v="147.20000000000002"/>
    <x v="1"/>
    <x v="6"/>
    <n v="-107"/>
    <s v="Invalid Data"/>
  </r>
  <r>
    <s v="74-294-3760"/>
    <x v="59"/>
    <x v="3"/>
    <s v="81-233-6894"/>
    <s v="Babblestorm"/>
    <n v="49"/>
    <n v="17"/>
    <n v="54"/>
    <s v="$4.00 "/>
    <n v="4"/>
    <s v="9/23/2024"/>
    <d v="2024-09-23T00:00:00"/>
    <s v="11/30/2024"/>
    <d v="2024-11-30T00:00:00"/>
    <s v="11/27/2024"/>
    <d v="2024-11-27T00:00:00"/>
    <s v="0109 Stang Terrace"/>
    <n v="45"/>
    <n v="96"/>
    <s v="Discontinued"/>
    <n v="180"/>
    <n v="196"/>
    <x v="1"/>
    <x v="11"/>
    <n v="65"/>
    <s v="High Risk"/>
  </r>
  <r>
    <s v="06-797-4963"/>
    <x v="75"/>
    <x v="2"/>
    <s v="41-821-0197"/>
    <s v="Innojam"/>
    <n v="52"/>
    <n v="8"/>
    <n v="37"/>
    <s v="$6.00 "/>
    <n v="6"/>
    <s v="8/31/2024"/>
    <d v="2024-08-31T00:00:00"/>
    <s v="8/15/2024"/>
    <d v="2024-08-15T00:00:00"/>
    <s v="8/16/2024"/>
    <d v="2024-08-16T00:00:00"/>
    <s v="1008 Welch Street"/>
    <n v="38"/>
    <n v="81"/>
    <s v="Active"/>
    <n v="228"/>
    <n v="312"/>
    <x v="1"/>
    <x v="0"/>
    <n v="-15"/>
    <s v="Invalid Data"/>
  </r>
  <r>
    <s v="39-768-8205"/>
    <x v="89"/>
    <x v="4"/>
    <s v="07-987-4536"/>
    <s v="Gigabox"/>
    <n v="56"/>
    <n v="97"/>
    <n v="29"/>
    <s v="$2.50 "/>
    <n v="2.5"/>
    <s v="2/28/2024"/>
    <d v="2024-02-28T00:00:00"/>
    <s v="7/17/2024"/>
    <d v="2024-07-17T00:00:00"/>
    <s v="11/29/2024"/>
    <d v="2024-11-29T00:00:00"/>
    <s v="32 Rigney Terrace"/>
    <n v="82"/>
    <n v="100"/>
    <s v="Backordered"/>
    <n v="205"/>
    <n v="140"/>
    <x v="0"/>
    <x v="9"/>
    <n v="275"/>
    <s v="Low Risk"/>
  </r>
  <r>
    <s v="03-043-9933"/>
    <x v="12"/>
    <x v="2"/>
    <s v="48-450-4126"/>
    <s v="Yombu"/>
    <n v="16"/>
    <n v="23"/>
    <n v="76"/>
    <s v="$6.10 "/>
    <n v="6.1"/>
    <s v="7/21/2024"/>
    <d v="2024-07-21T00:00:00"/>
    <d v="2025-09-02T00:00:00"/>
    <d v="2025-09-02T00:00:00"/>
    <d v="2025-08-02T00:00:00"/>
    <d v="2025-08-02T00:00:00"/>
    <s v="884 Fieldstone Plaza"/>
    <n v="50"/>
    <n v="27"/>
    <s v="Backordered"/>
    <n v="305"/>
    <n v="97.6"/>
    <x v="0"/>
    <x v="10"/>
    <n v="377"/>
    <s v="Safe"/>
  </r>
  <r>
    <s v="29-823-6004"/>
    <x v="32"/>
    <x v="2"/>
    <s v="10-295-7996"/>
    <s v="Trudeo"/>
    <n v="52"/>
    <n v="79"/>
    <n v="87"/>
    <s v="$2.50 "/>
    <n v="2.5"/>
    <d v="2024-11-06T00:00:00"/>
    <d v="2024-11-06T00:00:00"/>
    <d v="2024-04-04T00:00:00"/>
    <d v="2024-04-04T00:00:00"/>
    <d v="2024-10-03T00:00:00"/>
    <d v="2024-10-03T00:00:00"/>
    <s v="3 Lawn Park"/>
    <n v="36"/>
    <n v="100"/>
    <s v="Discontinued"/>
    <n v="90"/>
    <n v="130"/>
    <x v="0"/>
    <x v="5"/>
    <n v="-34"/>
    <s v="Invalid Data"/>
  </r>
  <r>
    <s v="40-462-2952"/>
    <x v="17"/>
    <x v="6"/>
    <s v="57-323-8059"/>
    <s v="Browsezoom"/>
    <n v="91"/>
    <n v="68"/>
    <n v="80"/>
    <s v="$11.50 "/>
    <n v="11.5"/>
    <d v="2024-12-08T00:00:00"/>
    <d v="2024-12-08T00:00:00"/>
    <s v="10/14/2024"/>
    <d v="2024-10-14T00:00:00"/>
    <s v="11/19/2024"/>
    <d v="2024-11-19T00:00:00"/>
    <s v="0258 Shoshone Center"/>
    <n v="81"/>
    <n v="85"/>
    <s v="Backordered"/>
    <n v="931.5"/>
    <n v="1046.5"/>
    <x v="1"/>
    <x v="6"/>
    <n v="-19"/>
    <s v="Invalid Data"/>
  </r>
  <r>
    <s v="71-999-2404"/>
    <x v="34"/>
    <x v="2"/>
    <s v="01-285-0018"/>
    <s v="Meezzy"/>
    <n v="58"/>
    <n v="58"/>
    <n v="28"/>
    <s v="$4.70 "/>
    <n v="4.7"/>
    <s v="3/18/2024"/>
    <d v="2024-03-18T00:00:00"/>
    <d v="2024-05-08T00:00:00"/>
    <d v="2024-05-08T00:00:00"/>
    <s v="1/29/2025"/>
    <d v="2025-01-29T00:00:00"/>
    <s v="18 Warrior Circle"/>
    <n v="85"/>
    <n v="63"/>
    <s v="Active"/>
    <n v="399.5"/>
    <n v="272.60000000000002"/>
    <x v="0"/>
    <x v="2"/>
    <n v="317"/>
    <s v="Low Risk"/>
  </r>
  <r>
    <s v="03-919-9890"/>
    <x v="105"/>
    <x v="6"/>
    <s v="69-289-8783"/>
    <s v="Wikibox"/>
    <n v="47"/>
    <n v="29"/>
    <n v="70"/>
    <s v="$20.00 "/>
    <n v="20"/>
    <d v="2024-09-08T00:00:00"/>
    <d v="2024-09-08T00:00:00"/>
    <d v="2024-07-12T00:00:00"/>
    <d v="2024-07-12T00:00:00"/>
    <s v="7/25/2024"/>
    <d v="2024-07-25T00:00:00"/>
    <s v="7 Riverside Road"/>
    <n v="61"/>
    <n v="44"/>
    <s v="Active"/>
    <n v="1220"/>
    <n v="940"/>
    <x v="1"/>
    <x v="11"/>
    <n v="-45"/>
    <s v="Invalid Data"/>
  </r>
  <r>
    <s v="94-525-6925"/>
    <x v="11"/>
    <x v="5"/>
    <s v="31-892-6816"/>
    <s v="Kwilith"/>
    <n v="50"/>
    <n v="56"/>
    <n v="63"/>
    <s v="$3.00 "/>
    <n v="3"/>
    <s v="3/27/2024"/>
    <d v="2024-03-27T00:00:00"/>
    <s v="5/16/2024"/>
    <d v="2024-05-16T00:00:00"/>
    <s v="9/17/2024"/>
    <d v="2024-09-17T00:00:00"/>
    <s v="667 Arkansas Circle"/>
    <n v="70"/>
    <n v="100"/>
    <s v="Discontinued"/>
    <n v="210"/>
    <n v="150"/>
    <x v="0"/>
    <x v="2"/>
    <n v="174"/>
    <s v="Medium Risk"/>
  </r>
  <r>
    <s v="08-213-2058"/>
    <x v="84"/>
    <x v="4"/>
    <s v="13-179-9553"/>
    <s v="Babblestorm"/>
    <n v="43"/>
    <n v="73"/>
    <n v="14"/>
    <s v="$4.00 "/>
    <n v="4"/>
    <s v="7/28/2024"/>
    <d v="2024-07-28T00:00:00"/>
    <d v="2024-07-09T00:00:00"/>
    <d v="2024-07-09T00:00:00"/>
    <s v="8/26/2024"/>
    <d v="2024-08-26T00:00:00"/>
    <s v="33 Clarendon Hill"/>
    <n v="59"/>
    <n v="65"/>
    <s v="Active"/>
    <n v="236"/>
    <n v="172"/>
    <x v="0"/>
    <x v="10"/>
    <n v="29"/>
    <s v="Critical"/>
  </r>
  <r>
    <s v="51-312-8608"/>
    <x v="88"/>
    <x v="4"/>
    <s v="06-315-0552"/>
    <s v="Jabbersphere"/>
    <n v="68"/>
    <n v="60"/>
    <n v="21"/>
    <s v="$8.90 "/>
    <n v="8.9"/>
    <s v="2/27/2024"/>
    <d v="2024-02-27T00:00:00"/>
    <d v="2024-02-10T00:00:00"/>
    <d v="2024-02-10T00:00:00"/>
    <s v="4/29/2024"/>
    <d v="2024-04-29T00:00:00"/>
    <s v="406 Westridge Alley"/>
    <n v="79"/>
    <n v="46"/>
    <s v="Active"/>
    <n v="703.1"/>
    <n v="605.20000000000005"/>
    <x v="1"/>
    <x v="9"/>
    <n v="62"/>
    <s v="High Risk"/>
  </r>
  <r>
    <s v="67-512-9754"/>
    <x v="89"/>
    <x v="4"/>
    <s v="35-941-2585"/>
    <s v="DabZ"/>
    <n v="19"/>
    <n v="100"/>
    <n v="83"/>
    <s v="$2.50 "/>
    <n v="2.5"/>
    <s v="4/25/2024"/>
    <d v="2024-04-25T00:00:00"/>
    <s v="7/21/2024"/>
    <d v="2024-07-21T00:00:00"/>
    <s v="3/22/2024"/>
    <d v="2024-03-22T00:00:00"/>
    <s v="69 Orin Plaza"/>
    <n v="66"/>
    <n v="28"/>
    <s v="Discontinued"/>
    <n v="165"/>
    <n v="47.5"/>
    <x v="0"/>
    <x v="4"/>
    <n v="-34"/>
    <s v="Invalid Data"/>
  </r>
  <r>
    <s v="45-402-0421"/>
    <x v="15"/>
    <x v="4"/>
    <s v="87-201-6047"/>
    <s v="Quinu"/>
    <n v="70"/>
    <n v="84"/>
    <n v="72"/>
    <s v="$8.00 "/>
    <n v="8"/>
    <s v="7/20/2024"/>
    <d v="2024-07-20T00:00:00"/>
    <d v="2024-08-12T00:00:00"/>
    <d v="2024-08-12T00:00:00"/>
    <s v="7/14/2024"/>
    <d v="2024-07-14T00:00:00"/>
    <s v="36 Longview Street"/>
    <n v="71"/>
    <n v="20"/>
    <s v="Active"/>
    <n v="568"/>
    <n v="560"/>
    <x v="0"/>
    <x v="10"/>
    <n v="-6"/>
    <s v="Invalid Data"/>
  </r>
  <r>
    <s v="85-207-4164"/>
    <x v="51"/>
    <x v="2"/>
    <s v="07-067-3439"/>
    <s v="Tanoodle"/>
    <n v="97"/>
    <n v="20"/>
    <n v="72"/>
    <s v="$3.00 "/>
    <n v="3"/>
    <s v="2/29/2024"/>
    <d v="2024-02-29T00:00:00"/>
    <d v="2025-06-02T00:00:00"/>
    <d v="2025-06-02T00:00:00"/>
    <d v="2024-10-12T00:00:00"/>
    <d v="2024-10-12T00:00:00"/>
    <s v="41 Comanche Park"/>
    <n v="29"/>
    <n v="59"/>
    <s v="Backordered"/>
    <n v="87"/>
    <n v="291"/>
    <x v="1"/>
    <x v="9"/>
    <n v="226"/>
    <s v="Low Risk"/>
  </r>
  <r>
    <s v="72-780-6006"/>
    <x v="97"/>
    <x v="3"/>
    <s v="81-292-4650"/>
    <s v="Voolith"/>
    <n v="87"/>
    <n v="24"/>
    <n v="19"/>
    <s v="$2.50 "/>
    <n v="2.5"/>
    <d v="2024-11-05T00:00:00"/>
    <d v="2024-11-05T00:00:00"/>
    <s v="12/13/2024"/>
    <d v="2024-12-13T00:00:00"/>
    <s v="4/17/2024"/>
    <d v="2024-04-17T00:00:00"/>
    <s v="88721 Dawn Crossing"/>
    <n v="83"/>
    <n v="3"/>
    <s v="Discontinued"/>
    <n v="207.5"/>
    <n v="217.5"/>
    <x v="1"/>
    <x v="5"/>
    <n v="-202"/>
    <s v="Invalid Data"/>
  </r>
  <r>
    <s v="93-166-3169"/>
    <x v="48"/>
    <x v="1"/>
    <s v="21-156-0102"/>
    <s v="Viva"/>
    <n v="58"/>
    <n v="81"/>
    <n v="66"/>
    <s v="$25.00 "/>
    <n v="25"/>
    <s v="6/24/2024"/>
    <d v="2024-06-24T00:00:00"/>
    <s v="2/13/2025"/>
    <d v="2025-02-13T00:00:00"/>
    <d v="2025-02-01T00:00:00"/>
    <d v="2025-02-01T00:00:00"/>
    <s v="339 Crescent Oaks Plaza"/>
    <n v="85"/>
    <n v="78"/>
    <s v="Active"/>
    <n v="2125"/>
    <n v="1450"/>
    <x v="0"/>
    <x v="12"/>
    <n v="222"/>
    <s v="Low Risk"/>
  </r>
  <r>
    <s v="21-718-6746"/>
    <x v="72"/>
    <x v="2"/>
    <s v="96-012-3393"/>
    <s v="Eamia"/>
    <n v="16"/>
    <n v="53"/>
    <n v="12"/>
    <s v="$5.00 "/>
    <n v="5"/>
    <d v="2024-11-06T00:00:00"/>
    <d v="2024-11-06T00:00:00"/>
    <s v="1/20/2025"/>
    <d v="2025-01-20T00:00:00"/>
    <d v="2024-06-06T00:00:00"/>
    <d v="2024-06-06T00:00:00"/>
    <s v="277 Pawling Terrace"/>
    <n v="21"/>
    <n v="29"/>
    <s v="Discontinued"/>
    <n v="105"/>
    <n v="80"/>
    <x v="0"/>
    <x v="5"/>
    <n v="-153"/>
    <s v="Invalid Data"/>
  </r>
  <r>
    <s v="93-966-7754"/>
    <x v="27"/>
    <x v="2"/>
    <s v="78-787-7171"/>
    <s v="Quinu"/>
    <n v="65"/>
    <n v="35"/>
    <n v="3"/>
    <s v="$3.50 "/>
    <n v="3.5"/>
    <d v="2024-11-08T00:00:00"/>
    <d v="2024-11-08T00:00:00"/>
    <s v="1/18/2025"/>
    <d v="2025-01-18T00:00:00"/>
    <s v="9/27/2024"/>
    <d v="2024-09-27T00:00:00"/>
    <s v="4 4th Place"/>
    <n v="25"/>
    <n v="13"/>
    <s v="Active"/>
    <n v="87.5"/>
    <n v="227.5"/>
    <x v="1"/>
    <x v="5"/>
    <n v="-42"/>
    <s v="Invalid Data"/>
  </r>
  <r>
    <s v="47-663-5703"/>
    <x v="96"/>
    <x v="0"/>
    <s v="52-062-2916"/>
    <s v="Kanoodle"/>
    <n v="15"/>
    <n v="49"/>
    <n v="40"/>
    <s v="$4.50 "/>
    <n v="4.5"/>
    <d v="2024-06-12T00:00:00"/>
    <d v="2024-06-12T00:00:00"/>
    <s v="6/14/2024"/>
    <d v="2024-06-14T00:00:00"/>
    <s v="9/14/2024"/>
    <d v="2024-09-14T00:00:00"/>
    <s v="6500 Raven Drive"/>
    <n v="68"/>
    <n v="74"/>
    <s v="Discontinued"/>
    <n v="306"/>
    <n v="67.5"/>
    <x v="0"/>
    <x v="12"/>
    <n v="94"/>
    <s v="Medium Risk"/>
  </r>
  <r>
    <s v="34-110-1040"/>
    <x v="53"/>
    <x v="2"/>
    <s v="14-427-6604"/>
    <s v="Leenti"/>
    <n v="75"/>
    <n v="85"/>
    <n v="27"/>
    <s v="$4.50 "/>
    <n v="4.5"/>
    <s v="5/30/2024"/>
    <d v="2024-05-30T00:00:00"/>
    <d v="2024-09-06T00:00:00"/>
    <d v="2024-09-06T00:00:00"/>
    <s v="6/24/2024"/>
    <d v="2024-06-24T00:00:00"/>
    <s v="42397 Knutson Place"/>
    <n v="26"/>
    <n v="68"/>
    <s v="Discontinued"/>
    <n v="117"/>
    <n v="337.5"/>
    <x v="0"/>
    <x v="8"/>
    <n v="25"/>
    <s v="Critical"/>
  </r>
  <r>
    <s v="82-342-7339"/>
    <x v="113"/>
    <x v="5"/>
    <s v="14-325-9173"/>
    <s v="Yozio"/>
    <n v="80"/>
    <n v="61"/>
    <n v="23"/>
    <s v="$5.50 "/>
    <n v="5.5"/>
    <s v="7/27/2024"/>
    <d v="2024-07-27T00:00:00"/>
    <s v="7/31/2024"/>
    <d v="2024-07-31T00:00:00"/>
    <d v="2024-04-03T00:00:00"/>
    <d v="2024-04-03T00:00:00"/>
    <s v="317 Anniversary Pass"/>
    <n v="63"/>
    <n v="75"/>
    <s v="Backordered"/>
    <n v="346.5"/>
    <n v="440"/>
    <x v="1"/>
    <x v="10"/>
    <n v="-115"/>
    <s v="Invalid Data"/>
  </r>
  <r>
    <s v="43-670-8544"/>
    <x v="41"/>
    <x v="2"/>
    <s v="16-656-4821"/>
    <s v="Camido"/>
    <n v="84"/>
    <n v="95"/>
    <n v="22"/>
    <s v="$2.85 "/>
    <n v="2.85"/>
    <s v="6/20/2024"/>
    <d v="2024-06-20T00:00:00"/>
    <s v="5/14/2024"/>
    <d v="2024-05-14T00:00:00"/>
    <d v="2024-07-10T00:00:00"/>
    <d v="2024-07-10T00:00:00"/>
    <s v="3 Logan Trail"/>
    <n v="48"/>
    <n v="82"/>
    <s v="Discontinued"/>
    <n v="136.80000000000001"/>
    <n v="239.4"/>
    <x v="0"/>
    <x v="12"/>
    <n v="20"/>
    <s v="Critical"/>
  </r>
  <r>
    <s v="12-439-8428"/>
    <x v="51"/>
    <x v="2"/>
    <s v="43-542-6868"/>
    <s v="Ainyx"/>
    <n v="17"/>
    <n v="3"/>
    <n v="33"/>
    <s v="$3.00 "/>
    <n v="3"/>
    <s v="3/21/2024"/>
    <d v="2024-03-21T00:00:00"/>
    <s v="9/14/2024"/>
    <d v="2024-09-14T00:00:00"/>
    <s v="5/31/2024"/>
    <d v="2024-05-31T00:00:00"/>
    <s v="6 Rusk Pass"/>
    <n v="49"/>
    <n v="17"/>
    <s v="Backordered"/>
    <n v="147"/>
    <n v="51"/>
    <x v="1"/>
    <x v="2"/>
    <n v="71"/>
    <s v="High Risk"/>
  </r>
  <r>
    <s v="49-919-8798"/>
    <x v="107"/>
    <x v="4"/>
    <s v="82-482-3670"/>
    <s v="Gigabox"/>
    <n v="64"/>
    <n v="31"/>
    <n v="91"/>
    <s v="$1.90 "/>
    <n v="1.9"/>
    <s v="6/19/2024"/>
    <d v="2024-06-19T00:00:00"/>
    <d v="2024-04-08T00:00:00"/>
    <d v="2024-04-08T00:00:00"/>
    <d v="2024-10-10T00:00:00"/>
    <d v="2024-10-10T00:00:00"/>
    <s v="3 Dottie Junction"/>
    <n v="85"/>
    <n v="42"/>
    <s v="Discontinued"/>
    <n v="161.5"/>
    <n v="121.6"/>
    <x v="1"/>
    <x v="12"/>
    <n v="113"/>
    <s v="Medium Risk"/>
  </r>
  <r>
    <s v="73-567-6194"/>
    <x v="68"/>
    <x v="4"/>
    <s v="81-927-7236"/>
    <s v="Yakitri"/>
    <n v="76"/>
    <n v="81"/>
    <n v="85"/>
    <s v="$4.00 "/>
    <n v="4"/>
    <d v="2024-04-03T00:00:00"/>
    <d v="2024-04-03T00:00:00"/>
    <d v="2024-10-12T00:00:00"/>
    <d v="2024-10-12T00:00:00"/>
    <d v="2024-08-09T00:00:00"/>
    <d v="2024-08-09T00:00:00"/>
    <s v="069 Basil Center"/>
    <n v="65"/>
    <n v="68"/>
    <s v="Active"/>
    <n v="260"/>
    <n v="304"/>
    <x v="0"/>
    <x v="4"/>
    <n v="128"/>
    <s v="Medium Risk"/>
  </r>
  <r>
    <s v="83-573-4586"/>
    <x v="90"/>
    <x v="3"/>
    <s v="91-191-2324"/>
    <s v="Thoughtbeat"/>
    <n v="77"/>
    <n v="95"/>
    <n v="82"/>
    <s v="$6.50 "/>
    <n v="6.5"/>
    <s v="4/17/2024"/>
    <d v="2024-04-17T00:00:00"/>
    <s v="10/19/2024"/>
    <d v="2024-10-19T00:00:00"/>
    <s v="7/18/2024"/>
    <d v="2024-07-18T00:00:00"/>
    <s v="84575 Randy Point"/>
    <n v="29"/>
    <n v="46"/>
    <s v="Backordered"/>
    <n v="188.5"/>
    <n v="500.5"/>
    <x v="0"/>
    <x v="4"/>
    <n v="92"/>
    <s v="Medium Risk"/>
  </r>
  <r>
    <s v="12-798-9401"/>
    <x v="58"/>
    <x v="4"/>
    <s v="96-609-6152"/>
    <s v="Thoughtblab"/>
    <n v="18"/>
    <n v="14"/>
    <n v="77"/>
    <s v="$2.50 "/>
    <n v="2.5"/>
    <d v="2025-05-01T00:00:00"/>
    <d v="2025-05-01T00:00:00"/>
    <d v="2024-12-05T00:00:00"/>
    <d v="2024-12-05T00:00:00"/>
    <s v="5/25/2024"/>
    <d v="2024-05-25T00:00:00"/>
    <s v="5 Forster Point"/>
    <n v="78"/>
    <n v="4"/>
    <s v="Backordered"/>
    <n v="195"/>
    <n v="45"/>
    <x v="1"/>
    <x v="21"/>
    <n v="-341"/>
    <s v="Invalid Data"/>
  </r>
  <r>
    <s v="02-895-7781"/>
    <x v="111"/>
    <x v="0"/>
    <s v="23-109-2205"/>
    <s v="Tagchat"/>
    <n v="51"/>
    <n v="55"/>
    <n v="76"/>
    <s v="$5.00 "/>
    <n v="5"/>
    <s v="2/19/2025"/>
    <d v="2025-02-19T00:00:00"/>
    <s v="9/26/2024"/>
    <d v="2024-09-26T00:00:00"/>
    <s v="1/24/2025"/>
    <d v="2025-01-24T00:00:00"/>
    <s v="2582 Autumn Leaf Park"/>
    <n v="21"/>
    <n v="13"/>
    <s v="Discontinued"/>
    <n v="105"/>
    <n v="255"/>
    <x v="0"/>
    <x v="14"/>
    <n v="-26"/>
    <s v="Invalid Data"/>
  </r>
  <r>
    <s v="83-625-3618"/>
    <x v="91"/>
    <x v="2"/>
    <s v="64-528-9996"/>
    <s v="Realmix"/>
    <n v="68"/>
    <n v="12"/>
    <n v="73"/>
    <s v="$5.00 "/>
    <n v="5"/>
    <d v="2024-05-08T00:00:00"/>
    <d v="2024-05-08T00:00:00"/>
    <d v="2025-11-01T00:00:00"/>
    <d v="2025-11-01T00:00:00"/>
    <d v="2024-04-07T00:00:00"/>
    <d v="2024-04-07T00:00:00"/>
    <s v="2696 Katie Road"/>
    <n v="84"/>
    <n v="95"/>
    <s v="Backordered"/>
    <n v="420"/>
    <n v="340"/>
    <x v="1"/>
    <x v="8"/>
    <n v="-31"/>
    <s v="Invalid Data"/>
  </r>
  <r>
    <s v="89-181-4523"/>
    <x v="114"/>
    <x v="0"/>
    <s v="54-749-3622"/>
    <s v="Devbug"/>
    <n v="46"/>
    <n v="6"/>
    <n v="64"/>
    <s v="$10.00 "/>
    <n v="10"/>
    <s v="7/23/2024"/>
    <d v="2024-07-23T00:00:00"/>
    <s v="6/23/2024"/>
    <d v="2024-06-23T00:00:00"/>
    <s v="12/22/2024"/>
    <d v="2024-12-22T00:00:00"/>
    <s v="022 Prairie Rose Drive"/>
    <n v="63"/>
    <n v="29"/>
    <s v="Discontinued"/>
    <n v="630"/>
    <n v="460"/>
    <x v="1"/>
    <x v="10"/>
    <n v="152"/>
    <s v="Medium Risk"/>
  </r>
  <r>
    <s v="95-354-8583"/>
    <x v="3"/>
    <x v="0"/>
    <s v="02-057-9401"/>
    <s v="Meevee"/>
    <n v="98"/>
    <n v="40"/>
    <n v="93"/>
    <s v="$1.50 "/>
    <n v="1.5"/>
    <s v="2/19/2025"/>
    <d v="2025-02-19T00:00:00"/>
    <d v="2025-11-02T00:00:00"/>
    <d v="2025-11-02T00:00:00"/>
    <s v="10/20/2024"/>
    <d v="2024-10-20T00:00:00"/>
    <s v="848 Mariners Cove Junction"/>
    <n v="30"/>
    <n v="53"/>
    <s v="Active"/>
    <n v="45"/>
    <n v="147"/>
    <x v="1"/>
    <x v="14"/>
    <n v="-122"/>
    <s v="Invalid Data"/>
  </r>
  <r>
    <s v="90-303-1821"/>
    <x v="31"/>
    <x v="2"/>
    <s v="96-786-0667"/>
    <s v="Edgewire"/>
    <n v="50"/>
    <n v="20"/>
    <n v="74"/>
    <s v="$2.00 "/>
    <n v="2"/>
    <s v="2/13/2025"/>
    <d v="2025-02-13T00:00:00"/>
    <d v="2024-03-08T00:00:00"/>
    <d v="2024-03-08T00:00:00"/>
    <d v="2024-05-10T00:00:00"/>
    <d v="2024-05-10T00:00:00"/>
    <s v="6435 Burning Wood Drive"/>
    <n v="30"/>
    <n v="57"/>
    <s v="Backordered"/>
    <n v="60"/>
    <n v="100"/>
    <x v="1"/>
    <x v="14"/>
    <n v="-279"/>
    <s v="Invalid Data"/>
  </r>
  <r>
    <s v="71-631-5875"/>
    <x v="115"/>
    <x v="6"/>
    <s v="91-859-1733"/>
    <s v="Feedfish"/>
    <n v="88"/>
    <n v="83"/>
    <n v="42"/>
    <s v="$15.00 "/>
    <n v="15"/>
    <s v="5/29/2024"/>
    <d v="2024-05-29T00:00:00"/>
    <d v="2024-09-09T00:00:00"/>
    <d v="2024-09-09T00:00:00"/>
    <s v="10/25/2024"/>
    <d v="2024-10-25T00:00:00"/>
    <s v="13 Loomis Alley"/>
    <n v="61"/>
    <n v="59"/>
    <s v="Discontinued"/>
    <n v="915"/>
    <n v="1320"/>
    <x v="1"/>
    <x v="8"/>
    <n v="149"/>
    <s v="Medium Risk"/>
  </r>
  <r>
    <s v="02-275-6061"/>
    <x v="55"/>
    <x v="2"/>
    <s v="21-829-0398"/>
    <s v="Edgewire"/>
    <n v="26"/>
    <n v="16"/>
    <n v="69"/>
    <s v="$1.20 "/>
    <n v="1.2"/>
    <s v="6/30/2024"/>
    <d v="2024-06-30T00:00:00"/>
    <s v="3/26/2024"/>
    <d v="2024-03-26T00:00:00"/>
    <s v="8/19/2024"/>
    <d v="2024-08-19T00:00:00"/>
    <s v="6891 Mandrake Park"/>
    <n v="64"/>
    <n v="79"/>
    <s v="Discontinued"/>
    <n v="76.8"/>
    <n v="31.2"/>
    <x v="1"/>
    <x v="12"/>
    <n v="50"/>
    <s v="High Risk"/>
  </r>
  <r>
    <s v="04-001-1793"/>
    <x v="43"/>
    <x v="1"/>
    <s v="29-359-0109"/>
    <s v="Oozz"/>
    <n v="43"/>
    <n v="38"/>
    <n v="63"/>
    <s v="$12.00 "/>
    <n v="12"/>
    <s v="3/31/2024"/>
    <d v="2024-03-31T00:00:00"/>
    <d v="2025-02-02T00:00:00"/>
    <d v="2025-02-02T00:00:00"/>
    <d v="2024-09-04T00:00:00"/>
    <d v="2024-09-04T00:00:00"/>
    <s v="0 Stoughton Terrace"/>
    <n v="88"/>
    <n v="65"/>
    <s v="Backordered"/>
    <n v="1056"/>
    <n v="516"/>
    <x v="1"/>
    <x v="2"/>
    <n v="157"/>
    <s v="Medium Risk"/>
  </r>
  <r>
    <s v="47-749-3277"/>
    <x v="86"/>
    <x v="0"/>
    <s v="96-551-3929"/>
    <s v="Devbug"/>
    <n v="46"/>
    <n v="20"/>
    <n v="30"/>
    <s v="$2.50 "/>
    <n v="2.5"/>
    <d v="2024-06-03T00:00:00"/>
    <d v="2024-06-03T00:00:00"/>
    <s v="2/29/2024"/>
    <d v="2024-02-29T00:00:00"/>
    <s v="9/13/2024"/>
    <d v="2024-09-13T00:00:00"/>
    <s v="502 Sachs Circle"/>
    <n v="54"/>
    <n v="24"/>
    <s v="Backordered"/>
    <n v="135"/>
    <n v="115"/>
    <x v="1"/>
    <x v="12"/>
    <n v="102"/>
    <s v="Medium Risk"/>
  </r>
  <r>
    <s v="37-666-3902"/>
    <x v="78"/>
    <x v="2"/>
    <s v="58-536-6583"/>
    <s v="Meevee"/>
    <n v="19"/>
    <n v="73"/>
    <n v="60"/>
    <s v="$2.45 "/>
    <n v="2.4500000000000002"/>
    <d v="2024-12-03T00:00:00"/>
    <d v="2024-12-03T00:00:00"/>
    <d v="2024-11-08T00:00:00"/>
    <d v="2024-11-08T00:00:00"/>
    <d v="2024-12-06T00:00:00"/>
    <d v="2024-12-06T00:00:00"/>
    <s v="85276 Lakewood Gardens Alley"/>
    <n v="70"/>
    <n v="48"/>
    <s v="Backordered"/>
    <n v="171.5"/>
    <n v="46.550000000000004"/>
    <x v="0"/>
    <x v="6"/>
    <n v="3"/>
    <s v="Critical"/>
  </r>
  <r>
    <s v="73-942-0508"/>
    <x v="100"/>
    <x v="2"/>
    <s v="37-057-3553"/>
    <s v="Brightbean"/>
    <n v="61"/>
    <n v="100"/>
    <n v="94"/>
    <s v="$4.00 "/>
    <n v="4"/>
    <s v="7/20/2024"/>
    <d v="2024-07-20T00:00:00"/>
    <s v="1/14/2025"/>
    <d v="2025-01-14T00:00:00"/>
    <d v="2024-04-10T00:00:00"/>
    <d v="2024-04-10T00:00:00"/>
    <s v="1034 2nd Point"/>
    <n v="76"/>
    <n v="2"/>
    <s v="Backordered"/>
    <n v="304"/>
    <n v="244"/>
    <x v="0"/>
    <x v="10"/>
    <n v="-101"/>
    <s v="Invalid Data"/>
  </r>
  <r>
    <s v="57-359-3397"/>
    <x v="64"/>
    <x v="2"/>
    <s v="54-659-1177"/>
    <s v="Twiyo"/>
    <n v="43"/>
    <n v="40"/>
    <n v="30"/>
    <s v="$7.00 "/>
    <n v="7"/>
    <s v="7/13/2024"/>
    <d v="2024-07-13T00:00:00"/>
    <d v="2024-02-10T00:00:00"/>
    <d v="2024-02-10T00:00:00"/>
    <s v="12/19/2024"/>
    <d v="2024-12-19T00:00:00"/>
    <s v="81071 West Alley"/>
    <n v="95"/>
    <n v="26"/>
    <s v="Active"/>
    <n v="665"/>
    <n v="301"/>
    <x v="1"/>
    <x v="10"/>
    <n v="159"/>
    <s v="Medium Risk"/>
  </r>
  <r>
    <s v="46-436-5351"/>
    <x v="85"/>
    <x v="1"/>
    <s v="07-471-0050"/>
    <s v="Fiveclub"/>
    <n v="80"/>
    <n v="54"/>
    <n v="21"/>
    <s v="$8.50 "/>
    <n v="8.5"/>
    <s v="8/24/2024"/>
    <d v="2024-08-24T00:00:00"/>
    <s v="9/30/2024"/>
    <d v="2024-09-30T00:00:00"/>
    <s v="4/16/2024"/>
    <d v="2024-04-16T00:00:00"/>
    <s v="226 Calypso Road"/>
    <n v="81"/>
    <n v="37"/>
    <s v="Active"/>
    <n v="688.5"/>
    <n v="680"/>
    <x v="1"/>
    <x v="0"/>
    <n v="-130"/>
    <s v="Invalid Data"/>
  </r>
  <r>
    <s v="27-881-1177"/>
    <x v="85"/>
    <x v="1"/>
    <s v="64-807-5250"/>
    <s v="Skalith"/>
    <n v="34"/>
    <n v="47"/>
    <n v="99"/>
    <s v="$8.00 "/>
    <n v="8"/>
    <s v="1/23/2025"/>
    <d v="2025-01-23T00:00:00"/>
    <d v="2024-03-07T00:00:00"/>
    <d v="2024-03-07T00:00:00"/>
    <s v="11/23/2024"/>
    <d v="2024-11-23T00:00:00"/>
    <s v="1223 Monument Drive"/>
    <n v="97"/>
    <n v="47"/>
    <s v="Backordered"/>
    <n v="776"/>
    <n v="272"/>
    <x v="0"/>
    <x v="13"/>
    <n v="-61"/>
    <s v="Invalid Data"/>
  </r>
  <r>
    <s v="85-237-3505"/>
    <x v="85"/>
    <x v="1"/>
    <s v="92-296-1266"/>
    <s v="Thoughtsphere"/>
    <n v="88"/>
    <n v="50"/>
    <n v="88"/>
    <s v="$8.00 "/>
    <n v="8"/>
    <s v="8/23/2024"/>
    <d v="2024-08-23T00:00:00"/>
    <s v="11/13/2024"/>
    <d v="2024-11-13T00:00:00"/>
    <d v="2024-03-11T00:00:00"/>
    <d v="2024-03-11T00:00:00"/>
    <s v="20073 Northfield Way"/>
    <n v="78"/>
    <n v="28"/>
    <s v="Discontinued"/>
    <n v="624"/>
    <n v="704"/>
    <x v="1"/>
    <x v="0"/>
    <n v="-165"/>
    <s v="Invalid Data"/>
  </r>
  <r>
    <s v="80-371-3695"/>
    <x v="67"/>
    <x v="4"/>
    <s v="42-254-7371"/>
    <s v="Divape"/>
    <n v="89"/>
    <n v="42"/>
    <n v="76"/>
    <s v="$5.00 "/>
    <n v="5"/>
    <s v="12/15/2024"/>
    <d v="2024-12-15T00:00:00"/>
    <s v="11/30/2024"/>
    <d v="2024-11-30T00:00:00"/>
    <d v="2024-10-12T00:00:00"/>
    <d v="2024-10-12T00:00:00"/>
    <s v="163 Esch Pass"/>
    <n v="94"/>
    <n v="81"/>
    <s v="Backordered"/>
    <n v="470"/>
    <n v="445"/>
    <x v="1"/>
    <x v="6"/>
    <n v="-64"/>
    <s v="Invalid Data"/>
  </r>
  <r>
    <s v="04-758-0410"/>
    <x v="114"/>
    <x v="0"/>
    <s v="56-231-2524"/>
    <s v="Wordpedia"/>
    <n v="26"/>
    <n v="21"/>
    <n v="47"/>
    <s v="$10.00 "/>
    <n v="10"/>
    <d v="2024-03-08T00:00:00"/>
    <d v="2024-03-08T00:00:00"/>
    <s v="8/16/2024"/>
    <d v="2024-08-16T00:00:00"/>
    <d v="2024-02-05T00:00:00"/>
    <d v="2024-02-05T00:00:00"/>
    <s v="5 Toban Circle"/>
    <n v="40"/>
    <n v="59"/>
    <s v="Discontinued"/>
    <n v="400"/>
    <n v="260"/>
    <x v="1"/>
    <x v="2"/>
    <n v="-32"/>
    <s v="Invalid Data"/>
  </r>
  <r>
    <s v="65-644-1394"/>
    <x v="25"/>
    <x v="2"/>
    <s v="23-280-1300"/>
    <s v="Lazz"/>
    <n v="26"/>
    <n v="95"/>
    <n v="36"/>
    <s v="$4.50 "/>
    <n v="4.5"/>
    <s v="7/29/2024"/>
    <d v="2024-07-29T00:00:00"/>
    <d v="2025-06-01T00:00:00"/>
    <d v="2025-06-01T00:00:00"/>
    <d v="2025-10-02T00:00:00"/>
    <d v="2025-10-02T00:00:00"/>
    <s v="582 Dahle Center"/>
    <n v="92"/>
    <n v="14"/>
    <s v="Active"/>
    <n v="414"/>
    <n v="117"/>
    <x v="0"/>
    <x v="10"/>
    <n v="430"/>
    <s v="Safe"/>
  </r>
  <r>
    <s v="04-293-6969"/>
    <x v="76"/>
    <x v="2"/>
    <s v="69-087-6645"/>
    <s v="Linktype"/>
    <n v="37"/>
    <n v="38"/>
    <n v="24"/>
    <s v="$4.00 "/>
    <n v="4"/>
    <s v="6/15/2024"/>
    <d v="2024-06-15T00:00:00"/>
    <d v="2024-02-09T00:00:00"/>
    <d v="2024-02-09T00:00:00"/>
    <s v="8/20/2024"/>
    <d v="2024-08-20T00:00:00"/>
    <s v="0 Oak Valley Lane"/>
    <n v="93"/>
    <n v="32"/>
    <s v="Active"/>
    <n v="372"/>
    <n v="148"/>
    <x v="0"/>
    <x v="12"/>
    <n v="66"/>
    <s v="High Risk"/>
  </r>
  <r>
    <s v="40-997-2786"/>
    <x v="109"/>
    <x v="4"/>
    <s v="18-743-4684"/>
    <s v="Browsecat"/>
    <n v="76"/>
    <n v="98"/>
    <n v="41"/>
    <s v="$1.75 "/>
    <n v="1.75"/>
    <s v="11/14/2024"/>
    <d v="2024-11-14T00:00:00"/>
    <s v="5/23/2024"/>
    <d v="2024-05-23T00:00:00"/>
    <s v="10/14/2024"/>
    <d v="2024-10-14T00:00:00"/>
    <s v="5551 Mallory Lane"/>
    <n v="62"/>
    <n v="48"/>
    <s v="Backordered"/>
    <n v="108.5"/>
    <n v="133"/>
    <x v="0"/>
    <x v="5"/>
    <n v="-31"/>
    <s v="Invalid Data"/>
  </r>
  <r>
    <s v="91-553-1774"/>
    <x v="13"/>
    <x v="4"/>
    <s v="74-943-4552"/>
    <s v="Demivee"/>
    <n v="80"/>
    <n v="43"/>
    <n v="80"/>
    <s v="$7.00 "/>
    <n v="7"/>
    <s v="6/26/2024"/>
    <d v="2024-06-26T00:00:00"/>
    <d v="2024-05-09T00:00:00"/>
    <d v="2024-05-09T00:00:00"/>
    <d v="2024-12-04T00:00:00"/>
    <d v="2024-12-04T00:00:00"/>
    <s v="84 Washington Crossing"/>
    <n v="64"/>
    <n v="53"/>
    <s v="Active"/>
    <n v="448"/>
    <n v="560"/>
    <x v="1"/>
    <x v="12"/>
    <n v="161"/>
    <s v="Medium Risk"/>
  </r>
  <r>
    <s v="13-980-8804"/>
    <x v="116"/>
    <x v="2"/>
    <s v="20-608-1290"/>
    <s v="Photospace"/>
    <n v="100"/>
    <n v="3"/>
    <n v="32"/>
    <s v="$2.00 "/>
    <n v="2"/>
    <s v="8/19/2024"/>
    <d v="2024-08-19T00:00:00"/>
    <d v="2024-01-10T00:00:00"/>
    <d v="2024-01-10T00:00:00"/>
    <d v="2025-10-02T00:00:00"/>
    <d v="2025-10-02T00:00:00"/>
    <s v="41 Nelson Center"/>
    <n v="98"/>
    <n v="91"/>
    <s v="Backordered"/>
    <n v="196"/>
    <n v="200"/>
    <x v="1"/>
    <x v="0"/>
    <n v="409"/>
    <s v="Safe"/>
  </r>
  <r>
    <s v="19-672-8982"/>
    <x v="37"/>
    <x v="4"/>
    <s v="50-214-3802"/>
    <s v="Meembee"/>
    <n v="21"/>
    <n v="87"/>
    <n v="67"/>
    <s v="$3.10 "/>
    <n v="3.1"/>
    <d v="2025-03-01T00:00:00"/>
    <d v="2025-03-01T00:00:00"/>
    <s v="1/23/2025"/>
    <d v="2025-01-23T00:00:00"/>
    <s v="3/31/2024"/>
    <d v="2024-03-31T00:00:00"/>
    <s v="285 East Plaza"/>
    <n v="64"/>
    <n v="69"/>
    <s v="Discontinued"/>
    <n v="198.4"/>
    <n v="65.100000000000009"/>
    <x v="0"/>
    <x v="3"/>
    <n v="-335"/>
    <s v="Invalid Data"/>
  </r>
  <r>
    <s v="35-299-0889"/>
    <x v="117"/>
    <x v="3"/>
    <s v="16-776-9987"/>
    <s v="Gevee"/>
    <n v="33"/>
    <n v="78"/>
    <n v="79"/>
    <s v="$5.00 "/>
    <n v="5"/>
    <d v="2024-05-11T00:00:00"/>
    <d v="2024-05-11T00:00:00"/>
    <d v="2024-11-07T00:00:00"/>
    <d v="2024-11-07T00:00:00"/>
    <s v="4/21/2024"/>
    <d v="2024-04-21T00:00:00"/>
    <s v="95 Packers Lane"/>
    <n v="60"/>
    <n v="25"/>
    <s v="Discontinued"/>
    <n v="300"/>
    <n v="165"/>
    <x v="0"/>
    <x v="8"/>
    <n v="-20"/>
    <s v="Invalid Data"/>
  </r>
  <r>
    <s v="17-022-9721"/>
    <x v="110"/>
    <x v="2"/>
    <s v="59-629-0798"/>
    <s v="Chatterpoint"/>
    <n v="43"/>
    <n v="63"/>
    <n v="99"/>
    <s v="$3.50 "/>
    <n v="3.5"/>
    <d v="2024-08-11T00:00:00"/>
    <d v="2024-08-11T00:00:00"/>
    <s v="12/13/2024"/>
    <d v="2024-12-13T00:00:00"/>
    <d v="2025-12-01T00:00:00"/>
    <d v="2025-12-01T00:00:00"/>
    <s v="39 Dahle Alley"/>
    <n v="39"/>
    <n v="77"/>
    <s v="Discontinued"/>
    <n v="136.5"/>
    <n v="150.5"/>
    <x v="0"/>
    <x v="0"/>
    <n v="477"/>
    <s v="Safe"/>
  </r>
  <r>
    <s v="22-849-2551"/>
    <x v="23"/>
    <x v="2"/>
    <s v="14-231-9135"/>
    <s v="Izio"/>
    <n v="34"/>
    <n v="1"/>
    <n v="79"/>
    <s v="$6.20 "/>
    <n v="6.2"/>
    <d v="2024-12-06T00:00:00"/>
    <d v="2024-12-06T00:00:00"/>
    <s v="12/20/2024"/>
    <d v="2024-12-20T00:00:00"/>
    <d v="2024-08-09T00:00:00"/>
    <d v="2024-08-09T00:00:00"/>
    <s v="81533 John Wall Court"/>
    <n v="58"/>
    <n v="36"/>
    <s v="Discontinued"/>
    <n v="359.6"/>
    <n v="210.8"/>
    <x v="1"/>
    <x v="6"/>
    <n v="-119"/>
    <s v="Invalid Data"/>
  </r>
  <r>
    <s v="53-050-8242"/>
    <x v="101"/>
    <x v="6"/>
    <s v="31-163-5871"/>
    <s v="Yodoo"/>
    <n v="82"/>
    <n v="25"/>
    <n v="94"/>
    <s v="$7.50 "/>
    <n v="7.5"/>
    <s v="3/30/2024"/>
    <d v="2024-03-30T00:00:00"/>
    <s v="3/16/2024"/>
    <d v="2024-03-16T00:00:00"/>
    <s v="2/15/2025"/>
    <d v="2025-02-15T00:00:00"/>
    <s v="9 Cordelia Trail"/>
    <n v="66"/>
    <n v="14"/>
    <s v="Backordered"/>
    <n v="495"/>
    <n v="615"/>
    <x v="1"/>
    <x v="2"/>
    <n v="322"/>
    <s v="Low Risk"/>
  </r>
  <r>
    <s v="88-183-5781"/>
    <x v="118"/>
    <x v="5"/>
    <s v="49-247-1217"/>
    <s v="Lazz"/>
    <n v="17"/>
    <n v="63"/>
    <n v="3"/>
    <s v="$3.50 "/>
    <n v="3.5"/>
    <d v="2024-02-08T00:00:00"/>
    <d v="2024-02-08T00:00:00"/>
    <s v="8/24/2024"/>
    <d v="2024-08-24T00:00:00"/>
    <s v="12/27/2024"/>
    <d v="2024-12-27T00:00:00"/>
    <s v="46 Delaware Place"/>
    <n v="93"/>
    <n v="26"/>
    <s v="Backordered"/>
    <n v="325.5"/>
    <n v="59.5"/>
    <x v="0"/>
    <x v="9"/>
    <n v="323"/>
    <s v="Low Risk"/>
  </r>
  <r>
    <s v="09-101-1740"/>
    <x v="0"/>
    <x v="0"/>
    <s v="63-836-1262"/>
    <s v="Talane"/>
    <n v="36"/>
    <n v="81"/>
    <n v="54"/>
    <s v="$4.75 "/>
    <n v="4.75"/>
    <d v="2024-07-07T00:00:00"/>
    <d v="2024-07-07T00:00:00"/>
    <s v="12/20/2024"/>
    <d v="2024-12-20T00:00:00"/>
    <s v="8/31/2024"/>
    <d v="2024-08-31T00:00:00"/>
    <s v="96629 Nova Plaza"/>
    <n v="73"/>
    <n v="60"/>
    <s v="Discontinued"/>
    <n v="346.75"/>
    <n v="171"/>
    <x v="0"/>
    <x v="10"/>
    <n v="55"/>
    <s v="High Risk"/>
  </r>
  <r>
    <s v="98-445-7372"/>
    <x v="73"/>
    <x v="6"/>
    <s v="71-676-6562"/>
    <s v="Roombo"/>
    <n v="65"/>
    <n v="79"/>
    <n v="52"/>
    <s v="$8.00 "/>
    <n v="8"/>
    <d v="2024-12-05T00:00:00"/>
    <d v="2024-12-05T00:00:00"/>
    <d v="2024-03-10T00:00:00"/>
    <d v="2024-03-10T00:00:00"/>
    <s v="5/30/2024"/>
    <d v="2024-05-30T00:00:00"/>
    <s v="8531 Manley Court"/>
    <n v="56"/>
    <n v="94"/>
    <s v="Discontinued"/>
    <n v="448"/>
    <n v="520"/>
    <x v="0"/>
    <x v="6"/>
    <n v="-189"/>
    <s v="Invalid Data"/>
  </r>
  <r>
    <s v="29-875-6900"/>
    <x v="108"/>
    <x v="2"/>
    <s v="78-098-4468"/>
    <s v="Avaveo"/>
    <n v="45"/>
    <n v="28"/>
    <n v="6"/>
    <s v="$4.50 "/>
    <n v="4.5"/>
    <s v="3/18/2024"/>
    <d v="2024-03-18T00:00:00"/>
    <s v="1/23/2025"/>
    <d v="2025-01-23T00:00:00"/>
    <s v="8/22/2024"/>
    <d v="2024-08-22T00:00:00"/>
    <s v="2 Sachtjen Park"/>
    <n v="35"/>
    <n v="16"/>
    <s v="Discontinued"/>
    <n v="157.5"/>
    <n v="202.5"/>
    <x v="1"/>
    <x v="2"/>
    <n v="157"/>
    <s v="Medium Risk"/>
  </r>
  <r>
    <s v="27-757-4489"/>
    <x v="7"/>
    <x v="4"/>
    <s v="04-456-0715"/>
    <s v="Abatz"/>
    <n v="35"/>
    <n v="78"/>
    <n v="68"/>
    <s v="$2.50 "/>
    <n v="2.5"/>
    <d v="2024-12-04T00:00:00"/>
    <d v="2024-12-04T00:00:00"/>
    <s v="1/19/2025"/>
    <d v="2025-01-19T00:00:00"/>
    <d v="2024-04-07T00:00:00"/>
    <d v="2024-04-07T00:00:00"/>
    <s v="27535 Morrow Avenue"/>
    <n v="95"/>
    <n v="91"/>
    <s v="Discontinued"/>
    <n v="237.5"/>
    <n v="87.5"/>
    <x v="0"/>
    <x v="6"/>
    <n v="-241"/>
    <s v="Invalid Data"/>
  </r>
  <r>
    <s v="51-069-0489"/>
    <x v="14"/>
    <x v="0"/>
    <s v="19-978-0708"/>
    <s v="Oloo"/>
    <n v="96"/>
    <n v="83"/>
    <n v="50"/>
    <s v="$1.50 "/>
    <n v="1.5"/>
    <d v="2024-04-10T00:00:00"/>
    <d v="2024-04-10T00:00:00"/>
    <s v="3/30/2024"/>
    <d v="2024-03-30T00:00:00"/>
    <s v="5/30/2024"/>
    <d v="2024-05-30T00:00:00"/>
    <s v="3 Anthes Place"/>
    <n v="81"/>
    <n v="89"/>
    <s v="Discontinued"/>
    <n v="121.5"/>
    <n v="144"/>
    <x v="1"/>
    <x v="4"/>
    <n v="50"/>
    <s v="High Risk"/>
  </r>
  <r>
    <s v="20-325-1965"/>
    <x v="72"/>
    <x v="2"/>
    <s v="97-155-1262"/>
    <s v="Katz"/>
    <n v="56"/>
    <n v="75"/>
    <n v="13"/>
    <s v="$5.00 "/>
    <n v="5"/>
    <d v="2024-04-09T00:00:00"/>
    <d v="2024-04-09T00:00:00"/>
    <d v="2024-04-04T00:00:00"/>
    <d v="2024-04-04T00:00:00"/>
    <s v="5/21/2024"/>
    <d v="2024-05-21T00:00:00"/>
    <s v="78884 Union Street"/>
    <n v="42"/>
    <n v="53"/>
    <s v="Backordered"/>
    <n v="210"/>
    <n v="280"/>
    <x v="0"/>
    <x v="4"/>
    <n v="42"/>
    <s v="High Risk"/>
  </r>
  <r>
    <s v="76-090-4411"/>
    <x v="47"/>
    <x v="4"/>
    <s v="82-552-6786"/>
    <s v="Shufflester"/>
    <n v="49"/>
    <n v="94"/>
    <n v="18"/>
    <s v="$6.00 "/>
    <n v="6"/>
    <d v="2024-12-12T00:00:00"/>
    <d v="2024-12-12T00:00:00"/>
    <d v="2024-10-08T00:00:00"/>
    <d v="2024-10-08T00:00:00"/>
    <s v="4/16/2024"/>
    <d v="2024-04-16T00:00:00"/>
    <s v="15 Loomis Avenue"/>
    <n v="38"/>
    <n v="11"/>
    <s v="Active"/>
    <n v="228"/>
    <n v="294"/>
    <x v="0"/>
    <x v="6"/>
    <n v="-240"/>
    <s v="Invalid Data"/>
  </r>
  <r>
    <s v="01-703-8441"/>
    <x v="21"/>
    <x v="0"/>
    <s v="91-216-7668"/>
    <s v="Cogilith"/>
    <n v="100"/>
    <n v="10"/>
    <n v="89"/>
    <s v="$1.50 "/>
    <n v="1.5"/>
    <s v="4/23/2024"/>
    <d v="2024-04-23T00:00:00"/>
    <d v="2025-01-01T00:00:00"/>
    <d v="2025-01-01T00:00:00"/>
    <s v="6/21/2024"/>
    <d v="2024-06-21T00:00:00"/>
    <s v="4029 Lotheville Pass"/>
    <n v="76"/>
    <n v="38"/>
    <s v="Backordered"/>
    <n v="114"/>
    <n v="150"/>
    <x v="1"/>
    <x v="4"/>
    <n v="59"/>
    <s v="High Risk"/>
  </r>
  <r>
    <s v="09-622-7119"/>
    <x v="30"/>
    <x v="6"/>
    <s v="59-781-3399"/>
    <s v="Youtags"/>
    <n v="30"/>
    <n v="81"/>
    <n v="99"/>
    <s v="$9.00 "/>
    <n v="9"/>
    <s v="7/22/2024"/>
    <d v="2024-07-22T00:00:00"/>
    <s v="1/30/2025"/>
    <d v="2025-01-30T00:00:00"/>
    <s v="6/15/2024"/>
    <d v="2024-06-15T00:00:00"/>
    <s v="665 Sommers Circle"/>
    <n v="99"/>
    <n v="3"/>
    <s v="Backordered"/>
    <n v="891"/>
    <n v="270"/>
    <x v="0"/>
    <x v="10"/>
    <n v="-37"/>
    <s v="Invalid Data"/>
  </r>
  <r>
    <s v="45-172-7012"/>
    <x v="108"/>
    <x v="2"/>
    <s v="95-721-9228"/>
    <s v="Brightbean"/>
    <n v="20"/>
    <n v="91"/>
    <n v="12"/>
    <s v="$4.50 "/>
    <n v="4.5"/>
    <s v="11/26/2024"/>
    <d v="2024-11-26T00:00:00"/>
    <s v="12/13/2024"/>
    <d v="2024-12-13T00:00:00"/>
    <d v="2024-01-12T00:00:00"/>
    <d v="2024-01-12T00:00:00"/>
    <s v="11 Kedzie Avenue"/>
    <n v="35"/>
    <n v="50"/>
    <s v="Active"/>
    <n v="157.5"/>
    <n v="90"/>
    <x v="0"/>
    <x v="5"/>
    <n v="-319"/>
    <s v="Invalid Data"/>
  </r>
  <r>
    <s v="06-849-4869"/>
    <x v="90"/>
    <x v="3"/>
    <s v="39-464-7300"/>
    <s v="Rhycero"/>
    <n v="85"/>
    <n v="15"/>
    <n v="16"/>
    <s v="$6.50 "/>
    <n v="6.5"/>
    <s v="5/13/2024"/>
    <d v="2024-05-13T00:00:00"/>
    <s v="2/19/2025"/>
    <d v="2025-02-19T00:00:00"/>
    <s v="7/15/2024"/>
    <d v="2024-07-15T00:00:00"/>
    <s v="041 Paget Alley"/>
    <n v="46"/>
    <n v="24"/>
    <s v="Discontinued"/>
    <n v="299"/>
    <n v="552.5"/>
    <x v="1"/>
    <x v="8"/>
    <n v="63"/>
    <s v="High Risk"/>
  </r>
  <r>
    <s v="30-996-2526"/>
    <x v="18"/>
    <x v="2"/>
    <s v="30-942-0054"/>
    <s v="Izio"/>
    <n v="86"/>
    <n v="90"/>
    <n v="39"/>
    <s v="$2.10 "/>
    <n v="2.1"/>
    <s v="10/20/2024"/>
    <d v="2024-10-20T00:00:00"/>
    <s v="2/28/2024"/>
    <d v="2024-02-28T00:00:00"/>
    <d v="2024-07-09T00:00:00"/>
    <d v="2024-07-09T00:00:00"/>
    <s v="77 Monterey Avenue"/>
    <n v="98"/>
    <n v="85"/>
    <s v="Active"/>
    <n v="205.8"/>
    <n v="180.6"/>
    <x v="0"/>
    <x v="7"/>
    <n v="-103"/>
    <s v="Invalid Data"/>
  </r>
  <r>
    <s v="71-074-6292"/>
    <x v="40"/>
    <x v="5"/>
    <s v="42-201-4495"/>
    <s v="Plajo"/>
    <n v="65"/>
    <n v="79"/>
    <n v="49"/>
    <s v="$4.00 "/>
    <n v="4"/>
    <d v="2024-02-04T00:00:00"/>
    <d v="2024-02-04T00:00:00"/>
    <d v="2024-10-06T00:00:00"/>
    <d v="2024-10-06T00:00:00"/>
    <s v="10/17/2024"/>
    <d v="2024-10-17T00:00:00"/>
    <s v="338 Annamark Court"/>
    <n v="100"/>
    <n v="9"/>
    <s v="Discontinued"/>
    <n v="400"/>
    <n v="260"/>
    <x v="0"/>
    <x v="9"/>
    <n v="256"/>
    <s v="Low Risk"/>
  </r>
  <r>
    <s v="98-909-9395"/>
    <x v="67"/>
    <x v="4"/>
    <s v="74-119-5491"/>
    <s v="Feedfire"/>
    <n v="67"/>
    <n v="98"/>
    <n v="92"/>
    <s v="$5.00 "/>
    <n v="5"/>
    <s v="4/22/2024"/>
    <d v="2024-04-22T00:00:00"/>
    <s v="8/31/2024"/>
    <d v="2024-08-31T00:00:00"/>
    <d v="2024-07-12T00:00:00"/>
    <d v="2024-07-12T00:00:00"/>
    <s v="43 Heath Street"/>
    <n v="35"/>
    <n v="98"/>
    <s v="Backordered"/>
    <n v="175"/>
    <n v="335"/>
    <x v="0"/>
    <x v="4"/>
    <n v="81"/>
    <s v="High Risk"/>
  </r>
  <r>
    <s v="61-796-6540"/>
    <x v="47"/>
    <x v="4"/>
    <s v="40-002-8400"/>
    <s v="Fliptune"/>
    <n v="88"/>
    <n v="4"/>
    <n v="79"/>
    <s v="$6.00 "/>
    <n v="6"/>
    <s v="4/24/2024"/>
    <d v="2024-04-24T00:00:00"/>
    <d v="2024-02-06T00:00:00"/>
    <d v="2024-02-06T00:00:00"/>
    <s v="8/14/2024"/>
    <d v="2024-08-14T00:00:00"/>
    <s v="126 Spohn Plaza"/>
    <n v="23"/>
    <n v="39"/>
    <s v="Discontinued"/>
    <n v="138"/>
    <n v="528"/>
    <x v="1"/>
    <x v="4"/>
    <n v="112"/>
    <s v="Medium Risk"/>
  </r>
  <r>
    <s v="41-735-9837"/>
    <x v="93"/>
    <x v="1"/>
    <s v="35-462-7569"/>
    <s v="Devpulse"/>
    <n v="14"/>
    <n v="77"/>
    <n v="78"/>
    <s v="$10.00 "/>
    <n v="10"/>
    <d v="2024-02-08T00:00:00"/>
    <d v="2024-02-08T00:00:00"/>
    <s v="8/28/2024"/>
    <d v="2024-08-28T00:00:00"/>
    <d v="2024-01-09T00:00:00"/>
    <d v="2024-01-09T00:00:00"/>
    <s v="2374 Chive Court"/>
    <n v="32"/>
    <n v="24"/>
    <s v="Discontinued"/>
    <n v="320"/>
    <n v="140"/>
    <x v="0"/>
    <x v="9"/>
    <n v="-30"/>
    <s v="Invalid Data"/>
  </r>
  <r>
    <s v="60-343-3288"/>
    <x v="70"/>
    <x v="6"/>
    <s v="22-940-6543"/>
    <s v="Vipe"/>
    <n v="85"/>
    <n v="92"/>
    <n v="66"/>
    <s v="$6.70 "/>
    <n v="6.7"/>
    <s v="3/28/2024"/>
    <d v="2024-03-28T00:00:00"/>
    <d v="2025-01-01T00:00:00"/>
    <d v="2025-01-01T00:00:00"/>
    <d v="2024-03-05T00:00:00"/>
    <d v="2024-03-05T00:00:00"/>
    <s v="6 Hanover Terrace"/>
    <n v="54"/>
    <n v="85"/>
    <s v="Backordered"/>
    <n v="361.8"/>
    <n v="569.5"/>
    <x v="0"/>
    <x v="2"/>
    <n v="-23"/>
    <s v="Invalid Data"/>
  </r>
  <r>
    <s v="27-783-5470"/>
    <x v="13"/>
    <x v="4"/>
    <s v="45-997-6429"/>
    <s v="Thoughtstorm"/>
    <n v="74"/>
    <n v="65"/>
    <n v="5"/>
    <s v="$7.00 "/>
    <n v="7"/>
    <s v="1/30/2025"/>
    <d v="2025-01-30T00:00:00"/>
    <s v="7/27/2024"/>
    <d v="2024-07-27T00:00:00"/>
    <s v="3/16/2024"/>
    <d v="2024-03-16T00:00:00"/>
    <s v="6 Tony Junction"/>
    <n v="21"/>
    <n v="42"/>
    <s v="Discontinued"/>
    <n v="147"/>
    <n v="518"/>
    <x v="1"/>
    <x v="13"/>
    <n v="-320"/>
    <s v="Invalid Data"/>
  </r>
  <r>
    <s v="60-456-8169"/>
    <x v="88"/>
    <x v="4"/>
    <s v="54-529-4459"/>
    <s v="Oyoba"/>
    <n v="21"/>
    <n v="28"/>
    <n v="72"/>
    <s v="$9.00 "/>
    <n v="9"/>
    <s v="1/28/2025"/>
    <d v="2025-01-28T00:00:00"/>
    <s v="2/28/2024"/>
    <d v="2024-02-28T00:00:00"/>
    <s v="2/25/2024"/>
    <d v="2024-02-25T00:00:00"/>
    <s v="710 Service Park"/>
    <n v="69"/>
    <n v="51"/>
    <s v="Backordered"/>
    <n v="621"/>
    <n v="189"/>
    <x v="0"/>
    <x v="13"/>
    <n v="-338"/>
    <s v="Invalid Data"/>
  </r>
  <r>
    <s v="99-420-3592"/>
    <x v="56"/>
    <x v="5"/>
    <s v="88-647-5082"/>
    <s v="Quatz"/>
    <n v="22"/>
    <n v="24"/>
    <n v="94"/>
    <s v="$6.00 "/>
    <n v="6"/>
    <s v="7/19/2024"/>
    <d v="2024-07-19T00:00:00"/>
    <s v="7/21/2024"/>
    <d v="2024-07-21T00:00:00"/>
    <s v="11/13/2024"/>
    <d v="2024-11-13T00:00:00"/>
    <s v="206 Pine View Junction"/>
    <n v="47"/>
    <n v="71"/>
    <s v="Active"/>
    <n v="282"/>
    <n v="132"/>
    <x v="0"/>
    <x v="10"/>
    <n v="117"/>
    <s v="Medium Risk"/>
  </r>
  <r>
    <s v="35-836-6718"/>
    <x v="47"/>
    <x v="4"/>
    <s v="27-838-4345"/>
    <s v="Thoughtblab"/>
    <n v="91"/>
    <n v="14"/>
    <n v="99"/>
    <s v="$6.00 "/>
    <n v="6"/>
    <d v="2025-10-02T00:00:00"/>
    <d v="2025-10-02T00:00:00"/>
    <s v="1/25/2025"/>
    <d v="2025-01-25T00:00:00"/>
    <s v="1/22/2025"/>
    <d v="2025-01-22T00:00:00"/>
    <s v="05 Canary Circle"/>
    <n v="50"/>
    <n v="5"/>
    <s v="Backordered"/>
    <n v="300"/>
    <n v="546"/>
    <x v="1"/>
    <x v="17"/>
    <n v="-253"/>
    <s v="Invalid Data"/>
  </r>
  <r>
    <s v="51-273-4240"/>
    <x v="38"/>
    <x v="5"/>
    <s v="32-506-0556"/>
    <s v="Devpulse"/>
    <n v="85"/>
    <n v="57"/>
    <n v="25"/>
    <s v="$3.50 "/>
    <n v="3.5"/>
    <s v="2/18/2025"/>
    <d v="2025-02-18T00:00:00"/>
    <s v="9/26/2024"/>
    <d v="2024-09-26T00:00:00"/>
    <s v="6/20/2024"/>
    <d v="2024-06-20T00:00:00"/>
    <s v="7 Prairieview Place"/>
    <n v="30"/>
    <n v="42"/>
    <s v="Discontinued"/>
    <n v="105"/>
    <n v="297.5"/>
    <x v="1"/>
    <x v="14"/>
    <n v="-243"/>
    <s v="Invalid Data"/>
  </r>
  <r>
    <s v="38-924-3007"/>
    <x v="57"/>
    <x v="2"/>
    <s v="83-936-5065"/>
    <s v="Photolist"/>
    <n v="12"/>
    <n v="28"/>
    <n v="11"/>
    <s v="$3.00 "/>
    <n v="3"/>
    <s v="5/18/2024"/>
    <d v="2024-05-18T00:00:00"/>
    <d v="2025-05-01T00:00:00"/>
    <d v="2025-05-01T00:00:00"/>
    <s v="4/17/2024"/>
    <d v="2024-04-17T00:00:00"/>
    <s v="6 Anthes Court"/>
    <n v="46"/>
    <n v="88"/>
    <s v="Backordered"/>
    <n v="138"/>
    <n v="36"/>
    <x v="0"/>
    <x v="8"/>
    <n v="-31"/>
    <s v="Invalid Data"/>
  </r>
  <r>
    <s v="52-123-8039"/>
    <x v="75"/>
    <x v="2"/>
    <s v="24-087-5935"/>
    <s v="Browsebug"/>
    <n v="43"/>
    <n v="65"/>
    <n v="66"/>
    <s v="$6.00 "/>
    <n v="6"/>
    <s v="12/21/2024"/>
    <d v="2024-12-21T00:00:00"/>
    <d v="2024-03-09T00:00:00"/>
    <d v="2024-03-09T00:00:00"/>
    <s v="1/16/2025"/>
    <d v="2025-01-16T00:00:00"/>
    <s v="7 Schiller Court"/>
    <n v="78"/>
    <n v="73"/>
    <s v="Backordered"/>
    <n v="468"/>
    <n v="258"/>
    <x v="0"/>
    <x v="6"/>
    <n v="26"/>
    <s v="Critical"/>
  </r>
  <r>
    <s v="34-131-8805"/>
    <x v="109"/>
    <x v="4"/>
    <s v="84-472-8001"/>
    <s v="Eimbee"/>
    <n v="92"/>
    <n v="92"/>
    <n v="28"/>
    <s v="$1.75 "/>
    <n v="1.75"/>
    <s v="1/21/2025"/>
    <d v="2025-01-21T00:00:00"/>
    <d v="2024-10-09T00:00:00"/>
    <d v="2024-10-09T00:00:00"/>
    <s v="12/22/2024"/>
    <d v="2024-12-22T00:00:00"/>
    <s v="44249 Sutteridge Crossing"/>
    <n v="50"/>
    <n v="67"/>
    <s v="Discontinued"/>
    <n v="87.5"/>
    <n v="161"/>
    <x v="0"/>
    <x v="13"/>
    <n v="-30"/>
    <s v="Invalid Data"/>
  </r>
  <r>
    <s v="28-505-8317"/>
    <x v="94"/>
    <x v="2"/>
    <s v="61-755-4469"/>
    <s v="Digitube"/>
    <n v="23"/>
    <n v="85"/>
    <n v="94"/>
    <s v="$3.00 "/>
    <n v="3"/>
    <d v="2024-12-10T00:00:00"/>
    <d v="2024-12-10T00:00:00"/>
    <s v="7/23/2024"/>
    <d v="2024-07-23T00:00:00"/>
    <s v="1/28/2025"/>
    <d v="2025-01-28T00:00:00"/>
    <s v="848 Old Gate Parkway"/>
    <n v="92"/>
    <n v="72"/>
    <s v="Backordered"/>
    <n v="276"/>
    <n v="69"/>
    <x v="0"/>
    <x v="6"/>
    <n v="49"/>
    <s v="High Risk"/>
  </r>
  <r>
    <s v="41-594-5069"/>
    <x v="9"/>
    <x v="4"/>
    <s v="45-471-5053"/>
    <s v="Blogtags"/>
    <n v="77"/>
    <n v="1"/>
    <n v="41"/>
    <s v="$1.00 "/>
    <n v="1"/>
    <d v="2024-05-11T00:00:00"/>
    <d v="2024-05-11T00:00:00"/>
    <d v="2025-05-02T00:00:00"/>
    <d v="2025-05-02T00:00:00"/>
    <s v="3/21/2024"/>
    <d v="2024-03-21T00:00:00"/>
    <s v="9 Clemons Hill"/>
    <n v="58"/>
    <n v="55"/>
    <s v="Discontinued"/>
    <n v="58"/>
    <n v="77"/>
    <x v="1"/>
    <x v="8"/>
    <n v="-51"/>
    <s v="Invalid Data"/>
  </r>
  <r>
    <s v="94-658-4945"/>
    <x v="116"/>
    <x v="2"/>
    <s v="09-153-0763"/>
    <s v="Skibox"/>
    <n v="65"/>
    <n v="10"/>
    <n v="81"/>
    <s v="$2.00 "/>
    <n v="2"/>
    <s v="8/27/2024"/>
    <d v="2024-08-27T00:00:00"/>
    <d v="2025-12-02T00:00:00"/>
    <d v="2025-12-02T00:00:00"/>
    <d v="2024-08-05T00:00:00"/>
    <d v="2024-08-05T00:00:00"/>
    <s v="15 Veith Circle"/>
    <n v="71"/>
    <n v="61"/>
    <s v="Backordered"/>
    <n v="142"/>
    <n v="130"/>
    <x v="1"/>
    <x v="0"/>
    <n v="-22"/>
    <s v="Invalid Data"/>
  </r>
  <r>
    <s v="69-561-2496"/>
    <x v="74"/>
    <x v="2"/>
    <s v="38-790-7081"/>
    <s v="Skinix"/>
    <n v="82"/>
    <n v="29"/>
    <n v="62"/>
    <s v="$15.31 "/>
    <n v="15.31"/>
    <d v="2024-08-08T00:00:00"/>
    <d v="2024-08-08T00:00:00"/>
    <s v="3/18/2024"/>
    <d v="2024-03-18T00:00:00"/>
    <d v="2024-09-12T00:00:00"/>
    <d v="2024-09-12T00:00:00"/>
    <s v="154 Delladonna Hill"/>
    <n v="77"/>
    <n v="27"/>
    <s v="Backordered"/>
    <n v="1178.8700000000001"/>
    <n v="1255.42"/>
    <x v="1"/>
    <x v="0"/>
    <n v="35"/>
    <s v="High Risk"/>
  </r>
  <r>
    <s v="98-858-6323"/>
    <x v="15"/>
    <x v="4"/>
    <s v="79-086-1717"/>
    <s v="Janyx"/>
    <n v="20"/>
    <n v="17"/>
    <n v="71"/>
    <s v="$8.00 "/>
    <n v="8"/>
    <s v="10/22/2024"/>
    <d v="2024-10-22T00:00:00"/>
    <d v="2025-07-01T00:00:00"/>
    <d v="2025-07-01T00:00:00"/>
    <s v="11/16/2024"/>
    <d v="2024-11-16T00:00:00"/>
    <s v="80729 Homewood Plaza"/>
    <n v="50"/>
    <n v="65"/>
    <s v="Active"/>
    <n v="400"/>
    <n v="160"/>
    <x v="1"/>
    <x v="7"/>
    <n v="25"/>
    <s v="Critical"/>
  </r>
  <r>
    <s v="92-995-8689"/>
    <x v="88"/>
    <x v="4"/>
    <s v="18-682-7828"/>
    <s v="Wordify"/>
    <n v="31"/>
    <n v="65"/>
    <n v="94"/>
    <s v="$9.00 "/>
    <n v="9"/>
    <d v="2024-03-12T00:00:00"/>
    <d v="2024-03-12T00:00:00"/>
    <s v="10/17/2024"/>
    <d v="2024-10-17T00:00:00"/>
    <d v="2024-06-03T00:00:00"/>
    <d v="2024-06-03T00:00:00"/>
    <s v="1 Merchant Circle"/>
    <n v="63"/>
    <n v="7"/>
    <s v="Backordered"/>
    <n v="567"/>
    <n v="279"/>
    <x v="0"/>
    <x v="2"/>
    <n v="83"/>
    <s v="High Risk"/>
  </r>
  <r>
    <s v="43-164-5984"/>
    <x v="37"/>
    <x v="4"/>
    <s v="10-008-6747"/>
    <s v="Shuffletag"/>
    <n v="36"/>
    <n v="75"/>
    <n v="35"/>
    <s v="$2.90 "/>
    <n v="2.9"/>
    <s v="4/13/2024"/>
    <d v="2024-04-13T00:00:00"/>
    <s v="6/17/2024"/>
    <d v="2024-06-17T00:00:00"/>
    <s v="11/23/2024"/>
    <d v="2024-11-23T00:00:00"/>
    <s v="70862 Lighthouse Bay Junction"/>
    <n v="26"/>
    <n v="41"/>
    <s v="Discontinued"/>
    <n v="75.399999999999991"/>
    <n v="104.39999999999999"/>
    <x v="0"/>
    <x v="4"/>
    <n v="224"/>
    <s v="Low Risk"/>
  </r>
  <r>
    <s v="58-122-2282"/>
    <x v="46"/>
    <x v="1"/>
    <s v="55-773-9118"/>
    <s v="Ozu"/>
    <n v="59"/>
    <n v="20"/>
    <n v="17"/>
    <s v="$5.00 "/>
    <n v="5"/>
    <d v="2024-06-12T00:00:00"/>
    <d v="2024-06-12T00:00:00"/>
    <s v="6/30/2024"/>
    <d v="2024-06-30T00:00:00"/>
    <d v="2024-12-06T00:00:00"/>
    <d v="2024-12-06T00:00:00"/>
    <s v="96 American Ash Center"/>
    <n v="45"/>
    <n v="15"/>
    <s v="Discontinued"/>
    <n v="225"/>
    <n v="295"/>
    <x v="1"/>
    <x v="12"/>
    <n v="177"/>
    <s v="Medium Risk"/>
  </r>
  <r>
    <s v="84-269-9130"/>
    <x v="3"/>
    <x v="0"/>
    <s v="88-615-2915"/>
    <s v="Flashspan"/>
    <n v="11"/>
    <n v="10"/>
    <n v="80"/>
    <s v="$1.50 "/>
    <n v="1.5"/>
    <d v="2024-05-06T00:00:00"/>
    <d v="2024-05-06T00:00:00"/>
    <s v="9/27/2024"/>
    <d v="2024-09-27T00:00:00"/>
    <d v="2024-02-08T00:00:00"/>
    <d v="2024-02-08T00:00:00"/>
    <s v="49263 Graceland Pass"/>
    <n v="48"/>
    <n v="65"/>
    <s v="Discontinued"/>
    <n v="72"/>
    <n v="16.5"/>
    <x v="1"/>
    <x v="8"/>
    <n v="-88"/>
    <s v="Invalid Data"/>
  </r>
  <r>
    <s v="11-922-3342"/>
    <x v="36"/>
    <x v="1"/>
    <s v="33-523-9077"/>
    <s v="Gabspot"/>
    <n v="24"/>
    <n v="77"/>
    <n v="32"/>
    <s v="$15.50 "/>
    <n v="15.5"/>
    <s v="3/18/2024"/>
    <d v="2024-03-18T00:00:00"/>
    <d v="2024-10-06T00:00:00"/>
    <d v="2024-10-06T00:00:00"/>
    <d v="2024-04-03T00:00:00"/>
    <d v="2024-04-03T00:00:00"/>
    <s v="094 Carberry Lane"/>
    <n v="80"/>
    <n v="42"/>
    <s v="Discontinued"/>
    <n v="1240"/>
    <n v="372"/>
    <x v="0"/>
    <x v="2"/>
    <n v="16"/>
    <s v="Critical"/>
  </r>
  <r>
    <s v="60-550-4771"/>
    <x v="30"/>
    <x v="6"/>
    <s v="24-568-9517"/>
    <s v="Kwimbee"/>
    <n v="75"/>
    <n v="80"/>
    <n v="87"/>
    <s v="$9.00 "/>
    <n v="9"/>
    <d v="2024-06-07T00:00:00"/>
    <d v="2024-06-07T00:00:00"/>
    <d v="2024-03-10T00:00:00"/>
    <d v="2024-03-10T00:00:00"/>
    <s v="8/24/2024"/>
    <d v="2024-08-24T00:00:00"/>
    <s v="1 Monica Lane"/>
    <n v="49"/>
    <n v="40"/>
    <s v="Backordered"/>
    <n v="441"/>
    <n v="675"/>
    <x v="0"/>
    <x v="12"/>
    <n v="78"/>
    <s v="High Risk"/>
  </r>
  <r>
    <s v="88-951-9038"/>
    <x v="36"/>
    <x v="1"/>
    <s v="14-713-5795"/>
    <s v="Youfeed"/>
    <n v="11"/>
    <n v="72"/>
    <n v="5"/>
    <s v="$15.00 "/>
    <n v="15"/>
    <d v="2024-08-07T00:00:00"/>
    <d v="2024-08-07T00:00:00"/>
    <d v="2024-11-10T00:00:00"/>
    <d v="2024-11-10T00:00:00"/>
    <d v="2025-11-02T00:00:00"/>
    <d v="2025-11-02T00:00:00"/>
    <s v="5 Anderson Trail"/>
    <n v="89"/>
    <n v="4"/>
    <s v="Active"/>
    <n v="1335"/>
    <n v="165"/>
    <x v="0"/>
    <x v="0"/>
    <n v="452"/>
    <s v="Safe"/>
  </r>
  <r>
    <s v="08-114-3922"/>
    <x v="95"/>
    <x v="6"/>
    <s v="19-418-7213"/>
    <s v="Camido"/>
    <n v="60"/>
    <n v="64"/>
    <n v="36"/>
    <s v="$10.00 "/>
    <n v="10"/>
    <d v="2024-02-09T00:00:00"/>
    <d v="2024-02-09T00:00:00"/>
    <s v="2/25/2024"/>
    <d v="2024-02-25T00:00:00"/>
    <s v="2/15/2025"/>
    <d v="2025-02-15T00:00:00"/>
    <s v="709 Vidon Avenue"/>
    <n v="34"/>
    <n v="48"/>
    <s v="Discontinued"/>
    <n v="340"/>
    <n v="600"/>
    <x v="0"/>
    <x v="9"/>
    <n v="372"/>
    <s v="Safe"/>
  </r>
  <r>
    <s v="70-145-2550"/>
    <x v="35"/>
    <x v="2"/>
    <s v="75-849-4524"/>
    <s v="Yata"/>
    <n v="91"/>
    <n v="6"/>
    <n v="37"/>
    <s v="$2.40 "/>
    <n v="2.4"/>
    <d v="2024-01-05T00:00:00"/>
    <d v="2024-01-05T00:00:00"/>
    <d v="2024-07-08T00:00:00"/>
    <d v="2024-07-08T00:00:00"/>
    <d v="2024-06-08T00:00:00"/>
    <d v="2024-06-08T00:00:00"/>
    <s v="5141 Anniversary Crossing"/>
    <n v="38"/>
    <n v="70"/>
    <s v="Backordered"/>
    <n v="91.2"/>
    <n v="218.4"/>
    <x v="1"/>
    <x v="1"/>
    <n v="155"/>
    <s v="Medium Risk"/>
  </r>
  <r>
    <s v="51-761-6320"/>
    <x v="7"/>
    <x v="4"/>
    <s v="28-461-1136"/>
    <s v="Youopia"/>
    <n v="43"/>
    <n v="78"/>
    <n v="85"/>
    <s v="$2.50 "/>
    <n v="2.5"/>
    <d v="2024-09-03T00:00:00"/>
    <d v="2024-09-03T00:00:00"/>
    <s v="8/30/2024"/>
    <d v="2024-08-30T00:00:00"/>
    <s v="6/22/2024"/>
    <d v="2024-06-22T00:00:00"/>
    <s v="587 Vermont Terrace"/>
    <n v="48"/>
    <n v="98"/>
    <s v="Backordered"/>
    <n v="120"/>
    <n v="107.5"/>
    <x v="0"/>
    <x v="11"/>
    <n v="-73"/>
    <s v="Invalid Data"/>
  </r>
  <r>
    <s v="55-803-3964"/>
    <x v="14"/>
    <x v="0"/>
    <s v="75-906-1086"/>
    <s v="Demizz"/>
    <n v="25"/>
    <n v="60"/>
    <n v="36"/>
    <s v="$1.50 "/>
    <n v="1.5"/>
    <s v="2/16/2025"/>
    <d v="2025-02-16T00:00:00"/>
    <s v="8/26/2024"/>
    <d v="2024-08-26T00:00:00"/>
    <s v="10/30/2024"/>
    <d v="2024-10-30T00:00:00"/>
    <s v="149 Valley Edge Point"/>
    <n v="31"/>
    <n v="41"/>
    <s v="Backordered"/>
    <n v="46.5"/>
    <n v="37.5"/>
    <x v="0"/>
    <x v="14"/>
    <n v="-109"/>
    <s v="Invalid Data"/>
  </r>
  <r>
    <s v="11-815-7923"/>
    <x v="20"/>
    <x v="4"/>
    <s v="98-304-8407"/>
    <s v="Rhyloo"/>
    <n v="96"/>
    <n v="9"/>
    <n v="57"/>
    <s v="$11.80 "/>
    <n v="11.8"/>
    <s v="1/26/2025"/>
    <d v="2025-01-26T00:00:00"/>
    <s v="6/16/2024"/>
    <d v="2024-06-16T00:00:00"/>
    <d v="2024-06-08T00:00:00"/>
    <d v="2024-06-08T00:00:00"/>
    <s v="89 Springs Alley"/>
    <n v="78"/>
    <n v="67"/>
    <s v="Active"/>
    <n v="920.40000000000009"/>
    <n v="1132.8000000000002"/>
    <x v="1"/>
    <x v="13"/>
    <n v="-232"/>
    <s v="Invalid Data"/>
  </r>
  <r>
    <s v="83-966-3280"/>
    <x v="101"/>
    <x v="6"/>
    <s v="50-305-3936"/>
    <s v="Twitterworks"/>
    <n v="30"/>
    <n v="29"/>
    <n v="70"/>
    <s v="$7.50 "/>
    <n v="7.5"/>
    <s v="6/22/2024"/>
    <d v="2024-06-22T00:00:00"/>
    <s v="10/13/2024"/>
    <d v="2024-10-13T00:00:00"/>
    <s v="9/20/2024"/>
    <d v="2024-09-20T00:00:00"/>
    <s v="0743 4th Place"/>
    <n v="80"/>
    <n v="43"/>
    <s v="Backordered"/>
    <n v="600"/>
    <n v="225"/>
    <x v="1"/>
    <x v="12"/>
    <n v="90"/>
    <s v="High Risk"/>
  </r>
  <r>
    <s v="29-592-7315"/>
    <x v="54"/>
    <x v="0"/>
    <s v="61-867-3019"/>
    <s v="Dabtype"/>
    <n v="56"/>
    <n v="4"/>
    <n v="74"/>
    <s v="$4.50 "/>
    <n v="4.5"/>
    <s v="3/15/2024"/>
    <d v="2024-03-15T00:00:00"/>
    <d v="2024-04-07T00:00:00"/>
    <d v="2024-04-07T00:00:00"/>
    <s v="9/22/2024"/>
    <d v="2024-09-22T00:00:00"/>
    <s v="21625 Schlimgen Park"/>
    <n v="61"/>
    <n v="73"/>
    <s v="Active"/>
    <n v="274.5"/>
    <n v="252"/>
    <x v="1"/>
    <x v="2"/>
    <n v="191"/>
    <s v="Low Risk"/>
  </r>
  <r>
    <s v="65-235-7676"/>
    <x v="118"/>
    <x v="5"/>
    <s v="22-083-3504"/>
    <s v="Quire"/>
    <n v="91"/>
    <n v="71"/>
    <n v="17"/>
    <s v="$3.50 "/>
    <n v="3.5"/>
    <d v="2025-10-01T00:00:00"/>
    <d v="2025-10-01T00:00:00"/>
    <d v="2024-01-08T00:00:00"/>
    <d v="2024-01-08T00:00:00"/>
    <d v="2024-03-06T00:00:00"/>
    <d v="2024-03-06T00:00:00"/>
    <s v="31208 Westerfield Way"/>
    <n v="74"/>
    <n v="57"/>
    <s v="Active"/>
    <n v="259"/>
    <n v="318.5"/>
    <x v="1"/>
    <x v="17"/>
    <n v="-574"/>
    <s v="Invalid Data"/>
  </r>
  <r>
    <s v="40-683-0283"/>
    <x v="10"/>
    <x v="0"/>
    <s v="27-060-9944"/>
    <s v="Topicshots"/>
    <n v="27"/>
    <n v="64"/>
    <n v="78"/>
    <s v="$2.00 "/>
    <n v="2"/>
    <s v="8/17/2024"/>
    <d v="2024-08-17T00:00:00"/>
    <d v="2024-04-05T00:00:00"/>
    <d v="2024-04-05T00:00:00"/>
    <s v="5/23/2024"/>
    <d v="2024-05-23T00:00:00"/>
    <s v="322 Birchwood Center"/>
    <n v="57"/>
    <n v="4"/>
    <s v="Active"/>
    <n v="114"/>
    <n v="54"/>
    <x v="0"/>
    <x v="0"/>
    <n v="-86"/>
    <s v="Invalid Data"/>
  </r>
  <r>
    <s v="83-553-9523"/>
    <x v="83"/>
    <x v="4"/>
    <s v="89-976-4338"/>
    <s v="Zoombox"/>
    <n v="28"/>
    <n v="90"/>
    <n v="70"/>
    <s v="$2.45 "/>
    <n v="2.4500000000000002"/>
    <d v="2024-05-11T00:00:00"/>
    <d v="2024-05-11T00:00:00"/>
    <s v="2/14/2025"/>
    <d v="2025-02-14T00:00:00"/>
    <s v="1/28/2025"/>
    <d v="2025-01-28T00:00:00"/>
    <s v="84336 Haas Place"/>
    <n v="76"/>
    <n v="78"/>
    <s v="Active"/>
    <n v="186.20000000000002"/>
    <n v="68.600000000000009"/>
    <x v="0"/>
    <x v="8"/>
    <n v="262"/>
    <s v="Low Risk"/>
  </r>
  <r>
    <s v="40-793-7235"/>
    <x v="84"/>
    <x v="4"/>
    <s v="89-048-3542"/>
    <s v="Chatterbridge"/>
    <n v="92"/>
    <n v="67"/>
    <n v="51"/>
    <s v="$4.00 "/>
    <n v="4"/>
    <d v="2024-05-04T00:00:00"/>
    <d v="2024-05-04T00:00:00"/>
    <d v="2024-09-12T00:00:00"/>
    <d v="2024-09-12T00:00:00"/>
    <s v="5/19/2024"/>
    <d v="2024-05-19T00:00:00"/>
    <s v="68086 Crowley Circle"/>
    <n v="23"/>
    <n v="78"/>
    <s v="Discontinued"/>
    <n v="92"/>
    <n v="368"/>
    <x v="1"/>
    <x v="8"/>
    <n v="15"/>
    <s v="Critical"/>
  </r>
  <r>
    <s v="74-666-5671"/>
    <x v="82"/>
    <x v="6"/>
    <s v="58-657-7257"/>
    <s v="Youspan"/>
    <n v="37"/>
    <n v="33"/>
    <n v="80"/>
    <s v="$18.00 "/>
    <n v="18"/>
    <s v="12/21/2024"/>
    <d v="2024-12-21T00:00:00"/>
    <d v="2024-10-05T00:00:00"/>
    <d v="2024-10-05T00:00:00"/>
    <d v="2024-04-05T00:00:00"/>
    <d v="2024-04-05T00:00:00"/>
    <s v="11263 Kipling Hill"/>
    <n v="27"/>
    <n v="73"/>
    <s v="Backordered"/>
    <n v="486"/>
    <n v="666"/>
    <x v="1"/>
    <x v="6"/>
    <n v="-260"/>
    <s v="Invalid Data"/>
  </r>
  <r>
    <s v="90-865-9150"/>
    <x v="86"/>
    <x v="0"/>
    <s v="58-053-4926"/>
    <s v="Kazu"/>
    <n v="28"/>
    <n v="24"/>
    <n v="97"/>
    <s v="$2.50 "/>
    <n v="2.5"/>
    <s v="9/22/2024"/>
    <d v="2024-09-22T00:00:00"/>
    <d v="2024-12-05T00:00:00"/>
    <d v="2024-12-05T00:00:00"/>
    <d v="2024-09-07T00:00:00"/>
    <d v="2024-09-07T00:00:00"/>
    <s v="00029 Fisk Point"/>
    <n v="82"/>
    <n v="5"/>
    <s v="Discontinued"/>
    <n v="205"/>
    <n v="70"/>
    <x v="1"/>
    <x v="11"/>
    <n v="-15"/>
    <s v="Invalid Data"/>
  </r>
  <r>
    <s v="46-255-3073"/>
    <x v="70"/>
    <x v="6"/>
    <s v="68-230-9130"/>
    <s v="Vinder"/>
    <n v="30"/>
    <n v="42"/>
    <n v="8"/>
    <s v="$7.00 "/>
    <n v="7"/>
    <d v="2024-02-05T00:00:00"/>
    <d v="2024-02-05T00:00:00"/>
    <d v="2025-06-01T00:00:00"/>
    <d v="2025-06-01T00:00:00"/>
    <d v="2024-11-07T00:00:00"/>
    <d v="2024-11-07T00:00:00"/>
    <s v="57 Eastwood Junction"/>
    <n v="48"/>
    <n v="23"/>
    <s v="Active"/>
    <n v="336"/>
    <n v="210"/>
    <x v="0"/>
    <x v="9"/>
    <n v="276"/>
    <s v="Low Risk"/>
  </r>
  <r>
    <s v="11-155-7826"/>
    <x v="1"/>
    <x v="1"/>
    <s v="91-788-3177"/>
    <s v="Feedfire"/>
    <n v="98"/>
    <n v="83"/>
    <n v="5"/>
    <s v="$20.00 "/>
    <n v="20"/>
    <d v="2024-06-07T00:00:00"/>
    <d v="2024-06-07T00:00:00"/>
    <s v="1/31/2025"/>
    <d v="2025-01-31T00:00:00"/>
    <s v="12/26/2024"/>
    <d v="2024-12-26T00:00:00"/>
    <s v="321 Barby Parkway"/>
    <n v="39"/>
    <n v="79"/>
    <s v="Active"/>
    <n v="780"/>
    <n v="1960"/>
    <x v="1"/>
    <x v="12"/>
    <n v="202"/>
    <s v="Low Risk"/>
  </r>
  <r>
    <s v="99-543-5039"/>
    <x v="35"/>
    <x v="2"/>
    <s v="63-683-7396"/>
    <s v="Livetube"/>
    <n v="65"/>
    <n v="88"/>
    <n v="20"/>
    <s v="$2.50 "/>
    <n v="2.5"/>
    <s v="1/28/2025"/>
    <d v="2025-01-28T00:00:00"/>
    <s v="11/20/2024"/>
    <d v="2024-11-20T00:00:00"/>
    <s v="7/29/2024"/>
    <d v="2024-07-29T00:00:00"/>
    <s v="71796 Waubesa Terrace"/>
    <n v="89"/>
    <n v="37"/>
    <s v="Backordered"/>
    <n v="222.5"/>
    <n v="162.5"/>
    <x v="0"/>
    <x v="13"/>
    <n v="-183"/>
    <s v="Invalid Data"/>
  </r>
  <r>
    <s v="99-033-5661"/>
    <x v="66"/>
    <x v="0"/>
    <s v="32-458-6452"/>
    <s v="Zava"/>
    <n v="42"/>
    <n v="3"/>
    <n v="21"/>
    <s v="$2.00 "/>
    <n v="2"/>
    <s v="9/19/2024"/>
    <d v="2024-09-19T00:00:00"/>
    <s v="1/27/2025"/>
    <d v="2025-01-27T00:00:00"/>
    <s v="9/25/2024"/>
    <d v="2024-09-25T00:00:00"/>
    <s v="289 Longview Point"/>
    <n v="35"/>
    <n v="22"/>
    <s v="Active"/>
    <n v="70"/>
    <n v="84"/>
    <x v="1"/>
    <x v="11"/>
    <n v="6"/>
    <s v="Critical"/>
  </r>
  <r>
    <s v="28-608-0039"/>
    <x v="35"/>
    <x v="2"/>
    <s v="26-796-0872"/>
    <s v="Avavee"/>
    <n v="63"/>
    <n v="60"/>
    <n v="54"/>
    <s v="$2.50 "/>
    <n v="2.5"/>
    <s v="12/26/2024"/>
    <d v="2024-12-26T00:00:00"/>
    <s v="5/21/2024"/>
    <d v="2024-05-21T00:00:00"/>
    <s v="4/15/2024"/>
    <d v="2024-04-15T00:00:00"/>
    <s v="31057 Roth Place"/>
    <n v="33"/>
    <n v="31"/>
    <s v="Backordered"/>
    <n v="82.5"/>
    <n v="157.5"/>
    <x v="1"/>
    <x v="6"/>
    <n v="-255"/>
    <s v="Invalid Data"/>
  </r>
  <r>
    <s v="35-529-2933"/>
    <x v="50"/>
    <x v="2"/>
    <s v="57-591-6452"/>
    <s v="Jabbersphere"/>
    <n v="85"/>
    <n v="54"/>
    <n v="18"/>
    <s v="$4.00 "/>
    <n v="4"/>
    <s v="7/28/2024"/>
    <d v="2024-07-28T00:00:00"/>
    <s v="10/23/2024"/>
    <d v="2024-10-23T00:00:00"/>
    <s v="7/13/2024"/>
    <d v="2024-07-13T00:00:00"/>
    <s v="2 School Drive"/>
    <n v="85"/>
    <n v="44"/>
    <s v="Discontinued"/>
    <n v="340"/>
    <n v="340"/>
    <x v="1"/>
    <x v="10"/>
    <n v="-15"/>
    <s v="Invalid Data"/>
  </r>
  <r>
    <s v="83-321-7887"/>
    <x v="9"/>
    <x v="4"/>
    <s v="70-444-9176"/>
    <s v="Yombu"/>
    <n v="44"/>
    <n v="75"/>
    <n v="72"/>
    <s v="$1.00 "/>
    <n v="1"/>
    <s v="12/14/2024"/>
    <d v="2024-12-14T00:00:00"/>
    <s v="11/29/2024"/>
    <d v="2024-11-29T00:00:00"/>
    <d v="2024-02-08T00:00:00"/>
    <d v="2024-02-08T00:00:00"/>
    <s v="35598 Fuller Terrace"/>
    <n v="96"/>
    <n v="38"/>
    <s v="Discontinued"/>
    <n v="96"/>
    <n v="44"/>
    <x v="0"/>
    <x v="6"/>
    <n v="-310"/>
    <s v="Invalid Data"/>
  </r>
  <r>
    <s v="43-910-2342"/>
    <x v="4"/>
    <x v="2"/>
    <s v="06-569-4690"/>
    <s v="Feedspan"/>
    <n v="26"/>
    <n v="69"/>
    <n v="90"/>
    <s v="$4.00 "/>
    <n v="4"/>
    <d v="2024-12-12T00:00:00"/>
    <d v="2024-12-12T00:00:00"/>
    <d v="2024-08-06T00:00:00"/>
    <d v="2024-08-06T00:00:00"/>
    <s v="7/19/2024"/>
    <d v="2024-07-19T00:00:00"/>
    <s v="46758 Hallows Center"/>
    <n v="47"/>
    <n v="35"/>
    <s v="Active"/>
    <n v="188"/>
    <n v="104"/>
    <x v="0"/>
    <x v="6"/>
    <n v="-146"/>
    <s v="Invalid Data"/>
  </r>
  <r>
    <s v="21-633-8696"/>
    <x v="111"/>
    <x v="0"/>
    <s v="89-468-2696"/>
    <s v="Topiclounge"/>
    <n v="49"/>
    <n v="59"/>
    <n v="73"/>
    <s v="$5.00 "/>
    <n v="5"/>
    <s v="4/18/2024"/>
    <d v="2024-04-18T00:00:00"/>
    <d v="2024-06-04T00:00:00"/>
    <d v="2024-06-04T00:00:00"/>
    <s v="5/26/2024"/>
    <d v="2024-05-26T00:00:00"/>
    <s v="08492 Gateway Terrace"/>
    <n v="93"/>
    <n v="45"/>
    <s v="Discontinued"/>
    <n v="465"/>
    <n v="245"/>
    <x v="0"/>
    <x v="4"/>
    <n v="38"/>
    <s v="High Risk"/>
  </r>
  <r>
    <s v="76-401-7083"/>
    <x v="75"/>
    <x v="2"/>
    <s v="29-156-0691"/>
    <s v="Meeveo"/>
    <n v="59"/>
    <n v="79"/>
    <n v="87"/>
    <s v="$6.00 "/>
    <n v="6"/>
    <d v="2024-03-09T00:00:00"/>
    <d v="2024-03-09T00:00:00"/>
    <d v="2024-03-10T00:00:00"/>
    <d v="2024-03-10T00:00:00"/>
    <s v="7/31/2024"/>
    <d v="2024-07-31T00:00:00"/>
    <s v="31892 Pennsylvania Street"/>
    <n v="47"/>
    <n v="18"/>
    <s v="Active"/>
    <n v="282"/>
    <n v="354"/>
    <x v="0"/>
    <x v="2"/>
    <n v="144"/>
    <s v="Medium Risk"/>
  </r>
  <r>
    <s v="92-551-8504"/>
    <x v="21"/>
    <x v="0"/>
    <s v="22-836-5101"/>
    <s v="Livepath"/>
    <n v="19"/>
    <n v="81"/>
    <n v="33"/>
    <s v="$1.50 "/>
    <n v="1.5"/>
    <s v="6/29/2024"/>
    <d v="2024-06-29T00:00:00"/>
    <s v="2/22/2025"/>
    <d v="2025-02-22T00:00:00"/>
    <s v="12/24/2024"/>
    <d v="2024-12-24T00:00:00"/>
    <s v="461 Bluejay Circle"/>
    <n v="39"/>
    <n v="85"/>
    <s v="Backordered"/>
    <n v="58.5"/>
    <n v="28.5"/>
    <x v="0"/>
    <x v="12"/>
    <n v="178"/>
    <s v="Medium Risk"/>
  </r>
  <r>
    <s v="76-264-0748"/>
    <x v="51"/>
    <x v="2"/>
    <s v="27-557-2375"/>
    <s v="Roombo"/>
    <n v="47"/>
    <n v="41"/>
    <n v="63"/>
    <s v="$3.00 "/>
    <n v="3"/>
    <s v="4/15/2024"/>
    <d v="2024-04-15T00:00:00"/>
    <d v="2024-01-06T00:00:00"/>
    <d v="2024-01-06T00:00:00"/>
    <d v="2025-09-01T00:00:00"/>
    <d v="2025-09-01T00:00:00"/>
    <s v="55 Morning Terrace"/>
    <n v="39"/>
    <n v="54"/>
    <s v="Active"/>
    <n v="117"/>
    <n v="141"/>
    <x v="1"/>
    <x v="4"/>
    <n v="504"/>
    <s v="Safe"/>
  </r>
  <r>
    <s v="88-586-8797"/>
    <x v="103"/>
    <x v="2"/>
    <s v="02-530-5932"/>
    <s v="Edgewire"/>
    <n v="98"/>
    <n v="62"/>
    <n v="97"/>
    <s v="$5.50 "/>
    <n v="5.5"/>
    <s v="3/30/2024"/>
    <d v="2024-03-30T00:00:00"/>
    <s v="8/25/2024"/>
    <d v="2024-08-25T00:00:00"/>
    <d v="2025-09-02T00:00:00"/>
    <d v="2025-09-02T00:00:00"/>
    <s v="9469 Bayside Plaza"/>
    <n v="59"/>
    <n v="19"/>
    <s v="Active"/>
    <n v="324.5"/>
    <n v="539"/>
    <x v="1"/>
    <x v="2"/>
    <n v="521"/>
    <s v="Safe"/>
  </r>
  <r>
    <s v="21-993-5632"/>
    <x v="94"/>
    <x v="2"/>
    <s v="26-860-4618"/>
    <s v="Innotype"/>
    <n v="51"/>
    <n v="72"/>
    <n v="85"/>
    <s v="$3.00 "/>
    <n v="3"/>
    <s v="3/23/2024"/>
    <d v="2024-03-23T00:00:00"/>
    <s v="4/14/2024"/>
    <d v="2024-04-14T00:00:00"/>
    <s v="10/23/2024"/>
    <d v="2024-10-23T00:00:00"/>
    <s v="16730 Luster Alley"/>
    <n v="23"/>
    <n v="17"/>
    <s v="Active"/>
    <n v="69"/>
    <n v="153"/>
    <x v="0"/>
    <x v="2"/>
    <n v="214"/>
    <s v="Low Risk"/>
  </r>
  <r>
    <s v="27-681-5588"/>
    <x v="95"/>
    <x v="6"/>
    <s v="89-959-2254"/>
    <s v="Flipopia"/>
    <n v="100"/>
    <n v="99"/>
    <n v="8"/>
    <s v="$10.00 "/>
    <n v="10"/>
    <s v="2/19/2025"/>
    <d v="2025-02-19T00:00:00"/>
    <s v="10/26/2024"/>
    <d v="2024-10-26T00:00:00"/>
    <d v="2024-07-12T00:00:00"/>
    <d v="2024-07-12T00:00:00"/>
    <s v="498 Delladonna Drive"/>
    <n v="54"/>
    <n v="92"/>
    <s v="Discontinued"/>
    <n v="540"/>
    <n v="1000"/>
    <x v="1"/>
    <x v="14"/>
    <n v="-222"/>
    <s v="Invalid Data"/>
  </r>
  <r>
    <s v="23-265-8144"/>
    <x v="109"/>
    <x v="4"/>
    <s v="31-524-1628"/>
    <s v="Jaxnation"/>
    <n v="55"/>
    <n v="50"/>
    <n v="56"/>
    <s v="$1.70 "/>
    <n v="1.7"/>
    <d v="2024-01-06T00:00:00"/>
    <d v="2024-01-06T00:00:00"/>
    <d v="2024-09-11T00:00:00"/>
    <d v="2024-09-11T00:00:00"/>
    <s v="10/25/2024"/>
    <d v="2024-10-25T00:00:00"/>
    <s v="14042 Dottie Avenue"/>
    <n v="62"/>
    <n v="26"/>
    <s v="Backordered"/>
    <n v="105.39999999999999"/>
    <n v="93.5"/>
    <x v="1"/>
    <x v="1"/>
    <n v="293"/>
    <s v="Low Risk"/>
  </r>
  <r>
    <s v="26-134-9069"/>
    <x v="68"/>
    <x v="4"/>
    <s v="80-068-0825"/>
    <s v="Devcast"/>
    <n v="14"/>
    <n v="87"/>
    <n v="8"/>
    <s v="$4.00 "/>
    <n v="4"/>
    <d v="2024-10-03T00:00:00"/>
    <d v="2024-10-03T00:00:00"/>
    <d v="2024-11-11T00:00:00"/>
    <d v="2024-11-11T00:00:00"/>
    <s v="1/30/2025"/>
    <d v="2025-01-30T00:00:00"/>
    <s v="4929 Westend Point"/>
    <n v="90"/>
    <n v="14"/>
    <s v="Active"/>
    <n v="360"/>
    <n v="56"/>
    <x v="0"/>
    <x v="7"/>
    <n v="119"/>
    <s v="Medium Risk"/>
  </r>
  <r>
    <s v="76-623-7844"/>
    <x v="22"/>
    <x v="4"/>
    <s v="84-498-3849"/>
    <s v="Vinte"/>
    <n v="29"/>
    <n v="33"/>
    <n v="88"/>
    <s v="$0.80 "/>
    <n v="0.8"/>
    <s v="7/19/2024"/>
    <d v="2024-07-19T00:00:00"/>
    <s v="8/23/2024"/>
    <d v="2024-08-23T00:00:00"/>
    <s v="5/15/2024"/>
    <d v="2024-05-15T00:00:00"/>
    <s v="868 Swallow Point"/>
    <n v="50"/>
    <n v="35"/>
    <s v="Discontinued"/>
    <n v="40"/>
    <n v="23.200000000000003"/>
    <x v="0"/>
    <x v="10"/>
    <n v="-65"/>
    <s v="Invalid Data"/>
  </r>
  <r>
    <s v="88-977-0175"/>
    <x v="61"/>
    <x v="5"/>
    <s v="58-087-3463"/>
    <s v="Yodo"/>
    <n v="100"/>
    <n v="1"/>
    <n v="26"/>
    <s v="$5.00 "/>
    <n v="5"/>
    <d v="2024-02-08T00:00:00"/>
    <d v="2024-02-08T00:00:00"/>
    <s v="3/21/2024"/>
    <d v="2024-03-21T00:00:00"/>
    <s v="7/19/2024"/>
    <d v="2024-07-19T00:00:00"/>
    <s v="7561 5th Terrace"/>
    <n v="47"/>
    <n v="79"/>
    <s v="Active"/>
    <n v="235"/>
    <n v="500"/>
    <x v="1"/>
    <x v="9"/>
    <n v="162"/>
    <s v="Medium Risk"/>
  </r>
  <r>
    <s v="12-714-5135"/>
    <x v="47"/>
    <x v="4"/>
    <s v="97-055-2756"/>
    <s v="Janyx"/>
    <n v="49"/>
    <n v="28"/>
    <n v="74"/>
    <s v="$6.00 "/>
    <n v="6"/>
    <d v="2025-09-01T00:00:00"/>
    <d v="2025-09-01T00:00:00"/>
    <s v="1/14/2025"/>
    <d v="2025-01-14T00:00:00"/>
    <s v="4/25/2024"/>
    <d v="2024-04-25T00:00:00"/>
    <s v="2003 Delladonna Pass"/>
    <n v="70"/>
    <n v="38"/>
    <s v="Discontinued"/>
    <n v="420"/>
    <n v="294"/>
    <x v="1"/>
    <x v="20"/>
    <n v="-494"/>
    <s v="Invalid Data"/>
  </r>
  <r>
    <s v="43-153-8268"/>
    <x v="87"/>
    <x v="3"/>
    <s v="19-809-5654"/>
    <s v="Abata"/>
    <n v="75"/>
    <n v="61"/>
    <n v="19"/>
    <s v="$2.00 "/>
    <n v="2"/>
    <s v="2/23/2025"/>
    <d v="2025-02-23T00:00:00"/>
    <s v="1/29/2025"/>
    <d v="2025-01-29T00:00:00"/>
    <d v="2024-02-10T00:00:00"/>
    <d v="2024-02-10T00:00:00"/>
    <s v="29815 Bonner Trail"/>
    <n v="79"/>
    <n v="69"/>
    <s v="Backordered"/>
    <n v="158"/>
    <n v="150"/>
    <x v="1"/>
    <x v="14"/>
    <n v="-379"/>
    <s v="Invalid Data"/>
  </r>
  <r>
    <s v="95-130-9020"/>
    <x v="52"/>
    <x v="4"/>
    <s v="75-985-6744"/>
    <s v="Youbridge"/>
    <n v="82"/>
    <n v="12"/>
    <n v="94"/>
    <s v="$4.10 "/>
    <n v="4.0999999999999996"/>
    <s v="2/28/2024"/>
    <d v="2024-02-28T00:00:00"/>
    <s v="6/20/2024"/>
    <d v="2024-06-20T00:00:00"/>
    <s v="1/21/2025"/>
    <d v="2025-01-21T00:00:00"/>
    <s v="2 Canary Street"/>
    <n v="69"/>
    <n v="93"/>
    <s v="Active"/>
    <n v="282.89999999999998"/>
    <n v="336.2"/>
    <x v="1"/>
    <x v="9"/>
    <n v="328"/>
    <s v="Low Risk"/>
  </r>
  <r>
    <s v="82-678-8097"/>
    <x v="67"/>
    <x v="4"/>
    <s v="65-403-0311"/>
    <s v="Feedmix"/>
    <n v="68"/>
    <n v="82"/>
    <n v="58"/>
    <s v="$4.80 "/>
    <n v="4.8"/>
    <d v="2024-08-04T00:00:00"/>
    <d v="2024-08-04T00:00:00"/>
    <s v="8/24/2024"/>
    <d v="2024-08-24T00:00:00"/>
    <d v="2024-05-04T00:00:00"/>
    <d v="2024-05-04T00:00:00"/>
    <s v="6172 Hovde Circle"/>
    <n v="90"/>
    <n v="2"/>
    <s v="Backordered"/>
    <n v="432"/>
    <n v="326.39999999999998"/>
    <x v="0"/>
    <x v="0"/>
    <n v="-92"/>
    <s v="Invalid Data"/>
  </r>
  <r>
    <s v="21-693-8216"/>
    <x v="6"/>
    <x v="3"/>
    <s v="62-599-8388"/>
    <s v="Twinte"/>
    <n v="70"/>
    <n v="96"/>
    <n v="85"/>
    <s v="$2.50 "/>
    <n v="2.5"/>
    <s v="2/26/2024"/>
    <d v="2024-02-26T00:00:00"/>
    <d v="2024-03-09T00:00:00"/>
    <d v="2024-03-09T00:00:00"/>
    <s v="10/27/2024"/>
    <d v="2024-10-27T00:00:00"/>
    <s v="32468 Utah Pass"/>
    <n v="34"/>
    <n v="3"/>
    <s v="Active"/>
    <n v="85"/>
    <n v="175"/>
    <x v="0"/>
    <x v="9"/>
    <n v="244"/>
    <s v="Low Risk"/>
  </r>
  <r>
    <s v="56-831-6199"/>
    <x v="115"/>
    <x v="6"/>
    <s v="99-680-2351"/>
    <s v="Innojam"/>
    <n v="49"/>
    <n v="48"/>
    <n v="62"/>
    <s v="$15.00 "/>
    <n v="15"/>
    <s v="9/16/2024"/>
    <d v="2024-09-16T00:00:00"/>
    <s v="2/25/2024"/>
    <d v="2024-02-25T00:00:00"/>
    <s v="8/14/2024"/>
    <d v="2024-08-14T00:00:00"/>
    <s v="1247 Hoard Hill"/>
    <n v="96"/>
    <n v="37"/>
    <s v="Active"/>
    <n v="1440"/>
    <n v="735"/>
    <x v="1"/>
    <x v="11"/>
    <n v="-33"/>
    <s v="Invalid Data"/>
  </r>
  <r>
    <s v="81-268-5905"/>
    <x v="101"/>
    <x v="6"/>
    <s v="36-138-9045"/>
    <s v="Kazio"/>
    <n v="89"/>
    <n v="26"/>
    <n v="36"/>
    <s v="$7.50 "/>
    <n v="7.5"/>
    <s v="10/24/2024"/>
    <d v="2024-10-24T00:00:00"/>
    <s v="7/30/2024"/>
    <d v="2024-07-30T00:00:00"/>
    <s v="6/14/2024"/>
    <d v="2024-06-14T00:00:00"/>
    <s v="85953 Clyde Gallagher Drive"/>
    <n v="48"/>
    <n v="94"/>
    <s v="Active"/>
    <n v="360"/>
    <n v="667.5"/>
    <x v="1"/>
    <x v="7"/>
    <n v="-132"/>
    <s v="Invalid Data"/>
  </r>
  <r>
    <s v="41-237-5498"/>
    <x v="62"/>
    <x v="4"/>
    <s v="38-643-1626"/>
    <s v="Omba"/>
    <n v="88"/>
    <n v="53"/>
    <n v="44"/>
    <s v="$9.00 "/>
    <n v="9"/>
    <d v="2025-04-01T00:00:00"/>
    <d v="2025-04-01T00:00:00"/>
    <s v="12/24/2024"/>
    <d v="2024-12-24T00:00:00"/>
    <d v="2025-06-02T00:00:00"/>
    <d v="2025-06-02T00:00:00"/>
    <s v="29817 Coleman Drive"/>
    <n v="56"/>
    <n v="14"/>
    <s v="Discontinued"/>
    <n v="504"/>
    <n v="792"/>
    <x v="1"/>
    <x v="16"/>
    <n v="62"/>
    <s v="High Risk"/>
  </r>
  <r>
    <s v="32-987-5559"/>
    <x v="85"/>
    <x v="1"/>
    <s v="01-665-0053"/>
    <s v="Zoovu"/>
    <n v="39"/>
    <n v="88"/>
    <n v="100"/>
    <s v="$8.00 "/>
    <n v="8"/>
    <s v="11/25/2024"/>
    <d v="2024-11-25T00:00:00"/>
    <s v="1/30/2025"/>
    <d v="2025-01-30T00:00:00"/>
    <s v="5/15/2024"/>
    <d v="2024-05-15T00:00:00"/>
    <s v="7 Hallows Alley"/>
    <n v="28"/>
    <n v="18"/>
    <s v="Backordered"/>
    <n v="224"/>
    <n v="312"/>
    <x v="0"/>
    <x v="5"/>
    <n v="-194"/>
    <s v="Invalid Data"/>
  </r>
  <r>
    <s v="71-436-5841"/>
    <x v="78"/>
    <x v="2"/>
    <s v="87-546-9674"/>
    <s v="Dynabox"/>
    <n v="87"/>
    <n v="91"/>
    <n v="94"/>
    <s v="$2.50 "/>
    <n v="2.5"/>
    <d v="2024-04-07T00:00:00"/>
    <d v="2024-04-07T00:00:00"/>
    <s v="9/25/2024"/>
    <d v="2024-09-25T00:00:00"/>
    <s v="6/25/2024"/>
    <d v="2024-06-25T00:00:00"/>
    <s v="52 Victoria Plaza"/>
    <n v="47"/>
    <n v="4"/>
    <s v="Discontinued"/>
    <n v="117.5"/>
    <n v="217.5"/>
    <x v="0"/>
    <x v="4"/>
    <n v="79"/>
    <s v="High Risk"/>
  </r>
  <r>
    <s v="63-890-1246"/>
    <x v="24"/>
    <x v="5"/>
    <s v="29-273-1595"/>
    <s v="Vidoo"/>
    <n v="93"/>
    <n v="50"/>
    <n v="43"/>
    <s v="$5.00 "/>
    <n v="5"/>
    <s v="6/27/2024"/>
    <d v="2024-06-27T00:00:00"/>
    <s v="5/16/2024"/>
    <d v="2024-05-16T00:00:00"/>
    <d v="2024-09-10T00:00:00"/>
    <d v="2024-09-10T00:00:00"/>
    <s v="3 Melrose Trail"/>
    <n v="76"/>
    <n v="35"/>
    <s v="Discontinued"/>
    <n v="380"/>
    <n v="465"/>
    <x v="1"/>
    <x v="12"/>
    <n v="75"/>
    <s v="High Risk"/>
  </r>
  <r>
    <s v="65-368-2479"/>
    <x v="89"/>
    <x v="4"/>
    <s v="99-570-8162"/>
    <s v="Browsedrive"/>
    <n v="23"/>
    <n v="21"/>
    <n v="59"/>
    <s v="$2.40 "/>
    <n v="2.4"/>
    <s v="8/15/2024"/>
    <d v="2024-08-15T00:00:00"/>
    <d v="2024-10-03T00:00:00"/>
    <d v="2024-10-03T00:00:00"/>
    <d v="2024-07-10T00:00:00"/>
    <d v="2024-07-10T00:00:00"/>
    <s v="231 Merry Pass"/>
    <n v="81"/>
    <n v="8"/>
    <s v="Active"/>
    <n v="194.4"/>
    <n v="55.199999999999996"/>
    <x v="1"/>
    <x v="0"/>
    <n v="-36"/>
    <s v="Invalid Data"/>
  </r>
  <r>
    <s v="74-562-7431"/>
    <x v="113"/>
    <x v="5"/>
    <s v="66-174-9633"/>
    <s v="Linkbridge"/>
    <n v="94"/>
    <n v="34"/>
    <n v="21"/>
    <s v="$5.50 "/>
    <n v="5.5"/>
    <s v="3/18/2024"/>
    <d v="2024-03-18T00:00:00"/>
    <s v="3/20/2024"/>
    <d v="2024-03-20T00:00:00"/>
    <d v="2024-01-11T00:00:00"/>
    <d v="2024-01-11T00:00:00"/>
    <s v="79 Ronald Regan Avenue"/>
    <n v="74"/>
    <n v="70"/>
    <s v="Backordered"/>
    <n v="407"/>
    <n v="517"/>
    <x v="1"/>
    <x v="2"/>
    <n v="-67"/>
    <s v="Invalid Data"/>
  </r>
  <r>
    <s v="51-583-6029"/>
    <x v="99"/>
    <x v="5"/>
    <s v="78-024-3286"/>
    <s v="Kanoodle"/>
    <n v="38"/>
    <n v="43"/>
    <n v="91"/>
    <s v="$4.00 "/>
    <n v="4"/>
    <s v="4/20/2024"/>
    <d v="2024-04-20T00:00:00"/>
    <s v="8/18/2024"/>
    <d v="2024-08-18T00:00:00"/>
    <s v="2/18/2025"/>
    <d v="2025-02-18T00:00:00"/>
    <s v="83894 Delaware Plaza"/>
    <n v="72"/>
    <n v="64"/>
    <s v="Active"/>
    <n v="288"/>
    <n v="152"/>
    <x v="0"/>
    <x v="4"/>
    <n v="304"/>
    <s v="Low Risk"/>
  </r>
  <r>
    <s v="06-996-3221"/>
    <x v="107"/>
    <x v="4"/>
    <s v="97-821-7402"/>
    <s v="Buzzshare"/>
    <n v="11"/>
    <n v="9"/>
    <n v="65"/>
    <s v="$2.00 "/>
    <n v="2"/>
    <s v="10/13/2024"/>
    <d v="2024-10-13T00:00:00"/>
    <d v="2024-04-12T00:00:00"/>
    <d v="2024-04-12T00:00:00"/>
    <d v="2024-10-06T00:00:00"/>
    <d v="2024-10-06T00:00:00"/>
    <s v="579 Schlimgen Alley"/>
    <n v="48"/>
    <n v="96"/>
    <s v="Discontinued"/>
    <n v="96"/>
    <n v="22"/>
    <x v="1"/>
    <x v="7"/>
    <n v="-7"/>
    <s v="Invalid Data"/>
  </r>
  <r>
    <s v="96-334-2593"/>
    <x v="48"/>
    <x v="1"/>
    <s v="64-831-3071"/>
    <s v="Rhycero"/>
    <n v="60"/>
    <n v="27"/>
    <n v="58"/>
    <s v="$25.30 "/>
    <n v="25.3"/>
    <s v="12/26/2024"/>
    <d v="2024-12-26T00:00:00"/>
    <s v="6/27/2024"/>
    <d v="2024-06-27T00:00:00"/>
    <s v="11/19/2024"/>
    <d v="2024-11-19T00:00:00"/>
    <s v="9559 Muir Trail"/>
    <n v="43"/>
    <n v="91"/>
    <s v="Active"/>
    <n v="1087.9000000000001"/>
    <n v="1518"/>
    <x v="1"/>
    <x v="6"/>
    <n v="-37"/>
    <s v="Invalid Data"/>
  </r>
  <r>
    <s v="58-219-0241"/>
    <x v="80"/>
    <x v="3"/>
    <s v="42-523-1857"/>
    <s v="Twitterwire"/>
    <n v="50"/>
    <n v="36"/>
    <n v="81"/>
    <s v="$10.00 "/>
    <n v="10"/>
    <s v="9/26/2024"/>
    <d v="2024-09-26T00:00:00"/>
    <d v="2024-12-05T00:00:00"/>
    <d v="2024-12-05T00:00:00"/>
    <d v="2024-04-06T00:00:00"/>
    <d v="2024-04-06T00:00:00"/>
    <s v="938 Garrison Court"/>
    <n v="27"/>
    <n v="6"/>
    <s v="Discontinued"/>
    <n v="270"/>
    <n v="500"/>
    <x v="1"/>
    <x v="11"/>
    <n v="-173"/>
    <s v="Invalid Data"/>
  </r>
  <r>
    <s v="87-272-6544"/>
    <x v="7"/>
    <x v="4"/>
    <s v="93-699-8001"/>
    <s v="Skalith"/>
    <n v="90"/>
    <n v="3"/>
    <n v="49"/>
    <s v="$2.50 "/>
    <n v="2.5"/>
    <d v="2024-06-05T00:00:00"/>
    <d v="2024-06-05T00:00:00"/>
    <d v="2024-03-05T00:00:00"/>
    <d v="2024-03-05T00:00:00"/>
    <s v="2/13/2025"/>
    <d v="2025-02-13T00:00:00"/>
    <s v="4 Nelson Alley"/>
    <n v="51"/>
    <n v="87"/>
    <s v="Discontinued"/>
    <n v="127.5"/>
    <n v="225"/>
    <x v="1"/>
    <x v="12"/>
    <n v="253"/>
    <s v="Low Risk"/>
  </r>
  <r>
    <s v="95-357-2870"/>
    <x v="54"/>
    <x v="0"/>
    <s v="75-365-7696"/>
    <s v="Talane"/>
    <n v="86"/>
    <n v="80"/>
    <n v="80"/>
    <s v="$4.50 "/>
    <n v="4.5"/>
    <s v="3/18/2024"/>
    <d v="2024-03-18T00:00:00"/>
    <s v="5/13/2024"/>
    <d v="2024-05-13T00:00:00"/>
    <s v="5/20/2024"/>
    <d v="2024-05-20T00:00:00"/>
    <s v="87 Corben Street"/>
    <n v="22"/>
    <n v="67"/>
    <s v="Discontinued"/>
    <n v="99"/>
    <n v="387"/>
    <x v="1"/>
    <x v="2"/>
    <n v="63"/>
    <s v="High Risk"/>
  </r>
  <r>
    <s v="88-401-3700"/>
    <x v="78"/>
    <x v="2"/>
    <s v="39-299-6093"/>
    <s v="Jabberstorm"/>
    <n v="86"/>
    <n v="66"/>
    <n v="24"/>
    <s v="$2.50 "/>
    <n v="2.5"/>
    <s v="7/29/2024"/>
    <d v="2024-07-29T00:00:00"/>
    <d v="2025-04-02T00:00:00"/>
    <d v="2025-04-02T00:00:00"/>
    <s v="1/20/2025"/>
    <d v="2025-01-20T00:00:00"/>
    <s v="39014 Randy Court"/>
    <n v="30"/>
    <n v="6"/>
    <s v="Discontinued"/>
    <n v="75"/>
    <n v="215"/>
    <x v="1"/>
    <x v="10"/>
    <n v="175"/>
    <s v="Medium Risk"/>
  </r>
  <r>
    <s v="72-404-5581"/>
    <x v="69"/>
    <x v="0"/>
    <s v="18-065-8014"/>
    <s v="Pixonyx"/>
    <n v="54"/>
    <n v="17"/>
    <n v="90"/>
    <s v="$9.50 "/>
    <n v="9.5"/>
    <s v="1/23/2025"/>
    <d v="2025-01-23T00:00:00"/>
    <d v="2024-07-08T00:00:00"/>
    <d v="2024-07-08T00:00:00"/>
    <d v="2025-08-02T00:00:00"/>
    <d v="2025-08-02T00:00:00"/>
    <s v="879 Amoth Terrace"/>
    <n v="60"/>
    <n v="20"/>
    <s v="Active"/>
    <n v="570"/>
    <n v="513"/>
    <x v="1"/>
    <x v="13"/>
    <n v="191"/>
    <s v="Low Risk"/>
  </r>
  <r>
    <s v="11-766-8738"/>
    <x v="94"/>
    <x v="2"/>
    <s v="96-393-1428"/>
    <s v="Jabbersphere"/>
    <n v="27"/>
    <n v="64"/>
    <n v="43"/>
    <s v="$3.00 "/>
    <n v="3"/>
    <s v="11/14/2024"/>
    <d v="2024-11-14T00:00:00"/>
    <s v="11/30/2024"/>
    <d v="2024-11-30T00:00:00"/>
    <s v="3/22/2024"/>
    <d v="2024-03-22T00:00:00"/>
    <s v="20 Nelson Way"/>
    <n v="70"/>
    <n v="58"/>
    <s v="Discontinued"/>
    <n v="210"/>
    <n v="81"/>
    <x v="0"/>
    <x v="5"/>
    <n v="-237"/>
    <s v="Invalid Data"/>
  </r>
  <r>
    <s v="15-796-3130"/>
    <x v="11"/>
    <x v="5"/>
    <s v="45-912-2948"/>
    <s v="Kwilith"/>
    <n v="50"/>
    <n v="58"/>
    <n v="78"/>
    <s v="$3.00 "/>
    <n v="3"/>
    <s v="10/14/2024"/>
    <d v="2024-10-14T00:00:00"/>
    <s v="4/17/2024"/>
    <d v="2024-04-17T00:00:00"/>
    <s v="5/29/2024"/>
    <d v="2024-05-29T00:00:00"/>
    <s v="85 Lunder Court"/>
    <n v="83"/>
    <n v="49"/>
    <s v="Active"/>
    <n v="249"/>
    <n v="150"/>
    <x v="0"/>
    <x v="7"/>
    <n v="-138"/>
    <s v="Invalid Data"/>
  </r>
  <r>
    <s v="73-751-4393"/>
    <x v="31"/>
    <x v="2"/>
    <s v="14-486-5626"/>
    <s v="Skyndu"/>
    <n v="68"/>
    <n v="10"/>
    <n v="29"/>
    <s v="$2.00 "/>
    <n v="2"/>
    <s v="10/31/2024"/>
    <d v="2024-10-31T00:00:00"/>
    <d v="2024-07-06T00:00:00"/>
    <d v="2024-07-06T00:00:00"/>
    <s v="3/23/2024"/>
    <d v="2024-03-23T00:00:00"/>
    <s v="03 Roth Court"/>
    <n v="37"/>
    <n v="11"/>
    <s v="Discontinued"/>
    <n v="74"/>
    <n v="136"/>
    <x v="1"/>
    <x v="7"/>
    <n v="-222"/>
    <s v="Invalid Data"/>
  </r>
  <r>
    <s v="62-100-2245"/>
    <x v="40"/>
    <x v="5"/>
    <s v="18-110-8314"/>
    <s v="Meevee"/>
    <n v="22"/>
    <n v="60"/>
    <n v="73"/>
    <s v="$4.20 "/>
    <n v="4.2"/>
    <d v="2024-09-07T00:00:00"/>
    <d v="2024-09-07T00:00:00"/>
    <d v="2024-08-11T00:00:00"/>
    <d v="2024-08-11T00:00:00"/>
    <d v="2024-12-07T00:00:00"/>
    <d v="2024-12-07T00:00:00"/>
    <s v="56830 Fremont Road"/>
    <n v="62"/>
    <n v="3"/>
    <s v="Backordered"/>
    <n v="260.40000000000003"/>
    <n v="92.4"/>
    <x v="0"/>
    <x v="11"/>
    <n v="91"/>
    <s v="Medium Risk"/>
  </r>
  <r>
    <s v="08-961-3009"/>
    <x v="62"/>
    <x v="4"/>
    <s v="41-825-5869"/>
    <s v="Eimbee"/>
    <n v="50"/>
    <n v="14"/>
    <n v="6"/>
    <s v="$9.20 "/>
    <n v="9.1999999999999993"/>
    <d v="2024-02-06T00:00:00"/>
    <d v="2024-02-06T00:00:00"/>
    <s v="12/19/2024"/>
    <d v="2024-12-19T00:00:00"/>
    <d v="2024-08-09T00:00:00"/>
    <d v="2024-08-09T00:00:00"/>
    <s v="01 Gateway Plaza"/>
    <n v="60"/>
    <n v="72"/>
    <s v="Backordered"/>
    <n v="552"/>
    <n v="459.99999999999994"/>
    <x v="1"/>
    <x v="9"/>
    <n v="185"/>
    <s v="Low Risk"/>
  </r>
  <r>
    <s v="33-440-2588"/>
    <x v="53"/>
    <x v="2"/>
    <s v="68-596-5506"/>
    <s v="Tagpad"/>
    <n v="26"/>
    <n v="12"/>
    <n v="43"/>
    <s v="$4.40 "/>
    <n v="4.4000000000000004"/>
    <s v="1/17/2025"/>
    <d v="2025-01-17T00:00:00"/>
    <s v="9/16/2024"/>
    <d v="2024-09-16T00:00:00"/>
    <s v="2/24/2025"/>
    <d v="2025-02-24T00:00:00"/>
    <s v="4 6th Plaza"/>
    <n v="73"/>
    <n v="20"/>
    <s v="Backordered"/>
    <n v="321.20000000000005"/>
    <n v="114.4"/>
    <x v="1"/>
    <x v="13"/>
    <n v="38"/>
    <s v="High Risk"/>
  </r>
  <r>
    <s v="24-009-1208"/>
    <x v="48"/>
    <x v="1"/>
    <s v="96-405-4286"/>
    <s v="Aivee"/>
    <n v="62"/>
    <n v="31"/>
    <n v="24"/>
    <s v="$25.00 "/>
    <n v="25"/>
    <s v="4/30/2024"/>
    <d v="2024-04-30T00:00:00"/>
    <d v="2024-10-06T00:00:00"/>
    <d v="2024-10-06T00:00:00"/>
    <d v="2025-06-02T00:00:00"/>
    <d v="2025-06-02T00:00:00"/>
    <s v="99 Duke Lane"/>
    <n v="89"/>
    <n v="100"/>
    <s v="Backordered"/>
    <n v="2225"/>
    <n v="1550"/>
    <x v="1"/>
    <x v="4"/>
    <n v="398"/>
    <s v="Safe"/>
  </r>
  <r>
    <s v="71-300-2191"/>
    <x v="50"/>
    <x v="2"/>
    <s v="98-677-4279"/>
    <s v="Yamia"/>
    <n v="79"/>
    <n v="72"/>
    <n v="6"/>
    <s v="$4.00 "/>
    <n v="4"/>
    <d v="2024-11-07T00:00:00"/>
    <d v="2024-11-07T00:00:00"/>
    <d v="2024-06-05T00:00:00"/>
    <d v="2024-06-05T00:00:00"/>
    <d v="2024-01-05T00:00:00"/>
    <d v="2024-01-05T00:00:00"/>
    <s v="7 Heffernan Drive"/>
    <n v="67"/>
    <n v="63"/>
    <s v="Active"/>
    <n v="268"/>
    <n v="316"/>
    <x v="1"/>
    <x v="5"/>
    <n v="-307"/>
    <s v="Invalid Data"/>
  </r>
  <r>
    <s v="74-430-8245"/>
    <x v="76"/>
    <x v="2"/>
    <s v="51-213-5660"/>
    <s v="Ainyx"/>
    <n v="73"/>
    <n v="90"/>
    <n v="77"/>
    <s v="$4.00 "/>
    <n v="4"/>
    <s v="2/26/2024"/>
    <d v="2024-02-26T00:00:00"/>
    <s v="8/15/2024"/>
    <d v="2024-08-15T00:00:00"/>
    <d v="2024-06-03T00:00:00"/>
    <d v="2024-06-03T00:00:00"/>
    <s v="7 Roxbury Circle"/>
    <n v="75"/>
    <n v="19"/>
    <s v="Backordered"/>
    <n v="300"/>
    <n v="292"/>
    <x v="0"/>
    <x v="9"/>
    <n v="98"/>
    <s v="Medium Risk"/>
  </r>
  <r>
    <s v="68-636-4774"/>
    <x v="45"/>
    <x v="2"/>
    <s v="40-436-0171"/>
    <s v="Gevee"/>
    <n v="18"/>
    <n v="50"/>
    <n v="77"/>
    <s v="$1.45 "/>
    <n v="1.45"/>
    <d v="2024-03-11T00:00:00"/>
    <d v="2024-03-11T00:00:00"/>
    <s v="8/30/2024"/>
    <d v="2024-08-30T00:00:00"/>
    <s v="2/19/2025"/>
    <d v="2025-02-19T00:00:00"/>
    <s v="7744 Oxford Pass"/>
    <n v="44"/>
    <n v="19"/>
    <s v="Active"/>
    <n v="63.8"/>
    <n v="26.099999999999998"/>
    <x v="0"/>
    <x v="2"/>
    <n v="345"/>
    <s v="Low Risk"/>
  </r>
  <r>
    <s v="38-655-2312"/>
    <x v="100"/>
    <x v="2"/>
    <s v="91-127-7174"/>
    <s v="Dabshots"/>
    <n v="79"/>
    <n v="74"/>
    <n v="87"/>
    <s v="$4.00 "/>
    <n v="4"/>
    <d v="2024-07-08T00:00:00"/>
    <d v="2024-07-08T00:00:00"/>
    <d v="2024-09-04T00:00:00"/>
    <d v="2024-09-04T00:00:00"/>
    <s v="10/18/2024"/>
    <d v="2024-10-18T00:00:00"/>
    <s v="17 Reinke Circle"/>
    <n v="80"/>
    <n v="26"/>
    <s v="Backordered"/>
    <n v="320"/>
    <n v="316"/>
    <x v="1"/>
    <x v="10"/>
    <n v="102"/>
    <s v="Medium Risk"/>
  </r>
  <r>
    <s v="16-632-1308"/>
    <x v="1"/>
    <x v="1"/>
    <s v="45-903-0036"/>
    <s v="Voonyx"/>
    <n v="23"/>
    <n v="13"/>
    <n v="15"/>
    <s v="$20.00 "/>
    <n v="20"/>
    <s v="3/27/2024"/>
    <d v="2024-03-27T00:00:00"/>
    <s v="5/21/2024"/>
    <d v="2024-05-21T00:00:00"/>
    <s v="11/21/2024"/>
    <d v="2024-11-21T00:00:00"/>
    <s v="60094 Goodland Junction"/>
    <n v="31"/>
    <n v="28"/>
    <s v="Backordered"/>
    <n v="620"/>
    <n v="460"/>
    <x v="1"/>
    <x v="2"/>
    <n v="239"/>
    <s v="Low Risk"/>
  </r>
  <r>
    <s v="37-606-0510"/>
    <x v="102"/>
    <x v="4"/>
    <s v="09-489-6314"/>
    <s v="Jabbercube"/>
    <n v="18"/>
    <n v="64"/>
    <n v="86"/>
    <s v="$1.00 "/>
    <n v="1"/>
    <s v="9/13/2024"/>
    <d v="2024-09-13T00:00:00"/>
    <d v="2024-09-06T00:00:00"/>
    <d v="2024-09-06T00:00:00"/>
    <d v="2024-09-11T00:00:00"/>
    <d v="2024-09-11T00:00:00"/>
    <s v="53 Homewood Alley"/>
    <n v="73"/>
    <n v="38"/>
    <s v="Active"/>
    <n v="73"/>
    <n v="18"/>
    <x v="0"/>
    <x v="11"/>
    <n v="-2"/>
    <s v="Invalid Data"/>
  </r>
  <r>
    <s v="36-296-9609"/>
    <x v="97"/>
    <x v="3"/>
    <s v="46-041-1131"/>
    <s v="Photofeed"/>
    <n v="24"/>
    <n v="35"/>
    <n v="14"/>
    <s v="$2.50 "/>
    <n v="2.5"/>
    <d v="2024-04-05T00:00:00"/>
    <d v="2024-04-05T00:00:00"/>
    <s v="6/24/2024"/>
    <d v="2024-06-24T00:00:00"/>
    <d v="2024-01-12T00:00:00"/>
    <d v="2024-01-12T00:00:00"/>
    <s v="7 Rutledge Pass"/>
    <n v="91"/>
    <n v="71"/>
    <s v="Backordered"/>
    <n v="227.5"/>
    <n v="60"/>
    <x v="0"/>
    <x v="4"/>
    <n v="-84"/>
    <s v="Invalid Data"/>
  </r>
  <r>
    <s v="22-329-7791"/>
    <x v="94"/>
    <x v="2"/>
    <s v="72-013-2438"/>
    <s v="Eidel"/>
    <n v="53"/>
    <n v="41"/>
    <n v="30"/>
    <s v="$3.00 "/>
    <n v="3"/>
    <s v="3/16/2024"/>
    <d v="2024-03-16T00:00:00"/>
    <s v="1/13/2025"/>
    <d v="2025-01-13T00:00:00"/>
    <s v="9/19/2024"/>
    <d v="2024-09-19T00:00:00"/>
    <s v="50687 Porter Park"/>
    <n v="24"/>
    <n v="77"/>
    <s v="Discontinued"/>
    <n v="72"/>
    <n v="159"/>
    <x v="1"/>
    <x v="2"/>
    <n v="187"/>
    <s v="Low Risk"/>
  </r>
  <r>
    <s v="56-894-3733"/>
    <x v="109"/>
    <x v="4"/>
    <s v="57-133-8386"/>
    <s v="Skinte"/>
    <n v="85"/>
    <n v="83"/>
    <n v="13"/>
    <s v="$1.75 "/>
    <n v="1.75"/>
    <d v="2024-05-04T00:00:00"/>
    <d v="2024-05-04T00:00:00"/>
    <s v="3/17/2024"/>
    <d v="2024-03-17T00:00:00"/>
    <d v="2025-02-02T00:00:00"/>
    <d v="2025-02-02T00:00:00"/>
    <s v="897 Independence Circle"/>
    <n v="49"/>
    <n v="75"/>
    <s v="Backordered"/>
    <n v="85.75"/>
    <n v="148.75"/>
    <x v="1"/>
    <x v="8"/>
    <n v="274"/>
    <s v="Low Risk"/>
  </r>
  <r>
    <s v="06-858-5680"/>
    <x v="90"/>
    <x v="3"/>
    <s v="63-231-2829"/>
    <s v="Miboo"/>
    <n v="15"/>
    <n v="34"/>
    <n v="57"/>
    <s v="$6.50 "/>
    <n v="6.5"/>
    <s v="8/22/2024"/>
    <d v="2024-08-22T00:00:00"/>
    <d v="2025-12-01T00:00:00"/>
    <d v="2025-12-01T00:00:00"/>
    <s v="1/16/2025"/>
    <d v="2025-01-16T00:00:00"/>
    <s v="49476 Tony Hill"/>
    <n v="49"/>
    <n v="96"/>
    <s v="Discontinued"/>
    <n v="318.5"/>
    <n v="97.5"/>
    <x v="0"/>
    <x v="0"/>
    <n v="147"/>
    <s v="Medium Risk"/>
  </r>
  <r>
    <s v="71-954-4501"/>
    <x v="95"/>
    <x v="6"/>
    <s v="26-135-6134"/>
    <s v="Quatz"/>
    <n v="66"/>
    <n v="49"/>
    <n v="41"/>
    <s v="$10.00 "/>
    <n v="10"/>
    <s v="6/27/2024"/>
    <d v="2024-06-27T00:00:00"/>
    <d v="2024-08-10T00:00:00"/>
    <d v="2024-08-10T00:00:00"/>
    <s v="7/26/2024"/>
    <d v="2024-07-26T00:00:00"/>
    <s v="290 Rusk Avenue"/>
    <n v="27"/>
    <n v="37"/>
    <s v="Discontinued"/>
    <n v="270"/>
    <n v="660"/>
    <x v="1"/>
    <x v="12"/>
    <n v="29"/>
    <s v="Critical"/>
  </r>
  <r>
    <s v="12-046-2988"/>
    <x v="6"/>
    <x v="3"/>
    <s v="37-630-2250"/>
    <s v="Youbridge"/>
    <n v="17"/>
    <n v="63"/>
    <n v="66"/>
    <s v="$2.50 "/>
    <n v="2.5"/>
    <s v="1/25/2025"/>
    <d v="2025-01-25T00:00:00"/>
    <s v="1/24/2025"/>
    <d v="2025-01-24T00:00:00"/>
    <s v="11/21/2024"/>
    <d v="2024-11-21T00:00:00"/>
    <s v="931 Browning Center"/>
    <n v="23"/>
    <n v="46"/>
    <s v="Backordered"/>
    <n v="57.5"/>
    <n v="42.5"/>
    <x v="0"/>
    <x v="13"/>
    <n v="-65"/>
    <s v="Invalid Data"/>
  </r>
  <r>
    <s v="95-356-1566"/>
    <x v="103"/>
    <x v="2"/>
    <s v="57-204-2098"/>
    <s v="Rhynyx"/>
    <n v="13"/>
    <n v="61"/>
    <n v="77"/>
    <s v="$5.50 "/>
    <n v="5.5"/>
    <s v="7/22/2024"/>
    <d v="2024-07-22T00:00:00"/>
    <s v="2/21/2025"/>
    <d v="2025-02-21T00:00:00"/>
    <s v="1/29/2025"/>
    <d v="2025-01-29T00:00:00"/>
    <s v="622 Buena Vista Trail"/>
    <n v="42"/>
    <n v="18"/>
    <s v="Backordered"/>
    <n v="231"/>
    <n v="71.5"/>
    <x v="0"/>
    <x v="10"/>
    <n v="191"/>
    <s v="Low Risk"/>
  </r>
  <r>
    <s v="34-291-4939"/>
    <x v="99"/>
    <x v="5"/>
    <s v="39-284-1614"/>
    <s v="Eimbee"/>
    <n v="34"/>
    <n v="49"/>
    <n v="27"/>
    <s v="$4.00 "/>
    <n v="4"/>
    <d v="2024-09-03T00:00:00"/>
    <d v="2024-09-03T00:00:00"/>
    <s v="11/24/2024"/>
    <d v="2024-11-24T00:00:00"/>
    <s v="2/13/2025"/>
    <d v="2025-02-13T00:00:00"/>
    <s v="983 Sommers Circle"/>
    <n v="78"/>
    <n v="20"/>
    <s v="Discontinued"/>
    <n v="312"/>
    <n v="136"/>
    <x v="0"/>
    <x v="11"/>
    <n v="163"/>
    <s v="Medium Risk"/>
  </r>
  <r>
    <s v="35-621-2546"/>
    <x v="15"/>
    <x v="4"/>
    <s v="14-190-2260"/>
    <s v="Skiptube"/>
    <n v="85"/>
    <n v="89"/>
    <n v="41"/>
    <s v="$8.00 "/>
    <n v="8"/>
    <s v="4/22/2024"/>
    <d v="2024-04-22T00:00:00"/>
    <d v="2024-07-04T00:00:00"/>
    <d v="2024-07-04T00:00:00"/>
    <s v="2/15/2025"/>
    <d v="2025-02-15T00:00:00"/>
    <s v="3 Fairfield Center"/>
    <n v="68"/>
    <n v="93"/>
    <s v="Discontinued"/>
    <n v="544"/>
    <n v="680"/>
    <x v="0"/>
    <x v="4"/>
    <n v="299"/>
    <s v="Low Risk"/>
  </r>
  <r>
    <s v="21-013-3508"/>
    <x v="19"/>
    <x v="2"/>
    <s v="64-489-8494"/>
    <s v="Meevee"/>
    <n v="12"/>
    <n v="95"/>
    <n v="49"/>
    <s v="$1.00 "/>
    <n v="1"/>
    <d v="2024-09-06T00:00:00"/>
    <d v="2024-09-06T00:00:00"/>
    <s v="6/13/2024"/>
    <d v="2024-06-13T00:00:00"/>
    <d v="2024-10-11T00:00:00"/>
    <d v="2024-10-11T00:00:00"/>
    <s v="84305 Fair Oaks Plaza"/>
    <n v="25"/>
    <n v="23"/>
    <s v="Backordered"/>
    <n v="25"/>
    <n v="12"/>
    <x v="0"/>
    <x v="11"/>
    <n v="35"/>
    <s v="High Risk"/>
  </r>
  <r>
    <s v="38-049-9319"/>
    <x v="24"/>
    <x v="5"/>
    <s v="90-447-5123"/>
    <s v="Trunyx"/>
    <n v="82"/>
    <n v="6"/>
    <n v="53"/>
    <s v="$5.00 "/>
    <n v="5"/>
    <d v="2024-07-11T00:00:00"/>
    <d v="2024-07-11T00:00:00"/>
    <s v="4/29/2024"/>
    <d v="2024-04-29T00:00:00"/>
    <d v="2024-09-05T00:00:00"/>
    <d v="2024-09-05T00:00:00"/>
    <s v="6 Lillian Junction"/>
    <n v="21"/>
    <n v="58"/>
    <s v="Active"/>
    <n v="105"/>
    <n v="410"/>
    <x v="1"/>
    <x v="10"/>
    <n v="56"/>
    <s v="High Risk"/>
  </r>
  <r>
    <s v="94-697-2396"/>
    <x v="40"/>
    <x v="5"/>
    <s v="34-161-7429"/>
    <s v="Zoomlounge"/>
    <n v="71"/>
    <n v="97"/>
    <n v="44"/>
    <s v="$4.00 "/>
    <n v="4"/>
    <s v="11/27/2024"/>
    <d v="2024-11-27T00:00:00"/>
    <s v="2/26/2024"/>
    <d v="2024-02-26T00:00:00"/>
    <d v="2024-07-07T00:00:00"/>
    <d v="2024-07-07T00:00:00"/>
    <s v="44 Thompson Terrace"/>
    <n v="58"/>
    <n v="14"/>
    <s v="Discontinued"/>
    <n v="232"/>
    <n v="284"/>
    <x v="0"/>
    <x v="5"/>
    <n v="-143"/>
    <s v="Invalid Data"/>
  </r>
  <r>
    <s v="33-807-7247"/>
    <x v="49"/>
    <x v="4"/>
    <s v="94-453-3755"/>
    <s v="Blogspan"/>
    <n v="58"/>
    <n v="17"/>
    <n v="26"/>
    <s v="$7.00 "/>
    <n v="7"/>
    <s v="6/23/2024"/>
    <d v="2024-06-23T00:00:00"/>
    <d v="2024-07-07T00:00:00"/>
    <d v="2024-07-07T00:00:00"/>
    <d v="2025-03-01T00:00:00"/>
    <d v="2025-03-01T00:00:00"/>
    <s v="63464 Jana Court"/>
    <n v="62"/>
    <n v="89"/>
    <s v="Backordered"/>
    <n v="434"/>
    <n v="406"/>
    <x v="1"/>
    <x v="12"/>
    <n v="251"/>
    <s v="Low Risk"/>
  </r>
  <r>
    <s v="62-816-8794"/>
    <x v="66"/>
    <x v="0"/>
    <s v="56-110-5754"/>
    <s v="Photobug"/>
    <n v="15"/>
    <n v="76"/>
    <n v="81"/>
    <s v="$2.00 "/>
    <n v="2"/>
    <s v="11/16/2024"/>
    <d v="2024-11-16T00:00:00"/>
    <s v="6/17/2024"/>
    <d v="2024-06-17T00:00:00"/>
    <d v="2025-06-02T00:00:00"/>
    <d v="2025-06-02T00:00:00"/>
    <s v="04 Blaine Lane"/>
    <n v="90"/>
    <n v="26"/>
    <s v="Backordered"/>
    <n v="180"/>
    <n v="30"/>
    <x v="0"/>
    <x v="5"/>
    <n v="198"/>
    <s v="Low Risk"/>
  </r>
  <r>
    <s v="33-507-9886"/>
    <x v="27"/>
    <x v="2"/>
    <s v="11-445-3951"/>
    <s v="Quinu"/>
    <n v="68"/>
    <n v="25"/>
    <n v="16"/>
    <s v="$3.50 "/>
    <n v="3.5"/>
    <d v="2024-04-04T00:00:00"/>
    <d v="2024-04-04T00:00:00"/>
    <s v="8/19/2024"/>
    <d v="2024-08-19T00:00:00"/>
    <s v="6/27/2024"/>
    <d v="2024-06-27T00:00:00"/>
    <s v="0584 Lindbergh Alley"/>
    <n v="25"/>
    <n v="83"/>
    <s v="Active"/>
    <n v="87.5"/>
    <n v="238"/>
    <x v="1"/>
    <x v="4"/>
    <n v="84"/>
    <s v="High Risk"/>
  </r>
  <r>
    <s v="40-003-7322"/>
    <x v="10"/>
    <x v="0"/>
    <s v="41-644-3129"/>
    <s v="Wordtune"/>
    <n v="13"/>
    <n v="32"/>
    <n v="79"/>
    <s v="$2.00 "/>
    <n v="2"/>
    <d v="2024-07-05T00:00:00"/>
    <d v="2024-07-05T00:00:00"/>
    <s v="2/16/2025"/>
    <d v="2025-02-16T00:00:00"/>
    <d v="2024-11-10T00:00:00"/>
    <d v="2024-11-10T00:00:00"/>
    <s v="2693 6th Court"/>
    <n v="38"/>
    <n v="61"/>
    <s v="Discontinued"/>
    <n v="76"/>
    <n v="26"/>
    <x v="0"/>
    <x v="10"/>
    <n v="128"/>
    <s v="Medium Risk"/>
  </r>
  <r>
    <s v="95-090-2788"/>
    <x v="90"/>
    <x v="3"/>
    <s v="95-715-6047"/>
    <s v="Dabtype"/>
    <n v="45"/>
    <n v="7"/>
    <n v="58"/>
    <s v="$6.50 "/>
    <n v="6.5"/>
    <d v="2024-02-09T00:00:00"/>
    <d v="2024-02-09T00:00:00"/>
    <d v="2024-05-04T00:00:00"/>
    <d v="2024-05-04T00:00:00"/>
    <s v="8/26/2024"/>
    <d v="2024-08-26T00:00:00"/>
    <s v="0313 Rockefeller Street"/>
    <n v="86"/>
    <n v="77"/>
    <s v="Discontinued"/>
    <n v="559"/>
    <n v="292.5"/>
    <x v="1"/>
    <x v="9"/>
    <n v="199"/>
    <s v="Low Risk"/>
  </r>
  <r>
    <s v="06-503-5891"/>
    <x v="7"/>
    <x v="4"/>
    <s v="19-098-2529"/>
    <s v="Babblestorm"/>
    <n v="40"/>
    <n v="22"/>
    <n v="74"/>
    <s v="$2.45 "/>
    <n v="2.4500000000000002"/>
    <s v="3/22/2024"/>
    <d v="2024-03-22T00:00:00"/>
    <s v="9/23/2024"/>
    <d v="2024-09-23T00:00:00"/>
    <s v="3/16/2024"/>
    <d v="2024-03-16T00:00:00"/>
    <s v="49646 Derek Lane"/>
    <n v="76"/>
    <n v="70"/>
    <s v="Backordered"/>
    <n v="186.20000000000002"/>
    <n v="98"/>
    <x v="1"/>
    <x v="2"/>
    <n v="-6"/>
    <s v="Invalid Data"/>
  </r>
  <r>
    <s v="38-555-9147"/>
    <x v="36"/>
    <x v="1"/>
    <s v="35-370-7603"/>
    <s v="Aimbu"/>
    <n v="62"/>
    <n v="23"/>
    <n v="25"/>
    <s v="$15.50 "/>
    <n v="15.5"/>
    <s v="7/23/2024"/>
    <d v="2024-07-23T00:00:00"/>
    <s v="4/29/2024"/>
    <d v="2024-04-29T00:00:00"/>
    <d v="2024-08-03T00:00:00"/>
    <d v="2024-08-03T00:00:00"/>
    <s v="0 Oneill Hill"/>
    <n v="34"/>
    <n v="68"/>
    <s v="Discontinued"/>
    <n v="527"/>
    <n v="961"/>
    <x v="1"/>
    <x v="10"/>
    <n v="11"/>
    <s v="Critical"/>
  </r>
  <r>
    <s v="64-854-8664"/>
    <x v="59"/>
    <x v="3"/>
    <s v="19-893-7698"/>
    <s v="Pixoboo"/>
    <n v="79"/>
    <n v="3"/>
    <n v="36"/>
    <s v="$4.00 "/>
    <n v="4"/>
    <s v="8/16/2024"/>
    <d v="2024-08-16T00:00:00"/>
    <s v="1/25/2025"/>
    <d v="2025-01-25T00:00:00"/>
    <s v="8/30/2024"/>
    <d v="2024-08-30T00:00:00"/>
    <s v="76 Independence Drive"/>
    <n v="46"/>
    <n v="29"/>
    <s v="Discontinued"/>
    <n v="184"/>
    <n v="316"/>
    <x v="1"/>
    <x v="0"/>
    <n v="14"/>
    <s v="Critical"/>
  </r>
  <r>
    <s v="50-942-2409"/>
    <x v="57"/>
    <x v="2"/>
    <s v="69-472-4067"/>
    <s v="Meedoo"/>
    <n v="75"/>
    <n v="91"/>
    <n v="68"/>
    <s v="$3.00 "/>
    <n v="3"/>
    <s v="10/31/2024"/>
    <d v="2024-10-31T00:00:00"/>
    <s v="4/23/2024"/>
    <d v="2024-04-23T00:00:00"/>
    <d v="2024-10-12T00:00:00"/>
    <d v="2024-10-12T00:00:00"/>
    <s v="7182 Summit Court"/>
    <n v="96"/>
    <n v="73"/>
    <s v="Backordered"/>
    <n v="288"/>
    <n v="225"/>
    <x v="0"/>
    <x v="7"/>
    <n v="-19"/>
    <s v="Invalid Data"/>
  </r>
  <r>
    <s v="17-493-4579"/>
    <x v="69"/>
    <x v="0"/>
    <s v="67-541-7091"/>
    <s v="Trudoo"/>
    <n v="76"/>
    <n v="8"/>
    <n v="2"/>
    <s v="$9.50 "/>
    <n v="9.5"/>
    <d v="2024-04-10T00:00:00"/>
    <d v="2024-04-10T00:00:00"/>
    <d v="2024-08-11T00:00:00"/>
    <d v="2024-08-11T00:00:00"/>
    <s v="5/28/2024"/>
    <d v="2024-05-28T00:00:00"/>
    <s v="4627 Amoth Circle"/>
    <n v="24"/>
    <n v="53"/>
    <s v="Active"/>
    <n v="228"/>
    <n v="722"/>
    <x v="1"/>
    <x v="4"/>
    <n v="48"/>
    <s v="High Risk"/>
  </r>
  <r>
    <s v="10-854-5467"/>
    <x v="79"/>
    <x v="3"/>
    <s v="40-443-3362"/>
    <s v="Realcube"/>
    <n v="96"/>
    <n v="51"/>
    <n v="40"/>
    <s v="$2.30 "/>
    <n v="2.2999999999999998"/>
    <s v="3/16/2024"/>
    <d v="2024-03-16T00:00:00"/>
    <d v="2024-04-05T00:00:00"/>
    <d v="2024-04-05T00:00:00"/>
    <s v="11/26/2024"/>
    <d v="2024-11-26T00:00:00"/>
    <s v="3 Oakridge Parkway"/>
    <n v="61"/>
    <n v="4"/>
    <s v="Discontinued"/>
    <n v="140.29999999999998"/>
    <n v="220.79999999999998"/>
    <x v="1"/>
    <x v="2"/>
    <n v="255"/>
    <s v="Low Risk"/>
  </r>
  <r>
    <s v="11-604-6002"/>
    <x v="79"/>
    <x v="3"/>
    <s v="50-862-4552"/>
    <s v="Kimia"/>
    <n v="69"/>
    <n v="17"/>
    <n v="27"/>
    <s v="$2.30 "/>
    <n v="2.2999999999999998"/>
    <s v="1/14/2025"/>
    <d v="2025-01-14T00:00:00"/>
    <s v="6/18/2024"/>
    <d v="2024-06-18T00:00:00"/>
    <s v="5/29/2024"/>
    <d v="2024-05-29T00:00:00"/>
    <s v="17640 Cottonwood Place"/>
    <n v="79"/>
    <n v="75"/>
    <s v="Backordered"/>
    <n v="181.7"/>
    <n v="158.69999999999999"/>
    <x v="1"/>
    <x v="13"/>
    <n v="-230"/>
    <s v="Invalid Data"/>
  </r>
  <r>
    <s v="44-305-1866"/>
    <x v="37"/>
    <x v="4"/>
    <s v="25-190-3172"/>
    <s v="Jayo"/>
    <n v="48"/>
    <n v="71"/>
    <n v="86"/>
    <s v="$3.00 "/>
    <n v="3"/>
    <s v="4/29/2024"/>
    <d v="2024-04-29T00:00:00"/>
    <d v="2024-02-07T00:00:00"/>
    <d v="2024-02-07T00:00:00"/>
    <s v="8/29/2024"/>
    <d v="2024-08-29T00:00:00"/>
    <s v="51205 Rieder Junction"/>
    <n v="95"/>
    <n v="3"/>
    <s v="Discontinued"/>
    <n v="285"/>
    <n v="144"/>
    <x v="0"/>
    <x v="4"/>
    <n v="122"/>
    <s v="Medium Risk"/>
  </r>
  <r>
    <s v="49-730-0159"/>
    <x v="58"/>
    <x v="4"/>
    <s v="62-766-8232"/>
    <s v="Riffpedia"/>
    <n v="82"/>
    <n v="3"/>
    <n v="82"/>
    <s v="$2.40 "/>
    <n v="2.4"/>
    <d v="2024-03-10T00:00:00"/>
    <d v="2024-03-10T00:00:00"/>
    <d v="2024-10-12T00:00:00"/>
    <d v="2024-10-12T00:00:00"/>
    <s v="8/26/2024"/>
    <d v="2024-08-26T00:00:00"/>
    <s v="09189 2nd Drive"/>
    <n v="48"/>
    <n v="31"/>
    <s v="Active"/>
    <n v="115.19999999999999"/>
    <n v="196.79999999999998"/>
    <x v="1"/>
    <x v="2"/>
    <n v="169"/>
    <s v="Medium Risk"/>
  </r>
  <r>
    <s v="70-534-7796"/>
    <x v="32"/>
    <x v="2"/>
    <s v="62-044-8874"/>
    <s v="Babblestorm"/>
    <n v="43"/>
    <n v="21"/>
    <n v="31"/>
    <s v="$2.50 "/>
    <n v="2.5"/>
    <s v="2/19/2025"/>
    <d v="2025-02-19T00:00:00"/>
    <s v="6/25/2024"/>
    <d v="2024-06-25T00:00:00"/>
    <s v="1/17/2025"/>
    <d v="2025-01-17T00:00:00"/>
    <s v="76106 Anthes Junction"/>
    <n v="22"/>
    <n v="25"/>
    <s v="Backordered"/>
    <n v="55"/>
    <n v="107.5"/>
    <x v="1"/>
    <x v="14"/>
    <n v="-33"/>
    <s v="Invalid Data"/>
  </r>
  <r>
    <s v="95-738-4658"/>
    <x v="43"/>
    <x v="1"/>
    <s v="67-404-3362"/>
    <s v="Skyndu"/>
    <n v="90"/>
    <n v="68"/>
    <n v="74"/>
    <s v="$12.00 "/>
    <n v="12"/>
    <d v="2024-02-04T00:00:00"/>
    <d v="2024-02-04T00:00:00"/>
    <s v="11/26/2024"/>
    <d v="2024-11-26T00:00:00"/>
    <s v="10/30/2024"/>
    <d v="2024-10-30T00:00:00"/>
    <s v="35 Golf Course Alley"/>
    <n v="81"/>
    <n v="26"/>
    <s v="Backordered"/>
    <n v="972"/>
    <n v="1080"/>
    <x v="1"/>
    <x v="9"/>
    <n v="269"/>
    <s v="Low Risk"/>
  </r>
  <r>
    <s v="20-405-4865"/>
    <x v="102"/>
    <x v="4"/>
    <s v="16-019-7101"/>
    <s v="Centimia"/>
    <n v="13"/>
    <n v="39"/>
    <n v="98"/>
    <s v="$0.90 "/>
    <n v="0.9"/>
    <d v="2024-02-06T00:00:00"/>
    <d v="2024-02-06T00:00:00"/>
    <d v="2024-05-11T00:00:00"/>
    <d v="2024-05-11T00:00:00"/>
    <s v="9/18/2024"/>
    <d v="2024-09-18T00:00:00"/>
    <s v="36483 Burning Wood Pass"/>
    <n v="46"/>
    <n v="46"/>
    <s v="Backordered"/>
    <n v="41.4"/>
    <n v="11.700000000000001"/>
    <x v="0"/>
    <x v="9"/>
    <n v="225"/>
    <s v="Low Risk"/>
  </r>
  <r>
    <s v="79-428-8753"/>
    <x v="19"/>
    <x v="2"/>
    <s v="29-521-7910"/>
    <s v="Skivee"/>
    <n v="62"/>
    <n v="79"/>
    <n v="95"/>
    <s v="$1.00 "/>
    <n v="1"/>
    <s v="5/16/2024"/>
    <d v="2024-05-16T00:00:00"/>
    <d v="2024-06-07T00:00:00"/>
    <d v="2024-06-07T00:00:00"/>
    <s v="12/30/2024"/>
    <d v="2024-12-30T00:00:00"/>
    <s v="9 Holmberg Circle"/>
    <n v="34"/>
    <n v="12"/>
    <s v="Active"/>
    <n v="34"/>
    <n v="62"/>
    <x v="0"/>
    <x v="8"/>
    <n v="228"/>
    <s v="Low Risk"/>
  </r>
  <r>
    <s v="10-626-8536"/>
    <x v="111"/>
    <x v="0"/>
    <s v="23-274-3305"/>
    <s v="Lazz"/>
    <n v="17"/>
    <n v="85"/>
    <n v="74"/>
    <s v="$5.00 "/>
    <n v="5"/>
    <d v="2024-01-05T00:00:00"/>
    <d v="2024-01-05T00:00:00"/>
    <s v="1/29/2025"/>
    <d v="2025-01-29T00:00:00"/>
    <s v="3/30/2024"/>
    <d v="2024-03-30T00:00:00"/>
    <s v="38583 2nd Pass"/>
    <n v="76"/>
    <n v="89"/>
    <s v="Active"/>
    <n v="380"/>
    <n v="85"/>
    <x v="0"/>
    <x v="1"/>
    <n v="85"/>
    <s v="High Risk"/>
  </r>
  <r>
    <s v="27-216-9671"/>
    <x v="90"/>
    <x v="3"/>
    <s v="40-773-7065"/>
    <s v="Skilith"/>
    <n v="100"/>
    <n v="86"/>
    <n v="94"/>
    <s v="$6.50 "/>
    <n v="6.5"/>
    <d v="2024-11-08T00:00:00"/>
    <d v="2024-11-08T00:00:00"/>
    <d v="2024-12-04T00:00:00"/>
    <d v="2024-12-04T00:00:00"/>
    <d v="2024-04-06T00:00:00"/>
    <d v="2024-04-06T00:00:00"/>
    <s v="4 Browning Terrace"/>
    <n v="77"/>
    <n v="57"/>
    <s v="Active"/>
    <n v="500.5"/>
    <n v="650"/>
    <x v="1"/>
    <x v="5"/>
    <n v="-216"/>
    <s v="Invalid Data"/>
  </r>
  <r>
    <s v="14-489-8669"/>
    <x v="5"/>
    <x v="0"/>
    <s v="28-436-5158"/>
    <s v="Wikibox"/>
    <n v="54"/>
    <n v="69"/>
    <n v="68"/>
    <s v="$1.75 "/>
    <n v="1.75"/>
    <s v="7/24/2024"/>
    <d v="2024-07-24T00:00:00"/>
    <d v="2024-05-11T00:00:00"/>
    <d v="2024-05-11T00:00:00"/>
    <s v="5/13/2024"/>
    <d v="2024-05-13T00:00:00"/>
    <s v="21629 Burrows Pass"/>
    <n v="77"/>
    <n v="56"/>
    <s v="Discontinued"/>
    <n v="134.75"/>
    <n v="94.5"/>
    <x v="0"/>
    <x v="10"/>
    <n v="-72"/>
    <s v="Invalid Data"/>
  </r>
  <r>
    <s v="46-632-8420"/>
    <x v="68"/>
    <x v="4"/>
    <s v="27-996-8883"/>
    <s v="Skippad"/>
    <n v="98"/>
    <n v="24"/>
    <n v="4"/>
    <s v="$4.10 "/>
    <n v="4.0999999999999996"/>
    <d v="2024-08-03T00:00:00"/>
    <d v="2024-08-03T00:00:00"/>
    <s v="12/21/2024"/>
    <d v="2024-12-21T00:00:00"/>
    <s v="5/23/2024"/>
    <d v="2024-05-23T00:00:00"/>
    <s v="9 Meadow Ridge Center"/>
    <n v="89"/>
    <n v="80"/>
    <s v="Active"/>
    <n v="364.9"/>
    <n v="401.79999999999995"/>
    <x v="1"/>
    <x v="0"/>
    <n v="-72"/>
    <s v="Invalid Data"/>
  </r>
  <r>
    <s v="39-192-3521"/>
    <x v="29"/>
    <x v="1"/>
    <s v="74-062-7176"/>
    <s v="Dynazzy"/>
    <n v="20"/>
    <n v="9"/>
    <n v="12"/>
    <s v="$30.50 "/>
    <n v="30.5"/>
    <s v="6/26/2024"/>
    <d v="2024-06-26T00:00:00"/>
    <s v="2/22/2025"/>
    <d v="2025-02-22T00:00:00"/>
    <s v="3/16/2024"/>
    <d v="2024-03-16T00:00:00"/>
    <s v="428 Oriole Avenue"/>
    <n v="46"/>
    <n v="32"/>
    <s v="Discontinued"/>
    <n v="1403"/>
    <n v="610"/>
    <x v="1"/>
    <x v="12"/>
    <n v="-102"/>
    <s v="Invalid Data"/>
  </r>
  <r>
    <s v="94-528-8088"/>
    <x v="30"/>
    <x v="6"/>
    <s v="68-885-5553"/>
    <s v="Zoovu"/>
    <n v="43"/>
    <n v="7"/>
    <n v="63"/>
    <s v="$9.00 "/>
    <n v="9"/>
    <s v="9/26/2024"/>
    <d v="2024-09-26T00:00:00"/>
    <s v="7/24/2024"/>
    <d v="2024-07-24T00:00:00"/>
    <d v="2024-08-03T00:00:00"/>
    <d v="2024-08-03T00:00:00"/>
    <s v="21379 Stoughton Junction"/>
    <n v="66"/>
    <n v="71"/>
    <s v="Active"/>
    <n v="594"/>
    <n v="387"/>
    <x v="1"/>
    <x v="11"/>
    <n v="-54"/>
    <s v="Invalid Data"/>
  </r>
  <r>
    <s v="74-305-1263"/>
    <x v="43"/>
    <x v="1"/>
    <s v="83-076-5024"/>
    <s v="Photobean"/>
    <n v="29"/>
    <n v="91"/>
    <n v="48"/>
    <s v="$12.00 "/>
    <n v="12"/>
    <d v="2024-05-10T00:00:00"/>
    <d v="2024-05-10T00:00:00"/>
    <d v="2024-10-07T00:00:00"/>
    <d v="2024-10-07T00:00:00"/>
    <s v="8/16/2024"/>
    <d v="2024-08-16T00:00:00"/>
    <s v="744 Lakewood Gardens Crossing"/>
    <n v="28"/>
    <n v="40"/>
    <s v="Active"/>
    <n v="336"/>
    <n v="348"/>
    <x v="0"/>
    <x v="8"/>
    <n v="98"/>
    <s v="Medium Risk"/>
  </r>
  <r>
    <s v="53-151-5726"/>
    <x v="103"/>
    <x v="2"/>
    <s v="93-180-4005"/>
    <s v="Flipopia"/>
    <n v="37"/>
    <n v="45"/>
    <n v="62"/>
    <s v="$5.50 "/>
    <n v="5.5"/>
    <d v="2024-08-12T00:00:00"/>
    <d v="2024-08-12T00:00:00"/>
    <d v="2025-12-01T00:00:00"/>
    <d v="2025-12-01T00:00:00"/>
    <s v="4/20/2024"/>
    <d v="2024-04-20T00:00:00"/>
    <s v="84239 Meadow Vale Trail"/>
    <n v="34"/>
    <n v="23"/>
    <s v="Backordered"/>
    <n v="187"/>
    <n v="203.5"/>
    <x v="0"/>
    <x v="0"/>
    <n v="-114"/>
    <s v="Invalid Data"/>
  </r>
  <r>
    <s v="02-085-7218"/>
    <x v="88"/>
    <x v="4"/>
    <s v="41-978-3326"/>
    <s v="Oyonder"/>
    <n v="85"/>
    <n v="28"/>
    <n v="32"/>
    <s v="$8.90 "/>
    <n v="8.9"/>
    <s v="1/17/2025"/>
    <d v="2025-01-17T00:00:00"/>
    <s v="6/25/2024"/>
    <d v="2024-06-25T00:00:00"/>
    <s v="1/28/2025"/>
    <d v="2025-01-28T00:00:00"/>
    <s v="2835 Schlimgen Parkway"/>
    <n v="57"/>
    <n v="41"/>
    <s v="Backordered"/>
    <n v="507.3"/>
    <n v="756.5"/>
    <x v="1"/>
    <x v="13"/>
    <n v="11"/>
    <s v="Critical"/>
  </r>
  <r>
    <s v="77-777-4536"/>
    <x v="96"/>
    <x v="0"/>
    <s v="64-396-5538"/>
    <s v="Skidoo"/>
    <n v="26"/>
    <n v="67"/>
    <n v="46"/>
    <s v="$4.40 "/>
    <n v="4.4000000000000004"/>
    <d v="2024-08-12T00:00:00"/>
    <d v="2024-08-12T00:00:00"/>
    <d v="2024-12-09T00:00:00"/>
    <d v="2024-12-09T00:00:00"/>
    <d v="2024-04-04T00:00:00"/>
    <d v="2024-04-04T00:00:00"/>
    <s v="4784 Farmco Alley"/>
    <n v="54"/>
    <n v="46"/>
    <s v="Backordered"/>
    <n v="237.60000000000002"/>
    <n v="114.4"/>
    <x v="0"/>
    <x v="0"/>
    <n v="-130"/>
    <s v="Invalid Data"/>
  </r>
  <r>
    <s v="86-482-6451"/>
    <x v="48"/>
    <x v="1"/>
    <s v="56-965-0404"/>
    <s v="Brightbean"/>
    <n v="91"/>
    <n v="78"/>
    <n v="61"/>
    <s v="$25.00 "/>
    <n v="25"/>
    <d v="2024-05-05T00:00:00"/>
    <d v="2024-05-05T00:00:00"/>
    <s v="10/27/2024"/>
    <d v="2024-10-27T00:00:00"/>
    <d v="2024-10-08T00:00:00"/>
    <d v="2024-10-08T00:00:00"/>
    <s v="5501 Fuller Way"/>
    <n v="63"/>
    <n v="15"/>
    <s v="Backordered"/>
    <n v="1575"/>
    <n v="2275"/>
    <x v="1"/>
    <x v="8"/>
    <n v="156"/>
    <s v="Medium Risk"/>
  </r>
  <r>
    <s v="36-127-4273"/>
    <x v="47"/>
    <x v="4"/>
    <s v="05-719-6858"/>
    <s v="Skimia"/>
    <n v="50"/>
    <n v="46"/>
    <n v="38"/>
    <s v="$6.20 "/>
    <n v="6.2"/>
    <d v="2024-01-10T00:00:00"/>
    <d v="2024-01-10T00:00:00"/>
    <d v="2024-03-07T00:00:00"/>
    <d v="2024-03-07T00:00:00"/>
    <s v="7/31/2024"/>
    <d v="2024-07-31T00:00:00"/>
    <s v="10342 Division Place"/>
    <n v="88"/>
    <n v="70"/>
    <s v="Active"/>
    <n v="545.6"/>
    <n v="310"/>
    <x v="1"/>
    <x v="1"/>
    <n v="203"/>
    <s v="Low Risk"/>
  </r>
  <r>
    <s v="03-061-1344"/>
    <x v="17"/>
    <x v="6"/>
    <s v="85-211-5357"/>
    <s v="Izio"/>
    <n v="98"/>
    <n v="65"/>
    <n v="76"/>
    <s v="$12.00 "/>
    <n v="12"/>
    <s v="9/27/2024"/>
    <d v="2024-09-27T00:00:00"/>
    <s v="7/19/2024"/>
    <d v="2024-07-19T00:00:00"/>
    <s v="6/27/2024"/>
    <d v="2024-06-27T00:00:00"/>
    <s v="96420 Briar Crest Lane"/>
    <n v="62"/>
    <n v="47"/>
    <s v="Active"/>
    <n v="744"/>
    <n v="1176"/>
    <x v="1"/>
    <x v="11"/>
    <n v="-92"/>
    <s v="Invalid Data"/>
  </r>
  <r>
    <s v="97-300-7511"/>
    <x v="9"/>
    <x v="4"/>
    <s v="47-687-2255"/>
    <s v="Katz"/>
    <n v="37"/>
    <n v="53"/>
    <n v="61"/>
    <s v="$1.00 "/>
    <n v="1"/>
    <d v="2024-03-04T00:00:00"/>
    <d v="2024-03-04T00:00:00"/>
    <s v="7/17/2024"/>
    <d v="2024-07-17T00:00:00"/>
    <s v="3/21/2024"/>
    <d v="2024-03-21T00:00:00"/>
    <s v="45190 Fordem Court"/>
    <n v="90"/>
    <n v="89"/>
    <s v="Backordered"/>
    <n v="90"/>
    <n v="37"/>
    <x v="0"/>
    <x v="2"/>
    <n v="17"/>
    <s v="Critical"/>
  </r>
  <r>
    <s v="83-108-1174"/>
    <x v="42"/>
    <x v="5"/>
    <s v="56-439-3559"/>
    <s v="Devpoint"/>
    <n v="78"/>
    <n v="68"/>
    <n v="68"/>
    <s v="$2.50 "/>
    <n v="2.5"/>
    <d v="2024-12-09T00:00:00"/>
    <d v="2024-12-09T00:00:00"/>
    <d v="2024-05-03T00:00:00"/>
    <d v="2024-05-03T00:00:00"/>
    <s v="12/25/2024"/>
    <d v="2024-12-25T00:00:00"/>
    <s v="3 Monument Street"/>
    <n v="89"/>
    <n v="24"/>
    <s v="Backordered"/>
    <n v="222.5"/>
    <n v="195"/>
    <x v="1"/>
    <x v="6"/>
    <n v="16"/>
    <s v="Critical"/>
  </r>
  <r>
    <s v="38-664-2155"/>
    <x v="78"/>
    <x v="2"/>
    <s v="10-540-5841"/>
    <s v="Realpoint"/>
    <n v="48"/>
    <n v="27"/>
    <n v="73"/>
    <s v="$2.55 "/>
    <n v="2.5499999999999998"/>
    <s v="1/13/2025"/>
    <d v="2025-01-13T00:00:00"/>
    <d v="2024-12-04T00:00:00"/>
    <d v="2024-12-04T00:00:00"/>
    <s v="5/30/2024"/>
    <d v="2024-05-30T00:00:00"/>
    <s v="843 Pepper Wood Hill"/>
    <n v="52"/>
    <n v="97"/>
    <s v="Discontinued"/>
    <n v="132.6"/>
    <n v="122.39999999999999"/>
    <x v="1"/>
    <x v="13"/>
    <n v="-228"/>
    <s v="Invalid Data"/>
  </r>
  <r>
    <s v="80-459-5950"/>
    <x v="1"/>
    <x v="1"/>
    <s v="04-866-2231"/>
    <s v="Rhyzio"/>
    <n v="74"/>
    <n v="10"/>
    <n v="74"/>
    <s v="$20.00 "/>
    <n v="20"/>
    <s v="7/27/2024"/>
    <d v="2024-07-27T00:00:00"/>
    <d v="2024-02-10T00:00:00"/>
    <d v="2024-02-10T00:00:00"/>
    <s v="3/20/2024"/>
    <d v="2024-03-20T00:00:00"/>
    <s v="5 Killdeer Trail"/>
    <n v="100"/>
    <n v="66"/>
    <s v="Backordered"/>
    <n v="2000"/>
    <n v="1480"/>
    <x v="1"/>
    <x v="10"/>
    <n v="-129"/>
    <s v="Invalid Data"/>
  </r>
  <r>
    <s v="93-015-0811"/>
    <x v="27"/>
    <x v="2"/>
    <s v="07-055-5188"/>
    <s v="Gigashots"/>
    <n v="18"/>
    <n v="7"/>
    <n v="58"/>
    <s v="$3.50 "/>
    <n v="3.5"/>
    <s v="11/26/2024"/>
    <d v="2024-11-26T00:00:00"/>
    <d v="2024-05-08T00:00:00"/>
    <d v="2024-05-08T00:00:00"/>
    <s v="6/26/2024"/>
    <d v="2024-06-26T00:00:00"/>
    <s v="1 Pleasure Hill"/>
    <n v="88"/>
    <n v="96"/>
    <s v="Discontinued"/>
    <n v="308"/>
    <n v="63"/>
    <x v="1"/>
    <x v="5"/>
    <n v="-153"/>
    <s v="Invalid Data"/>
  </r>
  <r>
    <s v="02-888-9412"/>
    <x v="78"/>
    <x v="2"/>
    <s v="22-307-4653"/>
    <s v="Photobug"/>
    <n v="95"/>
    <n v="66"/>
    <n v="69"/>
    <s v="$2.48 "/>
    <n v="2.48"/>
    <d v="2024-08-06T00:00:00"/>
    <d v="2024-08-06T00:00:00"/>
    <s v="3/28/2024"/>
    <d v="2024-03-28T00:00:00"/>
    <d v="2025-04-02T00:00:00"/>
    <d v="2025-04-02T00:00:00"/>
    <s v="880 Calypso Road"/>
    <n v="92"/>
    <n v="72"/>
    <s v="Backordered"/>
    <n v="228.16"/>
    <n v="235.6"/>
    <x v="1"/>
    <x v="0"/>
    <n v="239"/>
    <s v="Low Risk"/>
  </r>
  <r>
    <s v="10-218-2680"/>
    <x v="89"/>
    <x v="4"/>
    <s v="72-024-1595"/>
    <s v="Quinu"/>
    <n v="39"/>
    <n v="93"/>
    <n v="57"/>
    <s v="$2.50 "/>
    <n v="2.5"/>
    <d v="2024-04-06T00:00:00"/>
    <d v="2024-04-06T00:00:00"/>
    <s v="5/28/2024"/>
    <d v="2024-05-28T00:00:00"/>
    <d v="2025-03-01T00:00:00"/>
    <d v="2025-03-01T00:00:00"/>
    <s v="6810 Aberg Junction"/>
    <n v="26"/>
    <n v="44"/>
    <s v="Backordered"/>
    <n v="65"/>
    <n v="97.5"/>
    <x v="0"/>
    <x v="4"/>
    <n v="329"/>
    <s v="Low Risk"/>
  </r>
  <r>
    <s v="30-964-2694"/>
    <x v="57"/>
    <x v="2"/>
    <s v="42-976-2737"/>
    <s v="Edgeclub"/>
    <n v="48"/>
    <n v="72"/>
    <n v="55"/>
    <s v="$3.00 "/>
    <n v="3"/>
    <s v="9/18/2024"/>
    <d v="2024-09-18T00:00:00"/>
    <d v="2024-12-05T00:00:00"/>
    <d v="2024-12-05T00:00:00"/>
    <s v="6/30/2024"/>
    <d v="2024-06-30T00:00:00"/>
    <s v="39 Dovetail Terrace"/>
    <n v="51"/>
    <n v="41"/>
    <s v="Active"/>
    <n v="153"/>
    <n v="144"/>
    <x v="0"/>
    <x v="11"/>
    <n v="-80"/>
    <s v="Invalid Data"/>
  </r>
  <r>
    <s v="15-144-9413"/>
    <x v="12"/>
    <x v="2"/>
    <s v="08-912-0895"/>
    <s v="Meevee"/>
    <n v="58"/>
    <n v="15"/>
    <n v="87"/>
    <s v="$5.90 "/>
    <n v="5.9"/>
    <d v="2024-10-07T00:00:00"/>
    <d v="2024-10-07T00:00:00"/>
    <s v="6/30/2024"/>
    <d v="2024-06-30T00:00:00"/>
    <s v="7/29/2024"/>
    <d v="2024-07-29T00:00:00"/>
    <s v="3 Buhler Place"/>
    <n v="52"/>
    <n v="81"/>
    <s v="Backordered"/>
    <n v="306.8"/>
    <n v="342.20000000000005"/>
    <x v="1"/>
    <x v="7"/>
    <n v="-70"/>
    <s v="Invalid Data"/>
  </r>
  <r>
    <s v="17-253-5688"/>
    <x v="8"/>
    <x v="4"/>
    <s v="42-638-2086"/>
    <s v="Shufflester"/>
    <n v="39"/>
    <n v="55"/>
    <n v="39"/>
    <s v="$3.00 "/>
    <n v="3"/>
    <s v="8/15/2024"/>
    <d v="2024-08-15T00:00:00"/>
    <d v="2024-07-07T00:00:00"/>
    <d v="2024-07-07T00:00:00"/>
    <s v="6/20/2024"/>
    <d v="2024-06-20T00:00:00"/>
    <s v="7 Hooker Way"/>
    <n v="47"/>
    <n v="59"/>
    <s v="Backordered"/>
    <n v="141"/>
    <n v="117"/>
    <x v="0"/>
    <x v="0"/>
    <n v="-56"/>
    <s v="Invalid Data"/>
  </r>
  <r>
    <s v="31-608-1445"/>
    <x v="108"/>
    <x v="2"/>
    <s v="75-286-4153"/>
    <s v="Ntag"/>
    <n v="84"/>
    <n v="28"/>
    <n v="29"/>
    <s v="$4.40 "/>
    <n v="4.4000000000000004"/>
    <d v="2025-09-02T00:00:00"/>
    <d v="2025-09-02T00:00:00"/>
    <s v="2/15/2025"/>
    <d v="2025-02-15T00:00:00"/>
    <s v="12/14/2024"/>
    <d v="2024-12-14T00:00:00"/>
    <s v="227 Tennyson Plaza"/>
    <n v="54"/>
    <n v="32"/>
    <s v="Discontinued"/>
    <n v="237.60000000000002"/>
    <n v="369.6"/>
    <x v="1"/>
    <x v="20"/>
    <n v="-262"/>
    <s v="Invalid Data"/>
  </r>
  <r>
    <s v="51-934-9117"/>
    <x v="44"/>
    <x v="6"/>
    <s v="34-389-9922"/>
    <s v="Linklinks"/>
    <n v="30"/>
    <n v="55"/>
    <n v="4"/>
    <s v="$6.00 "/>
    <n v="6"/>
    <s v="8/25/2024"/>
    <d v="2024-08-25T00:00:00"/>
    <s v="7/28/2024"/>
    <d v="2024-07-28T00:00:00"/>
    <s v="1/31/2025"/>
    <d v="2025-01-31T00:00:00"/>
    <s v="05944 Scott Parkway"/>
    <n v="56"/>
    <n v="31"/>
    <s v="Active"/>
    <n v="336"/>
    <n v="180"/>
    <x v="0"/>
    <x v="0"/>
    <n v="159"/>
    <s v="Medium Risk"/>
  </r>
  <r>
    <s v="72-810-9753"/>
    <x v="90"/>
    <x v="3"/>
    <s v="17-359-2527"/>
    <s v="Yotz"/>
    <n v="14"/>
    <n v="84"/>
    <n v="15"/>
    <s v="$6.50 "/>
    <n v="6.5"/>
    <s v="1/28/2025"/>
    <d v="2025-01-28T00:00:00"/>
    <d v="2025-07-02T00:00:00"/>
    <d v="2025-07-02T00:00:00"/>
    <d v="2024-12-12T00:00:00"/>
    <d v="2024-12-12T00:00:00"/>
    <s v="545 Farwell Lane"/>
    <n v="51"/>
    <n v="73"/>
    <s v="Active"/>
    <n v="331.5"/>
    <n v="91"/>
    <x v="0"/>
    <x v="13"/>
    <n v="-47"/>
    <s v="Invalid Data"/>
  </r>
  <r>
    <s v="53-146-9979"/>
    <x v="86"/>
    <x v="0"/>
    <s v="44-388-2451"/>
    <s v="Skidoo"/>
    <n v="21"/>
    <n v="15"/>
    <n v="27"/>
    <s v="$2.50 "/>
    <n v="2.5"/>
    <d v="2025-05-02T00:00:00"/>
    <d v="2025-05-02T00:00:00"/>
    <d v="2024-11-10T00:00:00"/>
    <d v="2024-11-10T00:00:00"/>
    <d v="2024-08-08T00:00:00"/>
    <d v="2024-08-08T00:00:00"/>
    <s v="42 Mandrake Alley"/>
    <n v="37"/>
    <n v="41"/>
    <s v="Active"/>
    <n v="92.5"/>
    <n v="52.5"/>
    <x v="1"/>
    <x v="21"/>
    <n v="-267"/>
    <s v="Invalid Data"/>
  </r>
  <r>
    <s v="46-622-3434"/>
    <x v="65"/>
    <x v="0"/>
    <s v="85-473-1534"/>
    <s v="Topdrive"/>
    <n v="17"/>
    <n v="19"/>
    <n v="74"/>
    <s v="$4.75 "/>
    <n v="4.75"/>
    <d v="2024-04-10T00:00:00"/>
    <d v="2024-04-10T00:00:00"/>
    <d v="2024-08-12T00:00:00"/>
    <d v="2024-08-12T00:00:00"/>
    <s v="7/23/2024"/>
    <d v="2024-07-23T00:00:00"/>
    <s v="2 Miller Lane"/>
    <n v="58"/>
    <n v="27"/>
    <s v="Discontinued"/>
    <n v="275.5"/>
    <n v="80.75"/>
    <x v="0"/>
    <x v="4"/>
    <n v="104"/>
    <s v="Medium Risk"/>
  </r>
  <r>
    <s v="47-843-8207"/>
    <x v="78"/>
    <x v="2"/>
    <s v="55-838-9088"/>
    <s v="Cogilith"/>
    <n v="34"/>
    <n v="92"/>
    <n v="26"/>
    <s v="$2.50 "/>
    <n v="2.5"/>
    <d v="2024-01-09T00:00:00"/>
    <d v="2024-01-09T00:00:00"/>
    <d v="2024-10-04T00:00:00"/>
    <d v="2024-10-04T00:00:00"/>
    <s v="12/27/2024"/>
    <d v="2024-12-27T00:00:00"/>
    <s v="01 Northfield Road"/>
    <n v="28"/>
    <n v="71"/>
    <s v="Active"/>
    <n v="70"/>
    <n v="85"/>
    <x v="0"/>
    <x v="1"/>
    <n v="353"/>
    <s v="Low Risk"/>
  </r>
  <r>
    <s v="29-135-0791"/>
    <x v="65"/>
    <x v="0"/>
    <s v="05-050-4384"/>
    <s v="Babblestorm"/>
    <n v="56"/>
    <n v="48"/>
    <n v="82"/>
    <s v="$4.75 "/>
    <n v="4.75"/>
    <s v="10/18/2024"/>
    <d v="2024-10-18T00:00:00"/>
    <s v="12/21/2024"/>
    <d v="2024-12-21T00:00:00"/>
    <d v="2025-11-01T00:00:00"/>
    <d v="2025-11-01T00:00:00"/>
    <s v="97 Utah Lane"/>
    <n v="71"/>
    <n v="65"/>
    <s v="Backordered"/>
    <n v="337.25"/>
    <n v="266"/>
    <x v="1"/>
    <x v="7"/>
    <n v="379"/>
    <s v="Safe"/>
  </r>
  <r>
    <s v="45-194-4094"/>
    <x v="4"/>
    <x v="2"/>
    <s v="65-611-4749"/>
    <s v="Devcast"/>
    <n v="64"/>
    <n v="71"/>
    <n v="69"/>
    <s v="$3.90 "/>
    <n v="3.9"/>
    <d v="2024-10-10T00:00:00"/>
    <d v="2024-10-10T00:00:00"/>
    <s v="6/14/2024"/>
    <d v="2024-06-14T00:00:00"/>
    <d v="2024-10-10T00:00:00"/>
    <d v="2024-10-10T00:00:00"/>
    <s v="2 Scofield Street"/>
    <n v="60"/>
    <n v="67"/>
    <s v="Active"/>
    <n v="234"/>
    <n v="249.6"/>
    <x v="0"/>
    <x v="7"/>
    <n v="0"/>
    <s v="Critical"/>
  </r>
  <r>
    <s v="09-712-3630"/>
    <x v="103"/>
    <x v="2"/>
    <s v="17-807-6972"/>
    <s v="Aibox"/>
    <n v="87"/>
    <n v="62"/>
    <n v="2"/>
    <s v="$5.50 "/>
    <n v="5.5"/>
    <d v="2024-09-07T00:00:00"/>
    <d v="2024-09-07T00:00:00"/>
    <s v="3/25/2024"/>
    <d v="2024-03-25T00:00:00"/>
    <s v="9/30/2024"/>
    <d v="2024-09-30T00:00:00"/>
    <s v="10 Golf Course Hill"/>
    <n v="22"/>
    <n v="38"/>
    <s v="Backordered"/>
    <n v="121"/>
    <n v="478.5"/>
    <x v="1"/>
    <x v="11"/>
    <n v="23"/>
    <s v="Critical"/>
  </r>
  <r>
    <s v="56-213-0577"/>
    <x v="108"/>
    <x v="2"/>
    <s v="72-306-8602"/>
    <s v="Kwinu"/>
    <n v="24"/>
    <n v="25"/>
    <n v="52"/>
    <s v="$4.50 "/>
    <n v="4.5"/>
    <s v="5/25/2024"/>
    <d v="2024-05-25T00:00:00"/>
    <s v="5/23/2024"/>
    <d v="2024-05-23T00:00:00"/>
    <s v="9/17/2024"/>
    <d v="2024-09-17T00:00:00"/>
    <s v="851 Hollow Ridge Center"/>
    <n v="24"/>
    <n v="77"/>
    <s v="Backordered"/>
    <n v="108"/>
    <n v="108"/>
    <x v="0"/>
    <x v="8"/>
    <n v="115"/>
    <s v="Medium Risk"/>
  </r>
  <r>
    <s v="78-956-4737"/>
    <x v="0"/>
    <x v="0"/>
    <s v="76-712-0418"/>
    <s v="Photobug"/>
    <n v="47"/>
    <n v="1"/>
    <n v="60"/>
    <s v="$4.20 "/>
    <n v="4.2"/>
    <s v="1/29/2025"/>
    <d v="2025-01-29T00:00:00"/>
    <s v="5/19/2024"/>
    <d v="2024-05-19T00:00:00"/>
    <s v="4/18/2024"/>
    <d v="2024-04-18T00:00:00"/>
    <s v="9 Burrows Junction"/>
    <n v="32"/>
    <n v="87"/>
    <s v="Discontinued"/>
    <n v="134.4"/>
    <n v="197.4"/>
    <x v="1"/>
    <x v="13"/>
    <n v="-286"/>
    <s v="Invalid Data"/>
  </r>
  <r>
    <s v="29-436-6570"/>
    <x v="99"/>
    <x v="5"/>
    <s v="12-140-7809"/>
    <s v="Quatz"/>
    <n v="61"/>
    <n v="8"/>
    <n v="45"/>
    <s v="$4.00 "/>
    <n v="4"/>
    <s v="6/20/2024"/>
    <d v="2024-06-20T00:00:00"/>
    <s v="9/27/2024"/>
    <d v="2024-09-27T00:00:00"/>
    <s v="9/17/2024"/>
    <d v="2024-09-17T00:00:00"/>
    <s v="30590 Bowman Alley"/>
    <n v="73"/>
    <n v="64"/>
    <s v="Discontinued"/>
    <n v="292"/>
    <n v="244"/>
    <x v="1"/>
    <x v="12"/>
    <n v="89"/>
    <s v="High Risk"/>
  </r>
  <r>
    <s v="04-038-1547"/>
    <x v="11"/>
    <x v="5"/>
    <s v="61-912-9541"/>
    <s v="Realblab"/>
    <n v="48"/>
    <n v="2"/>
    <n v="16"/>
    <s v="$2.80 "/>
    <n v="2.8"/>
    <s v="3/26/2024"/>
    <d v="2024-03-26T00:00:00"/>
    <s v="11/24/2024"/>
    <d v="2024-11-24T00:00:00"/>
    <d v="2024-08-06T00:00:00"/>
    <d v="2024-08-06T00:00:00"/>
    <s v="76 Shelley Pass"/>
    <n v="27"/>
    <n v="1"/>
    <s v="Discontinued"/>
    <n v="75.599999999999994"/>
    <n v="134.39999999999998"/>
    <x v="1"/>
    <x v="2"/>
    <n v="133"/>
    <s v="Medium Risk"/>
  </r>
  <r>
    <s v="76-476-9996"/>
    <x v="61"/>
    <x v="5"/>
    <s v="88-428-6227"/>
    <s v="Photobean"/>
    <n v="37"/>
    <n v="96"/>
    <n v="82"/>
    <s v="$5.00 "/>
    <n v="5"/>
    <d v="2024-06-10T00:00:00"/>
    <d v="2024-06-10T00:00:00"/>
    <s v="1/14/2025"/>
    <d v="2025-01-14T00:00:00"/>
    <d v="2024-06-12T00:00:00"/>
    <d v="2024-06-12T00:00:00"/>
    <s v="0 Larry Terrace"/>
    <n v="35"/>
    <n v="23"/>
    <s v="Backordered"/>
    <n v="175"/>
    <n v="185"/>
    <x v="0"/>
    <x v="12"/>
    <n v="2"/>
    <s v="Critical"/>
  </r>
  <r>
    <s v="43-469-7551"/>
    <x v="1"/>
    <x v="1"/>
    <s v="64-361-4238"/>
    <s v="Rhycero"/>
    <n v="45"/>
    <n v="36"/>
    <n v="97"/>
    <s v="$20.00 "/>
    <n v="20"/>
    <s v="12/27/2024"/>
    <d v="2024-12-27T00:00:00"/>
    <s v="5/26/2024"/>
    <d v="2024-05-26T00:00:00"/>
    <s v="1/25/2025"/>
    <d v="2025-01-25T00:00:00"/>
    <s v="760 Butternut Plaza"/>
    <n v="36"/>
    <n v="6"/>
    <s v="Active"/>
    <n v="720"/>
    <n v="900"/>
    <x v="1"/>
    <x v="6"/>
    <n v="29"/>
    <s v="Critical"/>
  </r>
  <r>
    <s v="15-169-8058"/>
    <x v="14"/>
    <x v="0"/>
    <s v="14-009-8505"/>
    <s v="Feedfire"/>
    <n v="87"/>
    <n v="97"/>
    <n v="28"/>
    <s v="$1.50 "/>
    <n v="1.5"/>
    <d v="2024-12-06T00:00:00"/>
    <d v="2024-12-06T00:00:00"/>
    <s v="9/23/2024"/>
    <d v="2024-09-23T00:00:00"/>
    <s v="4/18/2024"/>
    <d v="2024-04-18T00:00:00"/>
    <s v="26160 Independence Alley"/>
    <n v="58"/>
    <n v="21"/>
    <s v="Active"/>
    <n v="87"/>
    <n v="130.5"/>
    <x v="0"/>
    <x v="6"/>
    <n v="-232"/>
    <s v="Invalid Data"/>
  </r>
  <r>
    <s v="37-567-3218"/>
    <x v="69"/>
    <x v="0"/>
    <s v="03-257-4437"/>
    <s v="Trilia"/>
    <n v="37"/>
    <n v="47"/>
    <n v="34"/>
    <s v="$9.50 "/>
    <n v="9.5"/>
    <s v="7/30/2024"/>
    <d v="2024-07-30T00:00:00"/>
    <s v="10/31/2024"/>
    <d v="2024-10-31T00:00:00"/>
    <s v="7/20/2024"/>
    <d v="2024-07-20T00:00:00"/>
    <s v="153 Caliangt Plaza"/>
    <n v="38"/>
    <n v="89"/>
    <s v="Backordered"/>
    <n v="361"/>
    <n v="351.5"/>
    <x v="0"/>
    <x v="10"/>
    <n v="-10"/>
    <s v="Invalid Data"/>
  </r>
  <r>
    <s v="92-455-2959"/>
    <x v="93"/>
    <x v="1"/>
    <s v="13-109-8639"/>
    <s v="Katz"/>
    <n v="59"/>
    <n v="62"/>
    <n v="57"/>
    <s v="$10.30 "/>
    <n v="10.3"/>
    <d v="2024-11-09T00:00:00"/>
    <d v="2024-11-09T00:00:00"/>
    <s v="7/16/2024"/>
    <d v="2024-07-16T00:00:00"/>
    <s v="2/25/2024"/>
    <d v="2024-02-25T00:00:00"/>
    <s v="0 Ohio Hill"/>
    <n v="90"/>
    <n v="94"/>
    <s v="Backordered"/>
    <n v="927.00000000000011"/>
    <n v="607.70000000000005"/>
    <x v="0"/>
    <x v="5"/>
    <n v="-258"/>
    <s v="Invalid Data"/>
  </r>
  <r>
    <s v="75-672-4378"/>
    <x v="75"/>
    <x v="2"/>
    <s v="20-103-9525"/>
    <s v="Eare"/>
    <n v="62"/>
    <n v="40"/>
    <n v="86"/>
    <s v="$6.00 "/>
    <n v="6"/>
    <s v="7/15/2024"/>
    <d v="2024-07-15T00:00:00"/>
    <s v="11/16/2024"/>
    <d v="2024-11-16T00:00:00"/>
    <d v="2024-05-06T00:00:00"/>
    <d v="2024-05-06T00:00:00"/>
    <s v="4 Esch Point"/>
    <n v="45"/>
    <n v="86"/>
    <s v="Backordered"/>
    <n v="270"/>
    <n v="372"/>
    <x v="1"/>
    <x v="10"/>
    <n v="-70"/>
    <s v="Invalid Data"/>
  </r>
  <r>
    <s v="66-806-6051"/>
    <x v="109"/>
    <x v="4"/>
    <s v="19-875-5642"/>
    <s v="Devpulse"/>
    <n v="63"/>
    <n v="12"/>
    <n v="82"/>
    <s v="$1.70 "/>
    <n v="1.7"/>
    <s v="9/23/2024"/>
    <d v="2024-09-23T00:00:00"/>
    <d v="2024-01-07T00:00:00"/>
    <d v="2024-01-07T00:00:00"/>
    <s v="5/23/2024"/>
    <d v="2024-05-23T00:00:00"/>
    <s v="8 Kensington Place"/>
    <n v="56"/>
    <n v="31"/>
    <s v="Backordered"/>
    <n v="95.2"/>
    <n v="107.1"/>
    <x v="1"/>
    <x v="11"/>
    <n v="-123"/>
    <s v="Invalid Data"/>
  </r>
  <r>
    <s v="65-527-9488"/>
    <x v="103"/>
    <x v="2"/>
    <s v="23-482-0516"/>
    <s v="Layo"/>
    <n v="38"/>
    <n v="72"/>
    <n v="39"/>
    <s v="$5.50 "/>
    <n v="5.5"/>
    <d v="2024-10-07T00:00:00"/>
    <d v="2024-10-07T00:00:00"/>
    <s v="6/24/2024"/>
    <d v="2024-06-24T00:00:00"/>
    <d v="2024-10-10T00:00:00"/>
    <d v="2024-10-10T00:00:00"/>
    <s v="23704 Algoma Park"/>
    <n v="59"/>
    <n v="8"/>
    <s v="Active"/>
    <n v="324.5"/>
    <n v="209"/>
    <x v="0"/>
    <x v="7"/>
    <n v="3"/>
    <s v="Critical"/>
  </r>
  <r>
    <s v="36-840-2728"/>
    <x v="101"/>
    <x v="6"/>
    <s v="26-454-7297"/>
    <s v="Dabfeed"/>
    <n v="76"/>
    <n v="21"/>
    <n v="3"/>
    <s v="$7.50 "/>
    <n v="7.5"/>
    <s v="1/21/2025"/>
    <d v="2025-01-21T00:00:00"/>
    <d v="2024-10-08T00:00:00"/>
    <d v="2024-10-08T00:00:00"/>
    <s v="3/14/2024"/>
    <d v="2024-03-14T00:00:00"/>
    <s v="08545 Lillian Street"/>
    <n v="31"/>
    <n v="47"/>
    <s v="Discontinued"/>
    <n v="232.5"/>
    <n v="570"/>
    <x v="1"/>
    <x v="13"/>
    <n v="-313"/>
    <s v="Invalid Data"/>
  </r>
  <r>
    <s v="07-389-5740"/>
    <x v="22"/>
    <x v="4"/>
    <s v="72-784-3292"/>
    <s v="Skimia"/>
    <n v="34"/>
    <n v="94"/>
    <n v="69"/>
    <s v="$0.80 "/>
    <n v="0.8"/>
    <d v="2025-03-01T00:00:00"/>
    <d v="2025-03-01T00:00:00"/>
    <d v="2024-12-03T00:00:00"/>
    <d v="2024-12-03T00:00:00"/>
    <s v="7/17/2024"/>
    <d v="2024-07-17T00:00:00"/>
    <s v="59 Veith Center"/>
    <n v="96"/>
    <n v="30"/>
    <s v="Backordered"/>
    <n v="76.800000000000011"/>
    <n v="27.200000000000003"/>
    <x v="0"/>
    <x v="3"/>
    <n v="-227"/>
    <s v="Invalid Data"/>
  </r>
  <r>
    <s v="13-144-2169"/>
    <x v="51"/>
    <x v="2"/>
    <s v="11-742-5033"/>
    <s v="Blogpad"/>
    <n v="25"/>
    <n v="62"/>
    <n v="11"/>
    <s v="$3.00 "/>
    <n v="3"/>
    <d v="2024-01-10T00:00:00"/>
    <d v="2024-01-10T00:00:00"/>
    <d v="2024-01-12T00:00:00"/>
    <d v="2024-01-12T00:00:00"/>
    <d v="2024-07-09T00:00:00"/>
    <d v="2024-07-09T00:00:00"/>
    <s v="52 Namekagon Junction"/>
    <n v="57"/>
    <n v="98"/>
    <s v="Backordered"/>
    <n v="171"/>
    <n v="75"/>
    <x v="0"/>
    <x v="1"/>
    <n v="181"/>
    <s v="Low Risk"/>
  </r>
  <r>
    <s v="13-798-3397"/>
    <x v="89"/>
    <x v="4"/>
    <s v="89-992-6472"/>
    <s v="Twimm"/>
    <n v="86"/>
    <n v="16"/>
    <n v="37"/>
    <s v="$2.50 "/>
    <n v="2.5"/>
    <s v="3/27/2024"/>
    <d v="2024-03-27T00:00:00"/>
    <d v="2024-09-05T00:00:00"/>
    <d v="2024-09-05T00:00:00"/>
    <s v="12/20/2024"/>
    <d v="2024-12-20T00:00:00"/>
    <s v="93321 Kennedy Point"/>
    <n v="34"/>
    <n v="66"/>
    <s v="Active"/>
    <n v="85"/>
    <n v="215"/>
    <x v="1"/>
    <x v="2"/>
    <n v="268"/>
    <s v="Low Risk"/>
  </r>
  <r>
    <s v="85-806-0613"/>
    <x v="24"/>
    <x v="5"/>
    <s v="06-286-2758"/>
    <s v="Kwimbee"/>
    <n v="41"/>
    <n v="21"/>
    <n v="47"/>
    <s v="$5.00 "/>
    <n v="5"/>
    <d v="2024-07-03T00:00:00"/>
    <d v="2024-07-03T00:00:00"/>
    <d v="2025-01-01T00:00:00"/>
    <d v="2025-01-01T00:00:00"/>
    <s v="4/26/2024"/>
    <d v="2024-04-26T00:00:00"/>
    <s v="9269 Main Trail"/>
    <n v="50"/>
    <n v="99"/>
    <s v="Active"/>
    <n v="250"/>
    <n v="205"/>
    <x v="1"/>
    <x v="10"/>
    <n v="-68"/>
    <s v="Invalid Data"/>
  </r>
  <r>
    <s v="67-248-6306"/>
    <x v="78"/>
    <x v="2"/>
    <s v="86-173-6891"/>
    <s v="Avamm"/>
    <n v="77"/>
    <n v="54"/>
    <n v="10"/>
    <s v="$2.50 "/>
    <n v="2.5"/>
    <s v="7/27/2024"/>
    <d v="2024-07-27T00:00:00"/>
    <d v="2024-02-10T00:00:00"/>
    <d v="2024-02-10T00:00:00"/>
    <s v="12/22/2024"/>
    <d v="2024-12-22T00:00:00"/>
    <s v="05 Bartelt Street"/>
    <n v="64"/>
    <n v="73"/>
    <s v="Active"/>
    <n v="160"/>
    <n v="192.5"/>
    <x v="1"/>
    <x v="10"/>
    <n v="148"/>
    <s v="Medium Risk"/>
  </r>
  <r>
    <s v="47-866-6589"/>
    <x v="9"/>
    <x v="4"/>
    <s v="78-203-1075"/>
    <s v="Dynazzy"/>
    <n v="41"/>
    <n v="61"/>
    <n v="69"/>
    <s v="$1.00 "/>
    <n v="1"/>
    <s v="7/26/2024"/>
    <d v="2024-07-26T00:00:00"/>
    <d v="2025-03-02T00:00:00"/>
    <d v="2025-03-02T00:00:00"/>
    <s v="7/27/2024"/>
    <d v="2024-07-27T00:00:00"/>
    <s v="30880 Barnett Junction"/>
    <n v="30"/>
    <n v="100"/>
    <s v="Discontinued"/>
    <n v="30"/>
    <n v="41"/>
    <x v="0"/>
    <x v="10"/>
    <n v="1"/>
    <s v="Critical"/>
  </r>
  <r>
    <s v="91-127-7489"/>
    <x v="41"/>
    <x v="2"/>
    <s v="86-079-1525"/>
    <s v="Oyondu"/>
    <n v="44"/>
    <n v="8"/>
    <n v="52"/>
    <s v="$2.95 "/>
    <n v="2.95"/>
    <d v="2024-11-05T00:00:00"/>
    <d v="2024-11-05T00:00:00"/>
    <d v="2024-10-12T00:00:00"/>
    <d v="2024-10-12T00:00:00"/>
    <d v="2024-04-08T00:00:00"/>
    <d v="2024-04-08T00:00:00"/>
    <s v="43211 Anzinger Drive"/>
    <n v="42"/>
    <n v="66"/>
    <s v="Active"/>
    <n v="123.9"/>
    <n v="129.80000000000001"/>
    <x v="1"/>
    <x v="5"/>
    <n v="-211"/>
    <s v="Invalid Data"/>
  </r>
  <r>
    <s v="90-343-9640"/>
    <x v="80"/>
    <x v="3"/>
    <s v="54-919-9424"/>
    <s v="Dabtype"/>
    <n v="53"/>
    <n v="89"/>
    <n v="100"/>
    <s v="$10.00 "/>
    <n v="10"/>
    <d v="2024-01-07T00:00:00"/>
    <d v="2024-01-07T00:00:00"/>
    <d v="2024-06-04T00:00:00"/>
    <d v="2024-06-04T00:00:00"/>
    <d v="2024-06-10T00:00:00"/>
    <d v="2024-06-10T00:00:00"/>
    <s v="3622 Anhalt Lane"/>
    <n v="22"/>
    <n v="83"/>
    <s v="Backordered"/>
    <n v="220"/>
    <n v="530"/>
    <x v="0"/>
    <x v="1"/>
    <n v="155"/>
    <s v="Medium Risk"/>
  </r>
  <r>
    <s v="01-018-6418"/>
    <x v="61"/>
    <x v="5"/>
    <s v="78-888-6073"/>
    <s v="Chatterbridge"/>
    <n v="68"/>
    <n v="29"/>
    <n v="100"/>
    <s v="$5.00 "/>
    <n v="5"/>
    <s v="11/13/2024"/>
    <d v="2024-11-13T00:00:00"/>
    <s v="9/27/2024"/>
    <d v="2024-09-27T00:00:00"/>
    <s v="7/16/2024"/>
    <d v="2024-07-16T00:00:00"/>
    <s v="481 Mifflin Hill"/>
    <n v="70"/>
    <n v="26"/>
    <s v="Backordered"/>
    <n v="350"/>
    <n v="340"/>
    <x v="1"/>
    <x v="5"/>
    <n v="-120"/>
    <s v="Invalid Data"/>
  </r>
  <r>
    <s v="80-375-9075"/>
    <x v="15"/>
    <x v="4"/>
    <s v="86-487-3354"/>
    <s v="Centidel"/>
    <n v="96"/>
    <n v="34"/>
    <n v="57"/>
    <s v="$8.00 "/>
    <n v="8"/>
    <s v="11/23/2024"/>
    <d v="2024-11-23T00:00:00"/>
    <s v="10/20/2024"/>
    <d v="2024-10-20T00:00:00"/>
    <s v="6/19/2024"/>
    <d v="2024-06-19T00:00:00"/>
    <s v="3831 Goodland Road"/>
    <n v="71"/>
    <n v="17"/>
    <s v="Discontinued"/>
    <n v="568"/>
    <n v="768"/>
    <x v="1"/>
    <x v="5"/>
    <n v="-157"/>
    <s v="Invalid Data"/>
  </r>
  <r>
    <s v="80-227-6886"/>
    <x v="64"/>
    <x v="2"/>
    <s v="91-632-7343"/>
    <s v="Layo"/>
    <n v="33"/>
    <n v="4"/>
    <n v="31"/>
    <s v="$7.00 "/>
    <n v="7"/>
    <s v="3/13/2024"/>
    <d v="2024-03-13T00:00:00"/>
    <d v="2025-12-01T00:00:00"/>
    <d v="2025-12-01T00:00:00"/>
    <s v="6/14/2024"/>
    <d v="2024-06-14T00:00:00"/>
    <s v="4374 Corry Terrace"/>
    <n v="46"/>
    <n v="92"/>
    <s v="Active"/>
    <n v="322"/>
    <n v="231"/>
    <x v="1"/>
    <x v="2"/>
    <n v="93"/>
    <s v="Medium Risk"/>
  </r>
  <r>
    <s v="15-562-3712"/>
    <x v="78"/>
    <x v="2"/>
    <s v="53-243-7800"/>
    <s v="Yakitri"/>
    <n v="33"/>
    <n v="89"/>
    <n v="15"/>
    <s v="$2.50 "/>
    <n v="2.5"/>
    <s v="8/27/2024"/>
    <d v="2024-08-27T00:00:00"/>
    <s v="6/20/2024"/>
    <d v="2024-06-20T00:00:00"/>
    <s v="10/28/2024"/>
    <d v="2024-10-28T00:00:00"/>
    <s v="1 Hudson Hill"/>
    <n v="90"/>
    <n v="52"/>
    <s v="Discontinued"/>
    <n v="225"/>
    <n v="82.5"/>
    <x v="0"/>
    <x v="0"/>
    <n v="62"/>
    <s v="High Risk"/>
  </r>
  <r>
    <s v="10-137-9759"/>
    <x v="94"/>
    <x v="2"/>
    <s v="23-688-6256"/>
    <s v="Trupe"/>
    <n v="90"/>
    <n v="17"/>
    <n v="17"/>
    <s v="$3.00 "/>
    <n v="3"/>
    <s v="3/31/2024"/>
    <d v="2024-03-31T00:00:00"/>
    <d v="2024-03-09T00:00:00"/>
    <d v="2024-03-09T00:00:00"/>
    <d v="2024-10-03T00:00:00"/>
    <d v="2024-10-03T00:00:00"/>
    <s v="402 Kings Road"/>
    <n v="82"/>
    <n v="84"/>
    <s v="Backordered"/>
    <n v="246"/>
    <n v="270"/>
    <x v="1"/>
    <x v="2"/>
    <n v="186"/>
    <s v="Low Risk"/>
  </r>
  <r>
    <s v="69-171-1305"/>
    <x v="104"/>
    <x v="0"/>
    <s v="33-733-7313"/>
    <s v="Livetube"/>
    <n v="31"/>
    <n v="29"/>
    <n v="57"/>
    <s v="$2.50 "/>
    <n v="2.5"/>
    <s v="10/26/2024"/>
    <d v="2024-10-26T00:00:00"/>
    <s v="6/18/2024"/>
    <d v="2024-06-18T00:00:00"/>
    <d v="2024-11-10T00:00:00"/>
    <d v="2024-11-10T00:00:00"/>
    <s v="9951 Petterle Alley"/>
    <n v="25"/>
    <n v="22"/>
    <s v="Active"/>
    <n v="62.5"/>
    <n v="77.5"/>
    <x v="1"/>
    <x v="7"/>
    <n v="15"/>
    <s v="Critical"/>
  </r>
  <r>
    <s v="83-117-7658"/>
    <x v="91"/>
    <x v="2"/>
    <s v="61-424-7670"/>
    <s v="Yabox"/>
    <n v="92"/>
    <n v="3"/>
    <n v="81"/>
    <s v="$5.00 "/>
    <n v="5"/>
    <d v="2024-05-04T00:00:00"/>
    <d v="2024-05-04T00:00:00"/>
    <s v="2/25/2024"/>
    <d v="2024-02-25T00:00:00"/>
    <s v="12/19/2024"/>
    <d v="2024-12-19T00:00:00"/>
    <s v="0282 Emmet Hill"/>
    <n v="62"/>
    <n v="20"/>
    <s v="Backordered"/>
    <n v="310"/>
    <n v="460"/>
    <x v="1"/>
    <x v="8"/>
    <n v="229"/>
    <s v="Low Risk"/>
  </r>
  <r>
    <s v="74-642-2435"/>
    <x v="78"/>
    <x v="2"/>
    <s v="52-012-3409"/>
    <s v="Skinix"/>
    <n v="66"/>
    <n v="31"/>
    <n v="18"/>
    <s v="$2.50 "/>
    <n v="2.5"/>
    <d v="2024-06-04T00:00:00"/>
    <d v="2024-06-04T00:00:00"/>
    <s v="12/28/2024"/>
    <d v="2024-12-28T00:00:00"/>
    <d v="2024-08-04T00:00:00"/>
    <d v="2024-08-04T00:00:00"/>
    <s v="6292 Chive Street"/>
    <n v="85"/>
    <n v="39"/>
    <s v="Backordered"/>
    <n v="212.5"/>
    <n v="165"/>
    <x v="1"/>
    <x v="12"/>
    <n v="61"/>
    <s v="High Risk"/>
  </r>
  <r>
    <s v="10-445-0741"/>
    <x v="95"/>
    <x v="6"/>
    <s v="82-470-7146"/>
    <s v="Mybuzz"/>
    <n v="83"/>
    <n v="17"/>
    <n v="39"/>
    <s v="$10.00 "/>
    <n v="10"/>
    <d v="2024-03-06T00:00:00"/>
    <d v="2024-03-06T00:00:00"/>
    <d v="2024-11-07T00:00:00"/>
    <d v="2024-11-07T00:00:00"/>
    <s v="3/31/2024"/>
    <d v="2024-03-31T00:00:00"/>
    <s v="31 Loomis Park"/>
    <n v="33"/>
    <n v="20"/>
    <s v="Active"/>
    <n v="330"/>
    <n v="830"/>
    <x v="1"/>
    <x v="2"/>
    <n v="25"/>
    <s v="Critical"/>
  </r>
  <r>
    <s v="80-658-6456"/>
    <x v="34"/>
    <x v="2"/>
    <s v="42-080-6579"/>
    <s v="Wordtune"/>
    <n v="84"/>
    <n v="9"/>
    <n v="46"/>
    <s v="$5.00 "/>
    <n v="5"/>
    <d v="2024-08-06T00:00:00"/>
    <d v="2024-08-06T00:00:00"/>
    <s v="5/19/2024"/>
    <d v="2024-05-19T00:00:00"/>
    <d v="2024-10-12T00:00:00"/>
    <d v="2024-10-12T00:00:00"/>
    <s v="44051 Old Shore Junction"/>
    <n v="30"/>
    <n v="68"/>
    <s v="Backordered"/>
    <n v="150"/>
    <n v="420"/>
    <x v="1"/>
    <x v="0"/>
    <n v="67"/>
    <s v="High Risk"/>
  </r>
  <r>
    <s v="81-354-4203"/>
    <x v="30"/>
    <x v="6"/>
    <s v="15-466-5131"/>
    <s v="Yabox"/>
    <n v="76"/>
    <n v="57"/>
    <n v="78"/>
    <s v="$9.00 "/>
    <n v="9"/>
    <s v="6/18/2024"/>
    <d v="2024-06-18T00:00:00"/>
    <s v="6/27/2024"/>
    <d v="2024-06-27T00:00:00"/>
    <s v="4/28/2024"/>
    <d v="2024-04-28T00:00:00"/>
    <s v="12 Luster Terrace"/>
    <n v="52"/>
    <n v="86"/>
    <s v="Discontinued"/>
    <n v="468"/>
    <n v="684"/>
    <x v="1"/>
    <x v="12"/>
    <n v="-51"/>
    <s v="Invalid Data"/>
  </r>
  <r>
    <s v="08-573-9997"/>
    <x v="75"/>
    <x v="2"/>
    <s v="95-734-4024"/>
    <s v="Meevee"/>
    <n v="26"/>
    <n v="1"/>
    <n v="9"/>
    <s v="$6.00 "/>
    <n v="6"/>
    <d v="2025-10-02T00:00:00"/>
    <d v="2025-10-02T00:00:00"/>
    <d v="2024-05-04T00:00:00"/>
    <d v="2024-05-04T00:00:00"/>
    <d v="2024-02-12T00:00:00"/>
    <d v="2024-02-12T00:00:00"/>
    <s v="03 Little Fleur Pass"/>
    <n v="82"/>
    <n v="8"/>
    <s v="Backordered"/>
    <n v="492"/>
    <n v="156"/>
    <x v="1"/>
    <x v="17"/>
    <n v="-598"/>
    <s v="Invalid Data"/>
  </r>
  <r>
    <s v="74-610-2295"/>
    <x v="43"/>
    <x v="1"/>
    <s v="22-959-6357"/>
    <s v="Lajo"/>
    <n v="61"/>
    <n v="31"/>
    <n v="100"/>
    <s v="$12.50 "/>
    <n v="12.5"/>
    <s v="12/30/2024"/>
    <d v="2024-12-30T00:00:00"/>
    <s v="3/16/2024"/>
    <d v="2024-03-16T00:00:00"/>
    <s v="9/26/2024"/>
    <d v="2024-09-26T00:00:00"/>
    <s v="87 Bluestem Parkway"/>
    <n v="95"/>
    <n v="61"/>
    <s v="Active"/>
    <n v="1187.5"/>
    <n v="762.5"/>
    <x v="1"/>
    <x v="6"/>
    <n v="-95"/>
    <s v="Invalid Data"/>
  </r>
  <r>
    <s v="76-070-1411"/>
    <x v="107"/>
    <x v="4"/>
    <s v="63-528-0643"/>
    <s v="Realcube"/>
    <n v="15"/>
    <n v="75"/>
    <n v="78"/>
    <s v="$1.90 "/>
    <n v="1.9"/>
    <d v="2025-01-02T00:00:00"/>
    <d v="2025-01-02T00:00:00"/>
    <d v="2025-12-02T00:00:00"/>
    <d v="2025-12-02T00:00:00"/>
    <s v="2/14/2025"/>
    <d v="2025-02-14T00:00:00"/>
    <s v="87578 Stoughton Parkway"/>
    <n v="71"/>
    <n v="21"/>
    <s v="Discontinued"/>
    <n v="134.9"/>
    <n v="28.5"/>
    <x v="0"/>
    <x v="13"/>
    <n v="43"/>
    <s v="High Risk"/>
  </r>
  <r>
    <s v="61-582-7399"/>
    <x v="106"/>
    <x v="2"/>
    <s v="15-062-6342"/>
    <s v="Topiczoom"/>
    <n v="73"/>
    <n v="83"/>
    <n v="74"/>
    <s v="$5.00 "/>
    <n v="5"/>
    <s v="3/29/2024"/>
    <d v="2024-03-29T00:00:00"/>
    <d v="2025-05-02T00:00:00"/>
    <d v="2025-05-02T00:00:00"/>
    <s v="7/22/2024"/>
    <d v="2024-07-22T00:00:00"/>
    <s v="8 Hanover Center"/>
    <n v="87"/>
    <n v="10"/>
    <s v="Discontinued"/>
    <n v="435"/>
    <n v="365"/>
    <x v="0"/>
    <x v="2"/>
    <n v="115"/>
    <s v="Medium Risk"/>
  </r>
  <r>
    <s v="42-674-3917"/>
    <x v="92"/>
    <x v="0"/>
    <s v="26-080-4944"/>
    <s v="Pixonyx"/>
    <n v="41"/>
    <n v="76"/>
    <n v="47"/>
    <s v="$2.65 "/>
    <n v="2.65"/>
    <s v="9/15/2024"/>
    <d v="2024-09-15T00:00:00"/>
    <s v="4/20/2024"/>
    <d v="2024-04-20T00:00:00"/>
    <d v="2024-06-06T00:00:00"/>
    <d v="2024-06-06T00:00:00"/>
    <s v="78 Forest Dale Road"/>
    <n v="50"/>
    <n v="50"/>
    <s v="Backordered"/>
    <n v="132.5"/>
    <n v="108.64999999999999"/>
    <x v="0"/>
    <x v="11"/>
    <n v="-101"/>
    <s v="Invalid Data"/>
  </r>
  <r>
    <s v="05-899-1428"/>
    <x v="80"/>
    <x v="3"/>
    <s v="17-494-5505"/>
    <s v="Dabjam"/>
    <n v="14"/>
    <n v="75"/>
    <n v="10"/>
    <s v="$10.00 "/>
    <n v="10"/>
    <d v="2024-04-10T00:00:00"/>
    <d v="2024-04-10T00:00:00"/>
    <s v="1/25/2025"/>
    <d v="2025-01-25T00:00:00"/>
    <d v="2024-01-07T00:00:00"/>
    <d v="2024-01-07T00:00:00"/>
    <s v="591 Maple Junction"/>
    <n v="65"/>
    <n v="62"/>
    <s v="Active"/>
    <n v="650"/>
    <n v="140"/>
    <x v="0"/>
    <x v="4"/>
    <n v="-94"/>
    <s v="Invalid Data"/>
  </r>
  <r>
    <s v="74-548-9313"/>
    <x v="34"/>
    <x v="2"/>
    <s v="69-832-7009"/>
    <s v="Meevee"/>
    <n v="99"/>
    <n v="59"/>
    <n v="12"/>
    <s v="$5.00 "/>
    <n v="5"/>
    <s v="6/24/2024"/>
    <d v="2024-06-24T00:00:00"/>
    <s v="9/20/2024"/>
    <d v="2024-09-20T00:00:00"/>
    <d v="2025-12-02T00:00:00"/>
    <d v="2025-12-02T00:00:00"/>
    <s v="1 Judy Street"/>
    <n v="52"/>
    <n v="57"/>
    <s v="Backordered"/>
    <n v="260"/>
    <n v="495"/>
    <x v="1"/>
    <x v="12"/>
    <n v="526"/>
    <s v="Safe"/>
  </r>
  <r>
    <s v="20-448-2972"/>
    <x v="91"/>
    <x v="2"/>
    <s v="26-920-6626"/>
    <s v="Buzzbean"/>
    <n v="80"/>
    <n v="6"/>
    <n v="92"/>
    <s v="$5.00 "/>
    <n v="5"/>
    <s v="1/14/2025"/>
    <d v="2025-01-14T00:00:00"/>
    <s v="1/20/2025"/>
    <d v="2025-01-20T00:00:00"/>
    <s v="9/16/2024"/>
    <d v="2024-09-16T00:00:00"/>
    <s v="49770 Hoffman Court"/>
    <n v="26"/>
    <n v="71"/>
    <s v="Discontinued"/>
    <n v="130"/>
    <n v="400"/>
    <x v="1"/>
    <x v="13"/>
    <n v="-120"/>
    <s v="Invalid Data"/>
  </r>
  <r>
    <s v="63-162-9244"/>
    <x v="51"/>
    <x v="2"/>
    <s v="58-945-2944"/>
    <s v="Vimbo"/>
    <n v="49"/>
    <n v="89"/>
    <n v="65"/>
    <s v="$3.00 "/>
    <n v="3"/>
    <s v="5/24/2024"/>
    <d v="2024-05-24T00:00:00"/>
    <d v="2024-11-08T00:00:00"/>
    <d v="2024-11-08T00:00:00"/>
    <s v="5/17/2024"/>
    <d v="2024-05-17T00:00:00"/>
    <s v="04 Rockefeller Terrace"/>
    <n v="37"/>
    <n v="48"/>
    <s v="Active"/>
    <n v="111"/>
    <n v="147"/>
    <x v="0"/>
    <x v="8"/>
    <n v="-7"/>
    <s v="Invalid Data"/>
  </r>
  <r>
    <s v="91-417-0366"/>
    <x v="103"/>
    <x v="2"/>
    <s v="28-442-2578"/>
    <s v="Riffwire"/>
    <n v="25"/>
    <n v="74"/>
    <n v="100"/>
    <s v="$5.50 "/>
    <n v="5.5"/>
    <d v="2024-07-06T00:00:00"/>
    <d v="2024-07-06T00:00:00"/>
    <d v="2024-07-12T00:00:00"/>
    <d v="2024-07-12T00:00:00"/>
    <d v="2024-04-12T00:00:00"/>
    <d v="2024-04-12T00:00:00"/>
    <s v="1 Elmside Parkway"/>
    <n v="41"/>
    <n v="59"/>
    <s v="Discontinued"/>
    <n v="225.5"/>
    <n v="137.5"/>
    <x v="0"/>
    <x v="10"/>
    <n v="-85"/>
    <s v="Invalid Data"/>
  </r>
  <r>
    <s v="60-311-5701"/>
    <x v="90"/>
    <x v="3"/>
    <s v="07-578-7055"/>
    <s v="Shuffledrive"/>
    <n v="39"/>
    <n v="78"/>
    <n v="97"/>
    <s v="$6.50 "/>
    <n v="6.5"/>
    <s v="10/29/2024"/>
    <d v="2024-10-29T00:00:00"/>
    <s v="10/19/2024"/>
    <d v="2024-10-19T00:00:00"/>
    <s v="7/17/2024"/>
    <d v="2024-07-17T00:00:00"/>
    <s v="9 Meadow Vale Drive"/>
    <n v="54"/>
    <n v="89"/>
    <s v="Backordered"/>
    <n v="351"/>
    <n v="253.5"/>
    <x v="0"/>
    <x v="7"/>
    <n v="-104"/>
    <s v="Invalid Data"/>
  </r>
  <r>
    <s v="36-899-5324"/>
    <x v="41"/>
    <x v="2"/>
    <s v="02-656-3112"/>
    <s v="Flashdog"/>
    <n v="94"/>
    <n v="58"/>
    <n v="17"/>
    <s v="$2.90 "/>
    <n v="2.9"/>
    <d v="2024-01-08T00:00:00"/>
    <d v="2024-01-08T00:00:00"/>
    <d v="2024-05-07T00:00:00"/>
    <d v="2024-05-07T00:00:00"/>
    <s v="12/19/2024"/>
    <d v="2024-12-19T00:00:00"/>
    <s v="3 Bashford Court"/>
    <n v="57"/>
    <n v="74"/>
    <s v="Backordered"/>
    <n v="165.29999999999998"/>
    <n v="272.59999999999997"/>
    <x v="1"/>
    <x v="1"/>
    <n v="346"/>
    <s v="Low Risk"/>
  </r>
  <r>
    <s v="22-266-9291"/>
    <x v="44"/>
    <x v="6"/>
    <s v="15-550-0171"/>
    <s v="Vinder"/>
    <n v="11"/>
    <n v="17"/>
    <n v="59"/>
    <s v="$6.00 "/>
    <n v="6"/>
    <s v="7/20/2024"/>
    <d v="2024-07-20T00:00:00"/>
    <s v="3/27/2024"/>
    <d v="2024-03-27T00:00:00"/>
    <d v="2024-08-04T00:00:00"/>
    <d v="2024-08-04T00:00:00"/>
    <s v="111 David Hill"/>
    <n v="69"/>
    <n v="100"/>
    <s v="Backordered"/>
    <n v="414"/>
    <n v="66"/>
    <x v="0"/>
    <x v="10"/>
    <n v="15"/>
    <s v="Critical"/>
  </r>
  <r>
    <s v="76-584-4790"/>
    <x v="59"/>
    <x v="3"/>
    <s v="58-213-1146"/>
    <s v="Twitterwire"/>
    <n v="21"/>
    <n v="52"/>
    <n v="80"/>
    <s v="$4.00 "/>
    <n v="4"/>
    <d v="2024-03-06T00:00:00"/>
    <d v="2024-03-06T00:00:00"/>
    <d v="2024-04-11T00:00:00"/>
    <d v="2024-04-11T00:00:00"/>
    <d v="2025-01-01T00:00:00"/>
    <d v="2025-01-01T00:00:00"/>
    <s v="1170 Shasta Circle"/>
    <n v="49"/>
    <n v="37"/>
    <s v="Backordered"/>
    <n v="196"/>
    <n v="84"/>
    <x v="0"/>
    <x v="2"/>
    <n v="301"/>
    <s v="Low Risk"/>
  </r>
  <r>
    <s v="82-948-2298"/>
    <x v="39"/>
    <x v="2"/>
    <s v="53-749-6148"/>
    <s v="Topdrive"/>
    <n v="38"/>
    <n v="91"/>
    <n v="94"/>
    <s v="$5.70 "/>
    <n v="5.7"/>
    <d v="2024-12-07T00:00:00"/>
    <d v="2024-12-07T00:00:00"/>
    <s v="2/17/2025"/>
    <d v="2025-02-17T00:00:00"/>
    <s v="11/21/2024"/>
    <d v="2024-11-21T00:00:00"/>
    <s v="555 Butternut Hill"/>
    <n v="53"/>
    <n v="87"/>
    <s v="Discontinued"/>
    <n v="302.10000000000002"/>
    <n v="216.6"/>
    <x v="0"/>
    <x v="6"/>
    <n v="-16"/>
    <s v="Invalid Data"/>
  </r>
  <r>
    <s v="97-283-4840"/>
    <x v="63"/>
    <x v="3"/>
    <s v="64-604-1679"/>
    <s v="Browsetype"/>
    <n v="58"/>
    <n v="23"/>
    <n v="66"/>
    <s v="$1.80 "/>
    <n v="1.8"/>
    <s v="4/29/2024"/>
    <d v="2024-04-29T00:00:00"/>
    <d v="2024-12-05T00:00:00"/>
    <d v="2024-12-05T00:00:00"/>
    <s v="2/24/2025"/>
    <d v="2025-02-24T00:00:00"/>
    <s v="7232 Ridgeway Center"/>
    <n v="82"/>
    <n v="61"/>
    <s v="Backordered"/>
    <n v="147.6"/>
    <n v="104.4"/>
    <x v="1"/>
    <x v="4"/>
    <n v="301"/>
    <s v="Low Risk"/>
  </r>
  <r>
    <s v="17-395-1121"/>
    <x v="4"/>
    <x v="2"/>
    <s v="67-252-3923"/>
    <s v="Lajo"/>
    <n v="85"/>
    <n v="16"/>
    <n v="74"/>
    <s v="$3.85 "/>
    <n v="3.85"/>
    <s v="11/18/2024"/>
    <d v="2024-11-18T00:00:00"/>
    <d v="2024-08-10T00:00:00"/>
    <d v="2024-08-10T00:00:00"/>
    <d v="2024-03-12T00:00:00"/>
    <d v="2024-03-12T00:00:00"/>
    <s v="8 Oriole Terrace"/>
    <n v="58"/>
    <n v="36"/>
    <s v="Backordered"/>
    <n v="223.3"/>
    <n v="327.25"/>
    <x v="1"/>
    <x v="5"/>
    <n v="-251"/>
    <s v="Invalid Data"/>
  </r>
  <r>
    <s v="74-132-5528"/>
    <x v="78"/>
    <x v="2"/>
    <s v="41-713-1053"/>
    <s v="Vinder"/>
    <n v="63"/>
    <n v="62"/>
    <n v="98"/>
    <s v="$2.50 "/>
    <n v="2.5"/>
    <s v="5/30/2024"/>
    <d v="2024-05-30T00:00:00"/>
    <s v="3/21/2024"/>
    <d v="2024-03-21T00:00:00"/>
    <s v="1/22/2025"/>
    <d v="2025-01-22T00:00:00"/>
    <s v="611 Fieldstone Drive"/>
    <n v="62"/>
    <n v="45"/>
    <s v="Backordered"/>
    <n v="155"/>
    <n v="157.5"/>
    <x v="1"/>
    <x v="8"/>
    <n v="237"/>
    <s v="Low Risk"/>
  </r>
  <r>
    <s v="52-029-2382"/>
    <x v="117"/>
    <x v="3"/>
    <s v="16-474-4516"/>
    <s v="Brightdog"/>
    <n v="54"/>
    <n v="86"/>
    <n v="69"/>
    <s v="$5.00 "/>
    <n v="5"/>
    <s v="11/26/2024"/>
    <d v="2024-11-26T00:00:00"/>
    <s v="8/15/2024"/>
    <d v="2024-08-15T00:00:00"/>
    <d v="2024-08-04T00:00:00"/>
    <d v="2024-08-04T00:00:00"/>
    <s v="08896 Evergreen Avenue"/>
    <n v="29"/>
    <n v="8"/>
    <s v="Discontinued"/>
    <n v="145"/>
    <n v="270"/>
    <x v="0"/>
    <x v="5"/>
    <n v="-114"/>
    <s v="Invalid Data"/>
  </r>
  <r>
    <s v="11-053-0107"/>
    <x v="119"/>
    <x v="2"/>
    <s v="07-410-2867"/>
    <s v="Rooxo"/>
    <n v="30"/>
    <n v="25"/>
    <n v="11"/>
    <s v="$8.00 "/>
    <n v="8"/>
    <s v="12/25/2024"/>
    <d v="2024-12-25T00:00:00"/>
    <d v="2024-12-07T00:00:00"/>
    <d v="2024-12-07T00:00:00"/>
    <s v="6/28/2024"/>
    <d v="2024-06-28T00:00:00"/>
    <s v="734 Thackeray Avenue"/>
    <n v="42"/>
    <n v="76"/>
    <s v="Active"/>
    <n v="336"/>
    <n v="240"/>
    <x v="1"/>
    <x v="6"/>
    <n v="-180"/>
    <s v="Invalid Data"/>
  </r>
  <r>
    <s v="99-194-5600"/>
    <x v="78"/>
    <x v="2"/>
    <s v="70-064-6828"/>
    <s v="Tanoodle"/>
    <n v="57"/>
    <n v="25"/>
    <n v="98"/>
    <s v="$2.50 "/>
    <n v="2.5"/>
    <s v="6/14/2024"/>
    <d v="2024-06-14T00:00:00"/>
    <s v="2/25/2024"/>
    <d v="2024-02-25T00:00:00"/>
    <s v="5/14/2024"/>
    <d v="2024-05-14T00:00:00"/>
    <s v="973 Spaight Place"/>
    <n v="78"/>
    <n v="37"/>
    <s v="Active"/>
    <n v="195"/>
    <n v="142.5"/>
    <x v="1"/>
    <x v="12"/>
    <n v="-31"/>
    <s v="Invalid Data"/>
  </r>
  <r>
    <s v="48-289-0604"/>
    <x v="87"/>
    <x v="3"/>
    <s v="94-261-1193"/>
    <s v="Browseblab"/>
    <n v="18"/>
    <n v="72"/>
    <n v="71"/>
    <s v="$2.00 "/>
    <n v="2"/>
    <d v="2024-05-05T00:00:00"/>
    <d v="2024-05-05T00:00:00"/>
    <d v="2024-12-08T00:00:00"/>
    <d v="2024-12-08T00:00:00"/>
    <s v="6/20/2024"/>
    <d v="2024-06-20T00:00:00"/>
    <s v="5 Colorado Park"/>
    <n v="25"/>
    <n v="81"/>
    <s v="Active"/>
    <n v="50"/>
    <n v="36"/>
    <x v="0"/>
    <x v="8"/>
    <n v="46"/>
    <s v="High Risk"/>
  </r>
  <r>
    <s v="73-010-8323"/>
    <x v="82"/>
    <x v="6"/>
    <s v="80-622-6587"/>
    <s v="Tagcat"/>
    <n v="16"/>
    <n v="34"/>
    <n v="89"/>
    <s v="$18.00 "/>
    <n v="18"/>
    <s v="12/26/2024"/>
    <d v="2024-12-26T00:00:00"/>
    <s v="2/27/2024"/>
    <d v="2024-02-27T00:00:00"/>
    <s v="4/29/2024"/>
    <d v="2024-04-29T00:00:00"/>
    <s v="811 Dapin Center"/>
    <n v="35"/>
    <n v="52"/>
    <s v="Backordered"/>
    <n v="630"/>
    <n v="288"/>
    <x v="0"/>
    <x v="6"/>
    <n v="-241"/>
    <s v="Invalid Data"/>
  </r>
  <r>
    <s v="06-068-6793"/>
    <x v="83"/>
    <x v="4"/>
    <s v="94-958-6101"/>
    <s v="Twitterbeat"/>
    <n v="39"/>
    <n v="80"/>
    <n v="68"/>
    <s v="$2.50 "/>
    <n v="2.5"/>
    <s v="7/20/2024"/>
    <d v="2024-07-20T00:00:00"/>
    <d v="2024-06-08T00:00:00"/>
    <d v="2024-06-08T00:00:00"/>
    <s v="8/15/2024"/>
    <d v="2024-08-15T00:00:00"/>
    <s v="25 Nancy Place"/>
    <n v="46"/>
    <n v="54"/>
    <s v="Discontinued"/>
    <n v="115"/>
    <n v="97.5"/>
    <x v="0"/>
    <x v="10"/>
    <n v="26"/>
    <s v="Critical"/>
  </r>
  <r>
    <s v="56-054-8664"/>
    <x v="35"/>
    <x v="2"/>
    <s v="53-247-1844"/>
    <s v="Centimia"/>
    <n v="59"/>
    <n v="82"/>
    <n v="69"/>
    <s v="$2.45 "/>
    <n v="2.4500000000000002"/>
    <d v="2024-04-05T00:00:00"/>
    <d v="2024-04-05T00:00:00"/>
    <s v="3/25/2024"/>
    <d v="2024-03-25T00:00:00"/>
    <d v="2024-03-03T00:00:00"/>
    <d v="2024-03-03T00:00:00"/>
    <s v="01 Straubel Hill"/>
    <n v="30"/>
    <n v="34"/>
    <s v="Discontinued"/>
    <n v="73.5"/>
    <n v="144.55000000000001"/>
    <x v="0"/>
    <x v="4"/>
    <n v="-33"/>
    <s v="Invalid Data"/>
  </r>
  <r>
    <s v="36-330-5036"/>
    <x v="115"/>
    <x v="6"/>
    <s v="52-359-1255"/>
    <s v="Mycat"/>
    <n v="79"/>
    <n v="28"/>
    <n v="4"/>
    <s v="$15.00 "/>
    <n v="15"/>
    <d v="2025-01-02T00:00:00"/>
    <d v="2025-01-02T00:00:00"/>
    <s v="9/20/2024"/>
    <d v="2024-09-20T00:00:00"/>
    <s v="5/17/2024"/>
    <d v="2024-05-17T00:00:00"/>
    <s v="21 Golden Leaf Hill"/>
    <n v="42"/>
    <n v="46"/>
    <s v="Active"/>
    <n v="630"/>
    <n v="1185"/>
    <x v="1"/>
    <x v="13"/>
    <n v="-230"/>
    <s v="Invalid Data"/>
  </r>
  <r>
    <s v="65-674-6076"/>
    <x v="22"/>
    <x v="4"/>
    <s v="16-933-3355"/>
    <s v="Ntags"/>
    <n v="78"/>
    <n v="61"/>
    <n v="6"/>
    <s v="$0.80 "/>
    <n v="0.8"/>
    <s v="5/27/2024"/>
    <d v="2024-05-27T00:00:00"/>
    <d v="2024-06-10T00:00:00"/>
    <d v="2024-06-10T00:00:00"/>
    <s v="12/18/2024"/>
    <d v="2024-12-18T00:00:00"/>
    <s v="9738 Old Shore Trail"/>
    <n v="49"/>
    <n v="60"/>
    <s v="Active"/>
    <n v="39.200000000000003"/>
    <n v="62.400000000000006"/>
    <x v="1"/>
    <x v="8"/>
    <n v="205"/>
    <s v="Low Risk"/>
  </r>
  <r>
    <s v="87-013-6488"/>
    <x v="0"/>
    <x v="0"/>
    <s v="77-471-0792"/>
    <s v="Tekfly"/>
    <n v="22"/>
    <n v="10"/>
    <n v="53"/>
    <s v="$4.25 "/>
    <n v="4.25"/>
    <d v="2024-08-08T00:00:00"/>
    <d v="2024-08-08T00:00:00"/>
    <s v="10/26/2024"/>
    <d v="2024-10-26T00:00:00"/>
    <s v="4/14/2024"/>
    <d v="2024-04-14T00:00:00"/>
    <s v="07855 Goodland Lane"/>
    <n v="64"/>
    <n v="7"/>
    <s v="Active"/>
    <n v="272"/>
    <n v="93.5"/>
    <x v="1"/>
    <x v="0"/>
    <n v="-116"/>
    <s v="Invalid Data"/>
  </r>
  <r>
    <s v="95-449-1286"/>
    <x v="120"/>
    <x v="4"/>
    <s v="18-260-7354"/>
    <s v="Realfire"/>
    <n v="10"/>
    <n v="17"/>
    <n v="70"/>
    <s v="$0.20 "/>
    <n v="0.2"/>
    <s v="12/29/2024"/>
    <d v="2024-12-29T00:00:00"/>
    <s v="12/23/2024"/>
    <d v="2024-12-23T00:00:00"/>
    <d v="2024-08-09T00:00:00"/>
    <d v="2024-08-09T00:00:00"/>
    <s v="1 Jackson Pass"/>
    <n v="100"/>
    <n v="63"/>
    <s v="Backordered"/>
    <n v="20"/>
    <n v="2"/>
    <x v="0"/>
    <x v="6"/>
    <n v="-142"/>
    <s v="Invalid Data"/>
  </r>
  <r>
    <s v="95-640-0293"/>
    <x v="54"/>
    <x v="0"/>
    <s v="43-575-2151"/>
    <s v="Geba"/>
    <n v="34"/>
    <n v="32"/>
    <n v="22"/>
    <s v="$4.50 "/>
    <n v="4.5"/>
    <d v="2024-02-05T00:00:00"/>
    <d v="2024-02-05T00:00:00"/>
    <d v="2024-02-11T00:00:00"/>
    <d v="2024-02-11T00:00:00"/>
    <d v="2025-07-02T00:00:00"/>
    <d v="2025-07-02T00:00:00"/>
    <s v="31 Sullivan Hill"/>
    <n v="42"/>
    <n v="27"/>
    <s v="Active"/>
    <n v="189"/>
    <n v="153"/>
    <x v="1"/>
    <x v="9"/>
    <n v="513"/>
    <s v="Safe"/>
  </r>
  <r>
    <s v="08-495-6853"/>
    <x v="52"/>
    <x v="4"/>
    <s v="07-432-0137"/>
    <s v="Yadel"/>
    <n v="74"/>
    <n v="62"/>
    <n v="6"/>
    <s v="$4.00 "/>
    <n v="4"/>
    <s v="12/27/2024"/>
    <d v="2024-12-27T00:00:00"/>
    <s v="1/13/2025"/>
    <d v="2025-01-13T00:00:00"/>
    <s v="8/14/2024"/>
    <d v="2024-08-14T00:00:00"/>
    <s v="7943 Amoth Parkway"/>
    <n v="65"/>
    <n v="96"/>
    <s v="Active"/>
    <n v="260"/>
    <n v="296"/>
    <x v="1"/>
    <x v="6"/>
    <n v="-135"/>
    <s v="Invalid Data"/>
  </r>
  <r>
    <s v="42-495-7698"/>
    <x v="0"/>
    <x v="0"/>
    <s v="93-625-4768"/>
    <s v="Latz"/>
    <n v="10"/>
    <n v="11"/>
    <n v="29"/>
    <s v="$4.30 "/>
    <n v="4.3"/>
    <s v="2/13/2025"/>
    <d v="2025-02-13T00:00:00"/>
    <d v="2024-08-10T00:00:00"/>
    <d v="2024-08-10T00:00:00"/>
    <s v="7/22/2024"/>
    <d v="2024-07-22T00:00:00"/>
    <s v="91 Gateway Pass"/>
    <n v="29"/>
    <n v="72"/>
    <s v="Backordered"/>
    <n v="124.69999999999999"/>
    <n v="43"/>
    <x v="0"/>
    <x v="14"/>
    <n v="-206"/>
    <s v="Invalid Data"/>
  </r>
  <r>
    <s v="83-727-0814"/>
    <x v="96"/>
    <x v="0"/>
    <s v="79-656-1990"/>
    <s v="Yodo"/>
    <n v="11"/>
    <n v="87"/>
    <n v="64"/>
    <s v="$4.50 "/>
    <n v="4.5"/>
    <s v="8/30/2024"/>
    <d v="2024-08-30T00:00:00"/>
    <d v="2024-08-06T00:00:00"/>
    <d v="2024-08-06T00:00:00"/>
    <d v="2024-05-06T00:00:00"/>
    <d v="2024-05-06T00:00:00"/>
    <s v="28 Boyd Pass"/>
    <n v="29"/>
    <n v="6"/>
    <s v="Active"/>
    <n v="130.5"/>
    <n v="49.5"/>
    <x v="0"/>
    <x v="0"/>
    <n v="-116"/>
    <s v="Invalid Data"/>
  </r>
  <r>
    <s v="01-050-2246"/>
    <x v="103"/>
    <x v="2"/>
    <s v="80-462-5807"/>
    <s v="Gabspot"/>
    <n v="99"/>
    <n v="68"/>
    <n v="1"/>
    <s v="$5.50 "/>
    <n v="5.5"/>
    <s v="7/13/2024"/>
    <d v="2024-07-13T00:00:00"/>
    <s v="2/25/2024"/>
    <d v="2024-02-25T00:00:00"/>
    <d v="2024-08-09T00:00:00"/>
    <d v="2024-08-09T00:00:00"/>
    <s v="38 Esch Pass"/>
    <n v="59"/>
    <n v="16"/>
    <s v="Discontinued"/>
    <n v="324.5"/>
    <n v="544.5"/>
    <x v="1"/>
    <x v="10"/>
    <n v="27"/>
    <s v="Critical"/>
  </r>
  <r>
    <s v="07-858-5487"/>
    <x v="15"/>
    <x v="4"/>
    <s v="92-991-6167"/>
    <s v="Meeveo"/>
    <n v="64"/>
    <n v="14"/>
    <n v="44"/>
    <s v="$8.00 "/>
    <n v="8"/>
    <s v="6/23/2024"/>
    <d v="2024-06-23T00:00:00"/>
    <s v="5/16/2024"/>
    <d v="2024-05-16T00:00:00"/>
    <s v="12/29/2024"/>
    <d v="2024-12-29T00:00:00"/>
    <s v="6 Susan Alley"/>
    <n v="53"/>
    <n v="33"/>
    <s v="Active"/>
    <n v="424"/>
    <n v="512"/>
    <x v="1"/>
    <x v="12"/>
    <n v="189"/>
    <s v="Low Risk"/>
  </r>
  <r>
    <s v="20-283-0111"/>
    <x v="25"/>
    <x v="2"/>
    <s v="60-394-8955"/>
    <s v="Cogidoo"/>
    <n v="58"/>
    <n v="55"/>
    <n v="5"/>
    <s v="$4.45 "/>
    <n v="4.45"/>
    <s v="12/31/2024"/>
    <d v="2024-12-31T00:00:00"/>
    <s v="4/17/2024"/>
    <d v="2024-04-17T00:00:00"/>
    <d v="2025-06-01T00:00:00"/>
    <d v="2025-06-01T00:00:00"/>
    <s v="0 Ruskin Way"/>
    <n v="62"/>
    <n v="89"/>
    <s v="Active"/>
    <n v="275.90000000000003"/>
    <n v="258.10000000000002"/>
    <x v="1"/>
    <x v="6"/>
    <n v="152"/>
    <s v="Medium Risk"/>
  </r>
  <r>
    <s v="87-391-9658"/>
    <x v="6"/>
    <x v="3"/>
    <s v="51-054-1226"/>
    <s v="Centizu"/>
    <n v="26"/>
    <n v="100"/>
    <n v="13"/>
    <s v="$2.50 "/>
    <n v="2.5"/>
    <s v="11/23/2024"/>
    <d v="2024-11-23T00:00:00"/>
    <s v="9/18/2024"/>
    <d v="2024-09-18T00:00:00"/>
    <d v="2025-07-01T00:00:00"/>
    <d v="2025-07-01T00:00:00"/>
    <s v="92486 Laurel Alley"/>
    <n v="45"/>
    <n v="45"/>
    <s v="Discontinued"/>
    <n v="112.5"/>
    <n v="65"/>
    <x v="0"/>
    <x v="5"/>
    <n v="220"/>
    <s v="Low Risk"/>
  </r>
  <r>
    <s v="44-782-1395"/>
    <x v="21"/>
    <x v="0"/>
    <s v="54-132-9762"/>
    <s v="Flipopia"/>
    <n v="72"/>
    <n v="72"/>
    <n v="68"/>
    <s v="$1.50 "/>
    <n v="1.5"/>
    <s v="9/29/2024"/>
    <d v="2024-09-29T00:00:00"/>
    <s v="6/26/2024"/>
    <d v="2024-06-26T00:00:00"/>
    <s v="11/17/2024"/>
    <d v="2024-11-17T00:00:00"/>
    <s v="365 Vera Terrace"/>
    <n v="39"/>
    <n v="78"/>
    <s v="Active"/>
    <n v="58.5"/>
    <n v="108"/>
    <x v="0"/>
    <x v="11"/>
    <n v="49"/>
    <s v="High Risk"/>
  </r>
  <r>
    <s v="12-828-1063"/>
    <x v="49"/>
    <x v="4"/>
    <s v="48-707-5857"/>
    <s v="Buzzdog"/>
    <n v="36"/>
    <n v="82"/>
    <n v="85"/>
    <s v="$7.10 "/>
    <n v="7.1"/>
    <s v="4/28/2024"/>
    <d v="2024-04-28T00:00:00"/>
    <s v="3/29/2024"/>
    <d v="2024-03-29T00:00:00"/>
    <d v="2024-05-08T00:00:00"/>
    <d v="2024-05-08T00:00:00"/>
    <s v="018 Oxford Crossing"/>
    <n v="27"/>
    <n v="67"/>
    <s v="Discontinued"/>
    <n v="191.7"/>
    <n v="255.6"/>
    <x v="0"/>
    <x v="4"/>
    <n v="10"/>
    <s v="Critical"/>
  </r>
  <r>
    <s v="72-989-2512"/>
    <x v="23"/>
    <x v="2"/>
    <s v="03-117-6217"/>
    <s v="Yakijo"/>
    <n v="24"/>
    <n v="21"/>
    <n v="4"/>
    <s v="$6.00 "/>
    <n v="6"/>
    <d v="2024-05-04T00:00:00"/>
    <d v="2024-05-04T00:00:00"/>
    <s v="6/27/2024"/>
    <d v="2024-06-27T00:00:00"/>
    <s v="10/28/2024"/>
    <d v="2024-10-28T00:00:00"/>
    <s v="61 Waubesa Court"/>
    <n v="85"/>
    <n v="17"/>
    <s v="Backordered"/>
    <n v="510"/>
    <n v="144"/>
    <x v="1"/>
    <x v="8"/>
    <n v="177"/>
    <s v="Medium Risk"/>
  </r>
  <r>
    <s v="53-667-4109"/>
    <x v="31"/>
    <x v="2"/>
    <s v="40-800-4739"/>
    <s v="Voolith"/>
    <n v="16"/>
    <n v="75"/>
    <n v="42"/>
    <s v="$2.00 "/>
    <n v="2"/>
    <s v="7/23/2024"/>
    <d v="2024-07-23T00:00:00"/>
    <s v="3/21/2024"/>
    <d v="2024-03-21T00:00:00"/>
    <s v="5/24/2024"/>
    <d v="2024-05-24T00:00:00"/>
    <s v="992 East Point"/>
    <n v="22"/>
    <n v="46"/>
    <s v="Active"/>
    <n v="44"/>
    <n v="32"/>
    <x v="0"/>
    <x v="10"/>
    <n v="-60"/>
    <s v="Invalid Data"/>
  </r>
  <r>
    <s v="93-772-3085"/>
    <x v="74"/>
    <x v="2"/>
    <s v="61-807-0746"/>
    <s v="Edgetag"/>
    <n v="39"/>
    <n v="19"/>
    <n v="18"/>
    <s v="$13.99 "/>
    <n v="13.99"/>
    <s v="3/30/2024"/>
    <d v="2024-03-30T00:00:00"/>
    <s v="7/18/2024"/>
    <d v="2024-07-18T00:00:00"/>
    <s v="1/20/2025"/>
    <d v="2025-01-20T00:00:00"/>
    <s v="07359 Porter Park"/>
    <n v="58"/>
    <n v="90"/>
    <s v="Active"/>
    <n v="811.42"/>
    <n v="545.61"/>
    <x v="1"/>
    <x v="2"/>
    <n v="296"/>
    <s v="Low Risk"/>
  </r>
  <r>
    <s v="92-652-3737"/>
    <x v="32"/>
    <x v="2"/>
    <s v="42-361-6981"/>
    <s v="Quimm"/>
    <n v="89"/>
    <n v="56"/>
    <n v="74"/>
    <s v="$2.50 "/>
    <n v="2.5"/>
    <d v="2024-10-11T00:00:00"/>
    <d v="2024-10-11T00:00:00"/>
    <s v="7/30/2024"/>
    <d v="2024-07-30T00:00:00"/>
    <d v="2024-01-10T00:00:00"/>
    <d v="2024-01-10T00:00:00"/>
    <s v="66330 Northridge Street"/>
    <n v="27"/>
    <n v="51"/>
    <s v="Backordered"/>
    <n v="67.5"/>
    <n v="222.5"/>
    <x v="1"/>
    <x v="7"/>
    <n v="-275"/>
    <s v="Invalid Data"/>
  </r>
  <r>
    <s v="74-404-0582"/>
    <x v="119"/>
    <x v="2"/>
    <s v="31-628-6696"/>
    <s v="Jabbersphere"/>
    <n v="57"/>
    <n v="82"/>
    <n v="59"/>
    <s v="$8.00 "/>
    <n v="8"/>
    <d v="2024-10-09T00:00:00"/>
    <d v="2024-10-09T00:00:00"/>
    <s v="11/20/2024"/>
    <d v="2024-11-20T00:00:00"/>
    <d v="2024-11-06T00:00:00"/>
    <d v="2024-11-06T00:00:00"/>
    <s v="07 Maple Wood Drive"/>
    <n v="44"/>
    <n v="57"/>
    <s v="Active"/>
    <n v="352"/>
    <n v="456"/>
    <x v="0"/>
    <x v="7"/>
    <n v="28"/>
    <s v="Critical"/>
  </r>
  <r>
    <s v="19-244-9890"/>
    <x v="29"/>
    <x v="1"/>
    <s v="98-107-0604"/>
    <s v="Wikido"/>
    <n v="61"/>
    <n v="22"/>
    <n v="98"/>
    <s v="$30.00 "/>
    <n v="30"/>
    <d v="2024-07-03T00:00:00"/>
    <d v="2024-07-03T00:00:00"/>
    <d v="2024-02-10T00:00:00"/>
    <d v="2024-02-10T00:00:00"/>
    <d v="2024-09-11T00:00:00"/>
    <d v="2024-09-11T00:00:00"/>
    <s v="620 Mockingbird Pass"/>
    <n v="90"/>
    <n v="11"/>
    <s v="Active"/>
    <n v="2700"/>
    <n v="1830"/>
    <x v="1"/>
    <x v="10"/>
    <n v="70"/>
    <s v="High Risk"/>
  </r>
  <r>
    <s v="01-839-6534"/>
    <x v="33"/>
    <x v="0"/>
    <s v="51-519-4588"/>
    <s v="Tanoodle"/>
    <n v="56"/>
    <n v="28"/>
    <n v="76"/>
    <s v="$3.00 "/>
    <n v="3"/>
    <s v="10/25/2024"/>
    <d v="2024-10-25T00:00:00"/>
    <d v="2025-04-02T00:00:00"/>
    <d v="2025-04-02T00:00:00"/>
    <d v="2024-02-09T00:00:00"/>
    <d v="2024-02-09T00:00:00"/>
    <s v="8 Hazelcrest Street"/>
    <n v="93"/>
    <n v="69"/>
    <s v="Active"/>
    <n v="279"/>
    <n v="168"/>
    <x v="1"/>
    <x v="7"/>
    <n v="-259"/>
    <s v="Invalid Data"/>
  </r>
  <r>
    <s v="58-229-1358"/>
    <x v="58"/>
    <x v="4"/>
    <s v="66-883-2383"/>
    <s v="Bubblebox"/>
    <n v="21"/>
    <n v="24"/>
    <n v="2"/>
    <s v="$2.35 "/>
    <n v="2.35"/>
    <d v="2024-05-04T00:00:00"/>
    <d v="2024-05-04T00:00:00"/>
    <d v="2024-11-09T00:00:00"/>
    <d v="2024-11-09T00:00:00"/>
    <s v="9/28/2024"/>
    <d v="2024-09-28T00:00:00"/>
    <s v="1 Lillian Plaza"/>
    <n v="87"/>
    <n v="36"/>
    <s v="Backordered"/>
    <n v="204.45000000000002"/>
    <n v="49.35"/>
    <x v="0"/>
    <x v="8"/>
    <n v="147"/>
    <s v="Medium Risk"/>
  </r>
  <r>
    <s v="80-025-6757"/>
    <x v="103"/>
    <x v="2"/>
    <s v="49-608-3851"/>
    <s v="Thoughtmix"/>
    <n v="59"/>
    <n v="29"/>
    <n v="100"/>
    <s v="$5.50 "/>
    <n v="5.5"/>
    <d v="2024-04-04T00:00:00"/>
    <d v="2024-04-04T00:00:00"/>
    <s v="11/29/2024"/>
    <d v="2024-11-29T00:00:00"/>
    <d v="2025-01-01T00:00:00"/>
    <d v="2025-01-01T00:00:00"/>
    <s v="183 Algoma Trail"/>
    <n v="74"/>
    <n v="16"/>
    <s v="Discontinued"/>
    <n v="407"/>
    <n v="324.5"/>
    <x v="1"/>
    <x v="4"/>
    <n v="272"/>
    <s v="Low Risk"/>
  </r>
  <r>
    <s v="35-031-1497"/>
    <x v="43"/>
    <x v="1"/>
    <s v="84-835-1656"/>
    <s v="Linklinks"/>
    <n v="20"/>
    <n v="68"/>
    <n v="20"/>
    <s v="$12.00 "/>
    <n v="12"/>
    <d v="2025-09-01T00:00:00"/>
    <d v="2025-09-01T00:00:00"/>
    <d v="2024-04-07T00:00:00"/>
    <d v="2024-04-07T00:00:00"/>
    <d v="2024-02-11T00:00:00"/>
    <d v="2024-02-11T00:00:00"/>
    <s v="581 Oneill Crossing"/>
    <n v="38"/>
    <n v="51"/>
    <s v="Active"/>
    <n v="456"/>
    <n v="240"/>
    <x v="0"/>
    <x v="20"/>
    <n v="-568"/>
    <s v="Invalid Data"/>
  </r>
  <r>
    <s v="26-629-5920"/>
    <x v="11"/>
    <x v="5"/>
    <s v="19-264-7608"/>
    <s v="Jetwire"/>
    <n v="99"/>
    <n v="6"/>
    <n v="88"/>
    <s v="$3.00 "/>
    <n v="3"/>
    <s v="5/15/2024"/>
    <d v="2024-05-15T00:00:00"/>
    <s v="7/16/2024"/>
    <d v="2024-07-16T00:00:00"/>
    <s v="12/14/2024"/>
    <d v="2024-12-14T00:00:00"/>
    <s v="77563 Russell Lane"/>
    <n v="49"/>
    <n v="9"/>
    <s v="Active"/>
    <n v="147"/>
    <n v="297"/>
    <x v="1"/>
    <x v="8"/>
    <n v="213"/>
    <s v="Low Risk"/>
  </r>
  <r>
    <s v="51-000-8113"/>
    <x v="85"/>
    <x v="1"/>
    <s v="56-825-0880"/>
    <s v="Vidoo"/>
    <n v="24"/>
    <n v="27"/>
    <n v="35"/>
    <s v="$8.00 "/>
    <n v="8"/>
    <s v="10/14/2024"/>
    <d v="2024-10-14T00:00:00"/>
    <s v="1/31/2025"/>
    <d v="2025-01-31T00:00:00"/>
    <s v="11/20/2024"/>
    <d v="2024-11-20T00:00:00"/>
    <s v="51369 Dawn Hill"/>
    <n v="49"/>
    <n v="58"/>
    <s v="Active"/>
    <n v="392"/>
    <n v="192"/>
    <x v="0"/>
    <x v="7"/>
    <n v="37"/>
    <s v="High Risk"/>
  </r>
  <r>
    <s v="93-571-7294"/>
    <x v="0"/>
    <x v="0"/>
    <s v="77-842-0920"/>
    <s v="Quire"/>
    <n v="78"/>
    <n v="94"/>
    <n v="7"/>
    <s v="$4.35 "/>
    <n v="4.3499999999999996"/>
    <d v="2024-06-09T00:00:00"/>
    <d v="2024-06-09T00:00:00"/>
    <d v="2024-03-11T00:00:00"/>
    <d v="2024-03-11T00:00:00"/>
    <s v="5/22/2024"/>
    <d v="2024-05-22T00:00:00"/>
    <s v="76 Fisk Park"/>
    <n v="69"/>
    <n v="40"/>
    <s v="Backordered"/>
    <n v="300.14999999999998"/>
    <n v="339.29999999999995"/>
    <x v="0"/>
    <x v="12"/>
    <n v="-18"/>
    <s v="Invalid Data"/>
  </r>
  <r>
    <s v="48-770-6319"/>
    <x v="9"/>
    <x v="4"/>
    <s v="64-452-2395"/>
    <s v="Fivebridge"/>
    <n v="52"/>
    <n v="31"/>
    <n v="18"/>
    <s v="$1.00 "/>
    <n v="1"/>
    <s v="4/28/2024"/>
    <d v="2024-04-28T00:00:00"/>
    <s v="11/21/2024"/>
    <d v="2024-11-21T00:00:00"/>
    <d v="2025-02-02T00:00:00"/>
    <d v="2025-02-02T00:00:00"/>
    <s v="34 Fremont Point"/>
    <n v="77"/>
    <n v="16"/>
    <s v="Backordered"/>
    <n v="77"/>
    <n v="52"/>
    <x v="1"/>
    <x v="4"/>
    <n v="280"/>
    <s v="Low Risk"/>
  </r>
  <r>
    <s v="74-818-3306"/>
    <x v="16"/>
    <x v="2"/>
    <s v="75-536-2986"/>
    <s v="Eabox"/>
    <n v="45"/>
    <n v="70"/>
    <n v="98"/>
    <s v="$2.45 "/>
    <n v="2.4500000000000002"/>
    <d v="2024-10-08T00:00:00"/>
    <d v="2024-10-08T00:00:00"/>
    <s v="7/27/2024"/>
    <d v="2024-07-27T00:00:00"/>
    <d v="2024-09-05T00:00:00"/>
    <d v="2024-09-05T00:00:00"/>
    <s v="62 Thackeray Center"/>
    <n v="25"/>
    <n v="39"/>
    <s v="Backordered"/>
    <n v="61.250000000000007"/>
    <n v="110.25000000000001"/>
    <x v="0"/>
    <x v="7"/>
    <n v="-33"/>
    <s v="Invalid Data"/>
  </r>
  <r>
    <s v="15-082-9124"/>
    <x v="106"/>
    <x v="2"/>
    <s v="02-997-1489"/>
    <s v="LiveZ"/>
    <n v="89"/>
    <n v="35"/>
    <n v="19"/>
    <s v="$5.00 "/>
    <n v="5"/>
    <s v="1/31/2025"/>
    <d v="2025-01-31T00:00:00"/>
    <d v="2024-08-10T00:00:00"/>
    <d v="2024-08-10T00:00:00"/>
    <d v="2024-07-05T00:00:00"/>
    <d v="2024-07-05T00:00:00"/>
    <s v="38 Dawn Street"/>
    <n v="49"/>
    <n v="55"/>
    <s v="Discontinued"/>
    <n v="245"/>
    <n v="445"/>
    <x v="1"/>
    <x v="13"/>
    <n v="-210"/>
    <s v="Invalid Data"/>
  </r>
  <r>
    <s v="66-854-5736"/>
    <x v="39"/>
    <x v="2"/>
    <s v="98-591-1051"/>
    <s v="Vitz"/>
    <n v="63"/>
    <n v="57"/>
    <n v="11"/>
    <s v="$5.80 "/>
    <n v="5.8"/>
    <d v="2025-11-01T00:00:00"/>
    <d v="2025-11-01T00:00:00"/>
    <s v="12/23/2024"/>
    <d v="2024-12-23T00:00:00"/>
    <d v="2024-10-05T00:00:00"/>
    <d v="2024-10-05T00:00:00"/>
    <s v="50880 Nobel Road"/>
    <n v="20"/>
    <n v="100"/>
    <s v="Discontinued"/>
    <n v="116"/>
    <n v="365.4"/>
    <x v="1"/>
    <x v="22"/>
    <n v="-392"/>
    <s v="Invalid Data"/>
  </r>
  <r>
    <s v="90-128-7973"/>
    <x v="2"/>
    <x v="0"/>
    <s v="91-417-6283"/>
    <s v="Shuffletag"/>
    <n v="49"/>
    <n v="3"/>
    <n v="7"/>
    <s v="$6.25 "/>
    <n v="6.25"/>
    <s v="9/19/2024"/>
    <d v="2024-09-19T00:00:00"/>
    <s v="10/31/2024"/>
    <d v="2024-10-31T00:00:00"/>
    <s v="3/13/2024"/>
    <d v="2024-03-13T00:00:00"/>
    <s v="46989 Crescent Oaks Junction"/>
    <n v="75"/>
    <n v="46"/>
    <s v="Backordered"/>
    <n v="468.75"/>
    <n v="306.25"/>
    <x v="1"/>
    <x v="11"/>
    <n v="-190"/>
    <s v="Invalid Data"/>
  </r>
  <r>
    <s v="60-198-7050"/>
    <x v="85"/>
    <x v="1"/>
    <s v="27-493-6787"/>
    <s v="Photobug"/>
    <n v="26"/>
    <n v="59"/>
    <n v="54"/>
    <s v="$8.00 "/>
    <n v="8"/>
    <d v="2024-10-08T00:00:00"/>
    <d v="2024-10-08T00:00:00"/>
    <s v="11/24/2024"/>
    <d v="2024-11-24T00:00:00"/>
    <s v="3/19/2024"/>
    <d v="2024-03-19T00:00:00"/>
    <s v="5306 Arkansas Avenue"/>
    <n v="92"/>
    <n v="49"/>
    <s v="Active"/>
    <n v="736"/>
    <n v="208"/>
    <x v="0"/>
    <x v="7"/>
    <n v="-203"/>
    <s v="Invalid Data"/>
  </r>
  <r>
    <s v="70-206-4860"/>
    <x v="22"/>
    <x v="4"/>
    <s v="82-527-9395"/>
    <s v="Meejo"/>
    <n v="93"/>
    <n v="68"/>
    <n v="71"/>
    <s v="$0.80 "/>
    <n v="0.8"/>
    <d v="2025-09-02T00:00:00"/>
    <d v="2025-09-02T00:00:00"/>
    <d v="2024-11-03T00:00:00"/>
    <d v="2024-11-03T00:00:00"/>
    <s v="9/17/2024"/>
    <d v="2024-09-17T00:00:00"/>
    <s v="75 High Crossing Junction"/>
    <n v="30"/>
    <n v="37"/>
    <s v="Discontinued"/>
    <n v="24"/>
    <n v="74.400000000000006"/>
    <x v="1"/>
    <x v="20"/>
    <n v="-350"/>
    <s v="Invalid Data"/>
  </r>
  <r>
    <s v="25-353-2067"/>
    <x v="108"/>
    <x v="2"/>
    <s v="01-210-3485"/>
    <s v="Brightbean"/>
    <n v="81"/>
    <n v="16"/>
    <n v="69"/>
    <s v="$4.30 "/>
    <n v="4.3"/>
    <d v="2025-06-01T00:00:00"/>
    <d v="2025-06-01T00:00:00"/>
    <d v="2024-04-08T00:00:00"/>
    <d v="2024-04-08T00:00:00"/>
    <s v="7/25/2024"/>
    <d v="2024-07-25T00:00:00"/>
    <s v="59449 Sherman Parkway"/>
    <n v="23"/>
    <n v="96"/>
    <s v="Backordered"/>
    <n v="98.899999999999991"/>
    <n v="348.3"/>
    <x v="1"/>
    <x v="15"/>
    <n v="-311"/>
    <s v="Invalid Data"/>
  </r>
  <r>
    <s v="93-218-8108"/>
    <x v="52"/>
    <x v="4"/>
    <s v="05-966-6460"/>
    <s v="Talane"/>
    <n v="74"/>
    <n v="60"/>
    <n v="27"/>
    <s v="$4.00 "/>
    <n v="4"/>
    <s v="6/17/2024"/>
    <d v="2024-06-17T00:00:00"/>
    <s v="5/22/2024"/>
    <d v="2024-05-22T00:00:00"/>
    <s v="11/17/2024"/>
    <d v="2024-11-17T00:00:00"/>
    <s v="9848 Little Fleur Point"/>
    <n v="99"/>
    <n v="68"/>
    <s v="Backordered"/>
    <n v="396"/>
    <n v="296"/>
    <x v="1"/>
    <x v="12"/>
    <n v="153"/>
    <s v="Medium Risk"/>
  </r>
  <r>
    <s v="95-262-6208"/>
    <x v="46"/>
    <x v="1"/>
    <s v="66-227-1125"/>
    <s v="Devshare"/>
    <n v="19"/>
    <n v="78"/>
    <n v="90"/>
    <s v="$5.00 "/>
    <n v="5"/>
    <s v="12/24/2024"/>
    <d v="2024-12-24T00:00:00"/>
    <s v="4/15/2024"/>
    <d v="2024-04-15T00:00:00"/>
    <s v="7/29/2024"/>
    <d v="2024-07-29T00:00:00"/>
    <s v="44662 American Plaza"/>
    <n v="72"/>
    <n v="84"/>
    <s v="Discontinued"/>
    <n v="360"/>
    <n v="95"/>
    <x v="0"/>
    <x v="6"/>
    <n v="-148"/>
    <s v="Invalid Data"/>
  </r>
  <r>
    <s v="02-484-0206"/>
    <x v="33"/>
    <x v="0"/>
    <s v="62-011-9357"/>
    <s v="Quatz"/>
    <n v="64"/>
    <n v="97"/>
    <n v="91"/>
    <s v="$3.00 "/>
    <n v="3"/>
    <s v="11/25/2024"/>
    <d v="2024-11-25T00:00:00"/>
    <s v="8/20/2024"/>
    <d v="2024-08-20T00:00:00"/>
    <d v="2024-02-08T00:00:00"/>
    <d v="2024-02-08T00:00:00"/>
    <s v="60 Main Pass"/>
    <n v="48"/>
    <n v="100"/>
    <s v="Active"/>
    <n v="144"/>
    <n v="192"/>
    <x v="0"/>
    <x v="5"/>
    <n v="-291"/>
    <s v="Invalid Data"/>
  </r>
  <r>
    <s v="08-226-5155"/>
    <x v="53"/>
    <x v="2"/>
    <s v="64-584-7898"/>
    <s v="Zava"/>
    <n v="49"/>
    <n v="93"/>
    <n v="15"/>
    <s v="$4.50 "/>
    <n v="4.5"/>
    <s v="4/27/2024"/>
    <d v="2024-04-27T00:00:00"/>
    <d v="2024-01-05T00:00:00"/>
    <d v="2024-01-05T00:00:00"/>
    <s v="4/27/2024"/>
    <d v="2024-04-27T00:00:00"/>
    <s v="81503 Graedel Plaza"/>
    <n v="52"/>
    <n v="31"/>
    <s v="Backordered"/>
    <n v="234"/>
    <n v="220.5"/>
    <x v="0"/>
    <x v="4"/>
    <n v="0"/>
    <s v="Critical"/>
  </r>
  <r>
    <s v="47-581-0363"/>
    <x v="20"/>
    <x v="4"/>
    <s v="08-359-2568"/>
    <s v="Tagpad"/>
    <n v="99"/>
    <n v="10"/>
    <n v="88"/>
    <s v="$12.00 "/>
    <n v="12"/>
    <s v="7/14/2024"/>
    <d v="2024-07-14T00:00:00"/>
    <d v="2024-05-12T00:00:00"/>
    <d v="2024-05-12T00:00:00"/>
    <s v="1/20/2025"/>
    <d v="2025-01-20T00:00:00"/>
    <s v="8 Dawn Court"/>
    <n v="69"/>
    <n v="98"/>
    <s v="Active"/>
    <n v="828"/>
    <n v="1188"/>
    <x v="1"/>
    <x v="10"/>
    <n v="190"/>
    <s v="Low Risk"/>
  </r>
  <r>
    <s v="04-104-6993"/>
    <x v="83"/>
    <x v="4"/>
    <s v="06-776-1072"/>
    <s v="Trilia"/>
    <n v="60"/>
    <n v="1"/>
    <n v="42"/>
    <s v="$2.45 "/>
    <n v="2.4500000000000002"/>
    <s v="11/16/2024"/>
    <d v="2024-11-16T00:00:00"/>
    <s v="8/27/2024"/>
    <d v="2024-08-27T00:00:00"/>
    <s v="10/15/2024"/>
    <d v="2024-10-15T00:00:00"/>
    <s v="55095 Northview Drive"/>
    <n v="42"/>
    <n v="91"/>
    <s v="Active"/>
    <n v="102.9"/>
    <n v="147"/>
    <x v="1"/>
    <x v="5"/>
    <n v="-32"/>
    <s v="Invalid Data"/>
  </r>
  <r>
    <s v="45-380-4627"/>
    <x v="19"/>
    <x v="2"/>
    <s v="20-201-5639"/>
    <s v="Zoombox"/>
    <n v="90"/>
    <n v="1"/>
    <n v="40"/>
    <s v="$0.90 "/>
    <n v="0.9"/>
    <s v="10/20/2024"/>
    <d v="2024-10-20T00:00:00"/>
    <d v="2025-11-01T00:00:00"/>
    <d v="2025-11-01T00:00:00"/>
    <s v="2/16/2025"/>
    <d v="2025-02-16T00:00:00"/>
    <s v="0 Thackeray Point"/>
    <n v="52"/>
    <n v="19"/>
    <s v="Discontinued"/>
    <n v="46.800000000000004"/>
    <n v="81"/>
    <x v="1"/>
    <x v="7"/>
    <n v="119"/>
    <s v="Medium Risk"/>
  </r>
  <r>
    <s v="41-240-8856"/>
    <x v="30"/>
    <x v="6"/>
    <s v="28-162-7486"/>
    <s v="Snaptags"/>
    <n v="79"/>
    <n v="53"/>
    <n v="12"/>
    <s v="$9.00 "/>
    <n v="9"/>
    <s v="8/18/2024"/>
    <d v="2024-08-18T00:00:00"/>
    <s v="5/29/2024"/>
    <d v="2024-05-29T00:00:00"/>
    <d v="2025-10-01T00:00:00"/>
    <d v="2025-10-01T00:00:00"/>
    <s v="8 Autumn Leaf Drive"/>
    <n v="45"/>
    <n v="95"/>
    <s v="Discontinued"/>
    <n v="405"/>
    <n v="711"/>
    <x v="1"/>
    <x v="0"/>
    <n v="409"/>
    <s v="Safe"/>
  </r>
  <r>
    <s v="81-573-0943"/>
    <x v="120"/>
    <x v="4"/>
    <s v="07-754-2313"/>
    <s v="Topiclounge"/>
    <n v="22"/>
    <n v="58"/>
    <n v="2"/>
    <s v="$0.20 "/>
    <n v="0.2"/>
    <d v="2025-07-02T00:00:00"/>
    <d v="2025-07-02T00:00:00"/>
    <s v="6/28/2024"/>
    <d v="2024-06-28T00:00:00"/>
    <s v="11/14/2024"/>
    <d v="2024-11-14T00:00:00"/>
    <s v="20 Marcy Circle"/>
    <n v="33"/>
    <n v="68"/>
    <s v="Active"/>
    <n v="6.6000000000000005"/>
    <n v="4.4000000000000004"/>
    <x v="0"/>
    <x v="19"/>
    <n v="-230"/>
    <s v="Invalid Data"/>
  </r>
  <r>
    <s v="67-725-6830"/>
    <x v="104"/>
    <x v="0"/>
    <s v="05-727-0033"/>
    <s v="Quinu"/>
    <n v="51"/>
    <n v="47"/>
    <n v="6"/>
    <s v="$2.50 "/>
    <n v="2.5"/>
    <s v="11/23/2024"/>
    <d v="2024-11-23T00:00:00"/>
    <d v="2024-11-08T00:00:00"/>
    <d v="2024-11-08T00:00:00"/>
    <s v="6/18/2024"/>
    <d v="2024-06-18T00:00:00"/>
    <s v="9 Victoria Point"/>
    <n v="53"/>
    <n v="4"/>
    <s v="Backordered"/>
    <n v="132.5"/>
    <n v="127.5"/>
    <x v="1"/>
    <x v="5"/>
    <n v="-158"/>
    <s v="Invalid Data"/>
  </r>
  <r>
    <s v="55-154-4728"/>
    <x v="1"/>
    <x v="1"/>
    <s v="33-466-7894"/>
    <s v="Yotz"/>
    <n v="65"/>
    <n v="63"/>
    <n v="41"/>
    <s v="$20.00 "/>
    <n v="20"/>
    <d v="2024-02-04T00:00:00"/>
    <d v="2024-02-04T00:00:00"/>
    <d v="2025-07-01T00:00:00"/>
    <d v="2025-07-01T00:00:00"/>
    <s v="3/29/2024"/>
    <d v="2024-03-29T00:00:00"/>
    <s v="96 Westridge Junction"/>
    <n v="28"/>
    <n v="26"/>
    <s v="Backordered"/>
    <n v="560"/>
    <n v="1300"/>
    <x v="1"/>
    <x v="9"/>
    <n v="54"/>
    <s v="High Risk"/>
  </r>
  <r>
    <s v="41-526-4036"/>
    <x v="68"/>
    <x v="4"/>
    <s v="45-923-7206"/>
    <s v="Flashset"/>
    <n v="55"/>
    <n v="25"/>
    <n v="87"/>
    <s v="$4.00 "/>
    <n v="4"/>
    <s v="5/13/2024"/>
    <d v="2024-05-13T00:00:00"/>
    <d v="2024-02-03T00:00:00"/>
    <d v="2024-02-03T00:00:00"/>
    <s v="1/29/2025"/>
    <d v="2025-01-29T00:00:00"/>
    <s v="38726 Gina Pass"/>
    <n v="69"/>
    <n v="48"/>
    <s v="Backordered"/>
    <n v="276"/>
    <n v="220"/>
    <x v="1"/>
    <x v="8"/>
    <n v="261"/>
    <s v="Low Risk"/>
  </r>
  <r>
    <s v="86-273-9377"/>
    <x v="77"/>
    <x v="0"/>
    <s v="38-330-5543"/>
    <s v="Eimbee"/>
    <n v="18"/>
    <n v="86"/>
    <n v="20"/>
    <s v="$1.80 "/>
    <n v="1.8"/>
    <s v="12/26/2024"/>
    <d v="2024-12-26T00:00:00"/>
    <d v="2024-04-12T00:00:00"/>
    <d v="2024-04-12T00:00:00"/>
    <s v="11/29/2024"/>
    <d v="2024-11-29T00:00:00"/>
    <s v="1 Hollow Ridge Park"/>
    <n v="64"/>
    <n v="34"/>
    <s v="Discontinued"/>
    <n v="115.2"/>
    <n v="32.4"/>
    <x v="0"/>
    <x v="6"/>
    <n v="-27"/>
    <s v="Invalid Data"/>
  </r>
  <r>
    <s v="98-499-2220"/>
    <x v="20"/>
    <x v="4"/>
    <s v="69-666-2257"/>
    <s v="Skidoo"/>
    <n v="37"/>
    <n v="3"/>
    <n v="45"/>
    <s v="$12.00 "/>
    <n v="12"/>
    <s v="10/25/2024"/>
    <d v="2024-10-25T00:00:00"/>
    <s v="4/22/2024"/>
    <d v="2024-04-22T00:00:00"/>
    <s v="11/21/2024"/>
    <d v="2024-11-21T00:00:00"/>
    <s v="27 School Court"/>
    <n v="39"/>
    <n v="28"/>
    <s v="Discontinued"/>
    <n v="468"/>
    <n v="444"/>
    <x v="1"/>
    <x v="7"/>
    <n v="27"/>
    <s v="Critical"/>
  </r>
  <r>
    <s v="50-930-4751"/>
    <x v="115"/>
    <x v="6"/>
    <s v="40-260-8547"/>
    <s v="Abata"/>
    <n v="88"/>
    <n v="40"/>
    <n v="29"/>
    <s v="$15.00 "/>
    <n v="15"/>
    <s v="2/24/2025"/>
    <d v="2025-02-24T00:00:00"/>
    <s v="6/24/2024"/>
    <d v="2024-06-24T00:00:00"/>
    <s v="2/25/2024"/>
    <d v="2024-02-25T00:00:00"/>
    <s v="80380 Valley Edge Road"/>
    <n v="96"/>
    <n v="87"/>
    <s v="Discontinued"/>
    <n v="1440"/>
    <n v="1320"/>
    <x v="1"/>
    <x v="14"/>
    <n v="-365"/>
    <s v="Invalid Data"/>
  </r>
  <r>
    <s v="88-304-2855"/>
    <x v="27"/>
    <x v="2"/>
    <s v="59-570-2020"/>
    <s v="Brainverse"/>
    <n v="20"/>
    <n v="51"/>
    <n v="33"/>
    <s v="$3.50 "/>
    <n v="3.5"/>
    <d v="2024-03-04T00:00:00"/>
    <d v="2024-03-04T00:00:00"/>
    <s v="1/24/2025"/>
    <d v="2025-01-24T00:00:00"/>
    <d v="2025-12-02T00:00:00"/>
    <d v="2025-12-02T00:00:00"/>
    <s v="0 Delladonna Place"/>
    <n v="80"/>
    <n v="41"/>
    <s v="Active"/>
    <n v="280"/>
    <n v="70"/>
    <x v="0"/>
    <x v="2"/>
    <n v="638"/>
    <s v="Safe"/>
  </r>
  <r>
    <s v="69-743-0161"/>
    <x v="14"/>
    <x v="0"/>
    <s v="29-774-6779"/>
    <s v="Twitterwire"/>
    <n v="99"/>
    <n v="54"/>
    <n v="71"/>
    <s v="$1.50 "/>
    <n v="1.5"/>
    <s v="10/22/2024"/>
    <d v="2024-10-22T00:00:00"/>
    <s v="8/14/2024"/>
    <d v="2024-08-14T00:00:00"/>
    <s v="11/21/2024"/>
    <d v="2024-11-21T00:00:00"/>
    <s v="583 Loftsgordon Road"/>
    <n v="80"/>
    <n v="10"/>
    <s v="Discontinued"/>
    <n v="120"/>
    <n v="148.5"/>
    <x v="1"/>
    <x v="7"/>
    <n v="30"/>
    <s v="Critical"/>
  </r>
  <r>
    <s v="40-902-1995"/>
    <x v="91"/>
    <x v="2"/>
    <s v="86-879-7811"/>
    <s v="Zoomzone"/>
    <n v="46"/>
    <n v="88"/>
    <n v="20"/>
    <s v="$4.80 "/>
    <n v="4.8"/>
    <d v="2024-08-10T00:00:00"/>
    <d v="2024-08-10T00:00:00"/>
    <d v="2024-08-12T00:00:00"/>
    <d v="2024-08-12T00:00:00"/>
    <d v="2024-01-04T00:00:00"/>
    <d v="2024-01-04T00:00:00"/>
    <s v="1519 Delaware Court"/>
    <n v="59"/>
    <n v="79"/>
    <s v="Backordered"/>
    <n v="283.2"/>
    <n v="220.79999999999998"/>
    <x v="0"/>
    <x v="0"/>
    <n v="-219"/>
    <s v="Invalid Data"/>
  </r>
  <r>
    <s v="50-329-3360"/>
    <x v="114"/>
    <x v="0"/>
    <s v="85-594-2570"/>
    <s v="Topdrive"/>
    <n v="19"/>
    <n v="77"/>
    <n v="66"/>
    <s v="$10.00 "/>
    <n v="10"/>
    <d v="2024-07-11T00:00:00"/>
    <d v="2024-07-11T00:00:00"/>
    <s v="2/16/2025"/>
    <d v="2025-02-16T00:00:00"/>
    <s v="8/25/2024"/>
    <d v="2024-08-25T00:00:00"/>
    <s v="72 Crownhardt Circle"/>
    <n v="62"/>
    <n v="100"/>
    <s v="Active"/>
    <n v="620"/>
    <n v="190"/>
    <x v="0"/>
    <x v="10"/>
    <n v="45"/>
    <s v="High Risk"/>
  </r>
  <r>
    <s v="03-441-4252"/>
    <x v="109"/>
    <x v="4"/>
    <s v="11-430-6041"/>
    <s v="Wordpedia"/>
    <n v="12"/>
    <n v="83"/>
    <n v="93"/>
    <s v="$1.75 "/>
    <n v="1.75"/>
    <s v="10/27/2024"/>
    <d v="2024-10-27T00:00:00"/>
    <s v="6/28/2024"/>
    <d v="2024-06-28T00:00:00"/>
    <s v="7/24/2024"/>
    <d v="2024-07-24T00:00:00"/>
    <s v="6 Bobwhite Alley"/>
    <n v="22"/>
    <n v="9"/>
    <s v="Backordered"/>
    <n v="38.5"/>
    <n v="21"/>
    <x v="0"/>
    <x v="7"/>
    <n v="-95"/>
    <s v="Invalid Data"/>
  </r>
  <r>
    <s v="97-093-4278"/>
    <x v="83"/>
    <x v="4"/>
    <s v="38-200-4863"/>
    <s v="Twitterlist"/>
    <n v="69"/>
    <n v="98"/>
    <n v="89"/>
    <s v="$2.55 "/>
    <n v="2.5499999999999998"/>
    <s v="10/29/2024"/>
    <d v="2024-10-29T00:00:00"/>
    <d v="2024-09-04T00:00:00"/>
    <d v="2024-09-04T00:00:00"/>
    <d v="2024-01-06T00:00:00"/>
    <d v="2024-01-06T00:00:00"/>
    <s v="467 Dexter Pass"/>
    <n v="29"/>
    <n v="34"/>
    <s v="Discontinued"/>
    <n v="73.949999999999989"/>
    <n v="175.95"/>
    <x v="0"/>
    <x v="7"/>
    <n v="-297"/>
    <s v="Invalid Data"/>
  </r>
  <r>
    <s v="01-820-5784"/>
    <x v="9"/>
    <x v="4"/>
    <s v="80-567-5598"/>
    <s v="Skipfire"/>
    <n v="63"/>
    <n v="38"/>
    <n v="77"/>
    <s v="$1.00 "/>
    <n v="1"/>
    <s v="12/23/2024"/>
    <d v="2024-12-23T00:00:00"/>
    <d v="2025-12-02T00:00:00"/>
    <d v="2025-12-02T00:00:00"/>
    <s v="4/26/2024"/>
    <d v="2024-04-26T00:00:00"/>
    <s v="6982 Crownhardt Circle"/>
    <n v="23"/>
    <n v="18"/>
    <s v="Active"/>
    <n v="23"/>
    <n v="63"/>
    <x v="1"/>
    <x v="6"/>
    <n v="-241"/>
    <s v="Invalid Data"/>
  </r>
  <r>
    <s v="31-803-5001"/>
    <x v="91"/>
    <x v="2"/>
    <s v="14-414-1945"/>
    <s v="Voonder"/>
    <n v="78"/>
    <n v="16"/>
    <n v="37"/>
    <s v="$4.70 "/>
    <n v="4.7"/>
    <d v="2024-12-10T00:00:00"/>
    <d v="2024-12-10T00:00:00"/>
    <d v="2024-04-12T00:00:00"/>
    <d v="2024-04-12T00:00:00"/>
    <d v="2024-01-06T00:00:00"/>
    <d v="2024-01-06T00:00:00"/>
    <s v="64 1st Plaza"/>
    <n v="25"/>
    <n v="96"/>
    <s v="Backordered"/>
    <n v="117.5"/>
    <n v="366.6"/>
    <x v="1"/>
    <x v="6"/>
    <n v="-339"/>
    <s v="Invalid Data"/>
  </r>
  <r>
    <s v="61-317-9944"/>
    <x v="42"/>
    <x v="5"/>
    <s v="03-220-5535"/>
    <s v="Skivee"/>
    <n v="72"/>
    <n v="20"/>
    <n v="71"/>
    <s v="$2.50 "/>
    <n v="2.5"/>
    <s v="6/29/2024"/>
    <d v="2024-06-29T00:00:00"/>
    <s v="5/17/2024"/>
    <d v="2024-05-17T00:00:00"/>
    <s v="10/29/2024"/>
    <d v="2024-10-29T00:00:00"/>
    <s v="21844 Artisan Trail"/>
    <n v="87"/>
    <n v="68"/>
    <s v="Discontinued"/>
    <n v="217.5"/>
    <n v="180"/>
    <x v="1"/>
    <x v="12"/>
    <n v="122"/>
    <s v="Medium Risk"/>
  </r>
  <r>
    <s v="56-303-5256"/>
    <x v="114"/>
    <x v="0"/>
    <s v="29-821-5359"/>
    <s v="Babbleopia"/>
    <n v="58"/>
    <n v="24"/>
    <n v="25"/>
    <s v="$10.00 "/>
    <n v="10"/>
    <s v="8/24/2024"/>
    <d v="2024-08-24T00:00:00"/>
    <s v="11/17/2024"/>
    <d v="2024-11-17T00:00:00"/>
    <s v="3/21/2024"/>
    <d v="2024-03-21T00:00:00"/>
    <s v="3 Hermina Circle"/>
    <n v="75"/>
    <n v="26"/>
    <s v="Active"/>
    <n v="750"/>
    <n v="580"/>
    <x v="1"/>
    <x v="0"/>
    <n v="-156"/>
    <s v="Invalid Data"/>
  </r>
  <r>
    <s v="86-672-4191"/>
    <x v="7"/>
    <x v="4"/>
    <s v="79-219-8469"/>
    <s v="Einti"/>
    <n v="88"/>
    <n v="22"/>
    <n v="61"/>
    <s v="$2.50 "/>
    <n v="2.5"/>
    <d v="2025-04-01T00:00:00"/>
    <d v="2025-04-01T00:00:00"/>
    <s v="9/29/2024"/>
    <d v="2024-09-29T00:00:00"/>
    <d v="2025-08-02T00:00:00"/>
    <d v="2025-08-02T00:00:00"/>
    <s v="18 Troy Avenue"/>
    <n v="54"/>
    <n v="100"/>
    <s v="Discontinued"/>
    <n v="135"/>
    <n v="220"/>
    <x v="1"/>
    <x v="16"/>
    <n v="123"/>
    <s v="Medium Risk"/>
  </r>
  <r>
    <s v="34-547-0827"/>
    <x v="77"/>
    <x v="0"/>
    <s v="30-853-8580"/>
    <s v="Wikibox"/>
    <n v="54"/>
    <n v="53"/>
    <n v="33"/>
    <s v="$1.80 "/>
    <n v="1.8"/>
    <d v="2024-07-04T00:00:00"/>
    <d v="2024-07-04T00:00:00"/>
    <s v="1/17/2025"/>
    <d v="2025-01-17T00:00:00"/>
    <d v="2024-05-07T00:00:00"/>
    <d v="2024-05-07T00:00:00"/>
    <s v="18 Comanche Junction"/>
    <n v="94"/>
    <n v="82"/>
    <s v="Backordered"/>
    <n v="169.20000000000002"/>
    <n v="97.2"/>
    <x v="1"/>
    <x v="10"/>
    <n v="-58"/>
    <s v="Invalid Data"/>
  </r>
  <r>
    <s v="20-387-7746"/>
    <x v="86"/>
    <x v="0"/>
    <s v="08-218-9429"/>
    <s v="Aivee"/>
    <n v="64"/>
    <n v="10"/>
    <n v="100"/>
    <s v="$2.50 "/>
    <n v="2.5"/>
    <s v="10/14/2024"/>
    <d v="2024-10-14T00:00:00"/>
    <d v="2024-05-06T00:00:00"/>
    <d v="2024-05-06T00:00:00"/>
    <s v="10/27/2024"/>
    <d v="2024-10-27T00:00:00"/>
    <s v="9050 Dorton Pass"/>
    <n v="97"/>
    <n v="52"/>
    <s v="Active"/>
    <n v="242.5"/>
    <n v="160"/>
    <x v="1"/>
    <x v="7"/>
    <n v="13"/>
    <s v="Critical"/>
  </r>
  <r>
    <s v="50-329-3145"/>
    <x v="102"/>
    <x v="4"/>
    <s v="88-418-3855"/>
    <s v="Jatri"/>
    <n v="12"/>
    <n v="54"/>
    <n v="48"/>
    <s v="$1.00 "/>
    <n v="1"/>
    <d v="2024-06-11T00:00:00"/>
    <d v="2024-06-11T00:00:00"/>
    <s v="12/20/2024"/>
    <d v="2024-12-20T00:00:00"/>
    <s v="4/21/2024"/>
    <d v="2024-04-21T00:00:00"/>
    <s v="591 Maple Wood Drive"/>
    <n v="31"/>
    <n v="88"/>
    <s v="Backordered"/>
    <n v="31"/>
    <n v="12"/>
    <x v="0"/>
    <x v="12"/>
    <n v="-51"/>
    <s v="Invalid Data"/>
  </r>
  <r>
    <s v="02-559-8196"/>
    <x v="34"/>
    <x v="2"/>
    <s v="44-495-6660"/>
    <s v="Jaxnation"/>
    <n v="61"/>
    <n v="14"/>
    <n v="49"/>
    <s v="$5.20 "/>
    <n v="5.2"/>
    <d v="2024-10-06T00:00:00"/>
    <d v="2024-10-06T00:00:00"/>
    <d v="2024-12-12T00:00:00"/>
    <d v="2024-12-12T00:00:00"/>
    <s v="7/25/2024"/>
    <d v="2024-07-25T00:00:00"/>
    <s v="545 Linden Alley"/>
    <n v="74"/>
    <n v="35"/>
    <s v="Discontinued"/>
    <n v="384.8"/>
    <n v="317.2"/>
    <x v="1"/>
    <x v="7"/>
    <n v="-73"/>
    <s v="Invalid Data"/>
  </r>
  <r>
    <s v="69-834-2874"/>
    <x v="24"/>
    <x v="5"/>
    <s v="51-600-6076"/>
    <s v="Skajo"/>
    <n v="28"/>
    <n v="62"/>
    <n v="81"/>
    <s v="$5.00 "/>
    <n v="5"/>
    <s v="3/27/2024"/>
    <d v="2024-03-27T00:00:00"/>
    <s v="6/25/2024"/>
    <d v="2024-06-25T00:00:00"/>
    <d v="2024-07-10T00:00:00"/>
    <d v="2024-07-10T00:00:00"/>
    <s v="39 Oxford Drive"/>
    <n v="28"/>
    <n v="30"/>
    <s v="Discontinued"/>
    <n v="140"/>
    <n v="140"/>
    <x v="0"/>
    <x v="2"/>
    <n v="105"/>
    <s v="Medium Risk"/>
  </r>
  <r>
    <s v="27-474-0056"/>
    <x v="16"/>
    <x v="2"/>
    <s v="56-969-3705"/>
    <s v="Feedfish"/>
    <n v="23"/>
    <n v="6"/>
    <n v="40"/>
    <s v="$2.50 "/>
    <n v="2.5"/>
    <s v="3/20/2024"/>
    <d v="2024-03-20T00:00:00"/>
    <s v="12/19/2024"/>
    <d v="2024-12-19T00:00:00"/>
    <s v="6/19/2024"/>
    <d v="2024-06-19T00:00:00"/>
    <s v="538 Bayside Parkway"/>
    <n v="95"/>
    <n v="24"/>
    <s v="Backordered"/>
    <n v="237.5"/>
    <n v="57.5"/>
    <x v="1"/>
    <x v="2"/>
    <n v="91"/>
    <s v="Medium Risk"/>
  </r>
  <r>
    <s v="66-378-7532"/>
    <x v="60"/>
    <x v="2"/>
    <s v="15-365-5585"/>
    <s v="Flipbug"/>
    <n v="87"/>
    <n v="51"/>
    <n v="67"/>
    <s v="$10.00 "/>
    <n v="10"/>
    <d v="2025-07-01T00:00:00"/>
    <d v="2025-07-01T00:00:00"/>
    <d v="2024-05-06T00:00:00"/>
    <d v="2024-05-06T00:00:00"/>
    <d v="2024-06-05T00:00:00"/>
    <d v="2024-06-05T00:00:00"/>
    <s v="88678 Bayside Park"/>
    <n v="55"/>
    <n v="100"/>
    <s v="Backordered"/>
    <n v="550"/>
    <n v="870"/>
    <x v="1"/>
    <x v="19"/>
    <n v="-391"/>
    <s v="Invalid Data"/>
  </r>
  <r>
    <s v="28-185-7303"/>
    <x v="93"/>
    <x v="1"/>
    <s v="97-143-0641"/>
    <s v="Yozio"/>
    <n v="59"/>
    <n v="31"/>
    <n v="3"/>
    <s v="$10.00 "/>
    <n v="10"/>
    <s v="9/15/2024"/>
    <d v="2024-09-15T00:00:00"/>
    <s v="1/21/2025"/>
    <d v="2025-01-21T00:00:00"/>
    <s v="10/22/2024"/>
    <d v="2024-10-22T00:00:00"/>
    <s v="25696 Westerfield Alley"/>
    <n v="48"/>
    <n v="51"/>
    <s v="Active"/>
    <n v="480"/>
    <n v="590"/>
    <x v="1"/>
    <x v="11"/>
    <n v="37"/>
    <s v="High Risk"/>
  </r>
  <r>
    <s v="19-854-3663"/>
    <x v="94"/>
    <x v="2"/>
    <s v="72-509-7548"/>
    <s v="Dabjam"/>
    <n v="13"/>
    <n v="88"/>
    <n v="11"/>
    <s v="$3.00 "/>
    <n v="3"/>
    <s v="11/19/2024"/>
    <d v="2024-11-19T00:00:00"/>
    <d v="2024-05-05T00:00:00"/>
    <d v="2024-05-05T00:00:00"/>
    <s v="12/14/2024"/>
    <d v="2024-12-14T00:00:00"/>
    <s v="4 Dakota Avenue"/>
    <n v="100"/>
    <n v="52"/>
    <s v="Backordered"/>
    <n v="300"/>
    <n v="39"/>
    <x v="0"/>
    <x v="5"/>
    <n v="25"/>
    <s v="Critical"/>
  </r>
  <r>
    <s v="42-175-1648"/>
    <x v="75"/>
    <x v="2"/>
    <s v="67-272-8844"/>
    <s v="Browsetype"/>
    <n v="81"/>
    <n v="87"/>
    <n v="15"/>
    <s v="$6.00 "/>
    <n v="6"/>
    <d v="2025-08-01T00:00:00"/>
    <d v="2025-08-01T00:00:00"/>
    <s v="1/25/2025"/>
    <d v="2025-01-25T00:00:00"/>
    <d v="2024-09-09T00:00:00"/>
    <d v="2024-09-09T00:00:00"/>
    <s v="72778 Loftsgordon Center"/>
    <n v="94"/>
    <n v="10"/>
    <s v="Backordered"/>
    <n v="564"/>
    <n v="486"/>
    <x v="0"/>
    <x v="18"/>
    <n v="-326"/>
    <s v="Invalid Data"/>
  </r>
  <r>
    <s v="56-657-4387"/>
    <x v="42"/>
    <x v="5"/>
    <s v="78-629-7560"/>
    <s v="Meevee"/>
    <n v="61"/>
    <n v="77"/>
    <n v="45"/>
    <s v="$2.50 "/>
    <n v="2.5"/>
    <s v="3/21/2024"/>
    <d v="2024-03-21T00:00:00"/>
    <s v="2/29/2024"/>
    <d v="2024-02-29T00:00:00"/>
    <s v="6/22/2024"/>
    <d v="2024-06-22T00:00:00"/>
    <s v="5 Lyons Street"/>
    <n v="51"/>
    <n v="48"/>
    <s v="Backordered"/>
    <n v="127.5"/>
    <n v="152.5"/>
    <x v="0"/>
    <x v="2"/>
    <n v="93"/>
    <s v="Medium Risk"/>
  </r>
  <r>
    <s v="05-720-8792"/>
    <x v="45"/>
    <x v="2"/>
    <s v="33-265-4588"/>
    <s v="Linkbridge"/>
    <n v="80"/>
    <n v="91"/>
    <n v="36"/>
    <s v="$1.50 "/>
    <n v="1.5"/>
    <s v="3/24/2024"/>
    <d v="2024-03-24T00:00:00"/>
    <d v="2024-08-07T00:00:00"/>
    <d v="2024-08-07T00:00:00"/>
    <s v="10/26/2024"/>
    <d v="2024-10-26T00:00:00"/>
    <s v="2 Northview Avenue"/>
    <n v="81"/>
    <n v="74"/>
    <s v="Active"/>
    <n v="121.5"/>
    <n v="120"/>
    <x v="0"/>
    <x v="2"/>
    <n v="216"/>
    <s v="Low Risk"/>
  </r>
  <r>
    <s v="84-151-2114"/>
    <x v="104"/>
    <x v="0"/>
    <s v="79-704-1471"/>
    <s v="Avamm"/>
    <n v="39"/>
    <n v="57"/>
    <n v="54"/>
    <s v="$2.50 "/>
    <n v="2.5"/>
    <d v="2024-06-12T00:00:00"/>
    <d v="2024-06-12T00:00:00"/>
    <d v="2024-06-03T00:00:00"/>
    <d v="2024-06-03T00:00:00"/>
    <d v="2024-11-08T00:00:00"/>
    <d v="2024-11-08T00:00:00"/>
    <s v="12 Rigney Street"/>
    <n v="77"/>
    <n v="32"/>
    <s v="Active"/>
    <n v="192.5"/>
    <n v="97.5"/>
    <x v="0"/>
    <x v="12"/>
    <n v="149"/>
    <s v="Medium Risk"/>
  </r>
  <r>
    <s v="10-378-9729"/>
    <x v="19"/>
    <x v="2"/>
    <s v="83-941-9620"/>
    <s v="Rooxo"/>
    <n v="69"/>
    <n v="21"/>
    <n v="68"/>
    <s v="$66.55 "/>
    <n v="66.55"/>
    <s v="12/23/2024"/>
    <d v="2024-12-23T00:00:00"/>
    <s v="11/26/2024"/>
    <d v="2024-11-26T00:00:00"/>
    <s v="9/21/2024"/>
    <d v="2024-09-21T00:00:00"/>
    <s v="2 Butterfield Pass"/>
    <n v="36"/>
    <n v="35"/>
    <s v="Discontinued"/>
    <n v="2395.7999999999997"/>
    <n v="4591.95"/>
    <x v="1"/>
    <x v="6"/>
    <n v="-93"/>
    <s v="Invalid Data"/>
  </r>
  <r>
    <s v="53-930-2215"/>
    <x v="7"/>
    <x v="4"/>
    <s v="42-210-6541"/>
    <s v="Gabvine"/>
    <n v="60"/>
    <n v="43"/>
    <n v="32"/>
    <s v="$2.50 "/>
    <n v="2.5"/>
    <d v="2024-05-07T00:00:00"/>
    <d v="2024-05-07T00:00:00"/>
    <d v="2024-04-10T00:00:00"/>
    <d v="2024-04-10T00:00:00"/>
    <d v="2024-09-07T00:00:00"/>
    <d v="2024-09-07T00:00:00"/>
    <s v="292 Utah Street"/>
    <n v="77"/>
    <n v="60"/>
    <s v="Active"/>
    <n v="192.5"/>
    <n v="150"/>
    <x v="1"/>
    <x v="8"/>
    <n v="123"/>
    <s v="Medium Risk"/>
  </r>
  <r>
    <s v="02-034-6209"/>
    <x v="84"/>
    <x v="4"/>
    <s v="34-724-1913"/>
    <s v="Yodel"/>
    <n v="22"/>
    <n v="43"/>
    <n v="3"/>
    <s v="$4.10 "/>
    <n v="4.0999999999999996"/>
    <d v="2025-01-02T00:00:00"/>
    <d v="2025-01-02T00:00:00"/>
    <s v="7/26/2024"/>
    <d v="2024-07-26T00:00:00"/>
    <d v="2024-08-10T00:00:00"/>
    <d v="2024-08-10T00:00:00"/>
    <s v="96 Brown Drive"/>
    <n v="45"/>
    <n v="87"/>
    <s v="Backordered"/>
    <n v="184.49999999999997"/>
    <n v="90.199999999999989"/>
    <x v="0"/>
    <x v="13"/>
    <n v="-145"/>
    <s v="Invalid Data"/>
  </r>
  <r>
    <s v="28-003-8065"/>
    <x v="69"/>
    <x v="0"/>
    <s v="42-579-7177"/>
    <s v="Voonte"/>
    <n v="79"/>
    <n v="47"/>
    <n v="51"/>
    <s v="$9.50 "/>
    <n v="9.5"/>
    <s v="7/19/2024"/>
    <d v="2024-07-19T00:00:00"/>
    <s v="2/16/2025"/>
    <d v="2025-02-16T00:00:00"/>
    <s v="1/28/2025"/>
    <d v="2025-01-28T00:00:00"/>
    <s v="65 Merry Circle"/>
    <n v="83"/>
    <n v="69"/>
    <s v="Discontinued"/>
    <n v="788.5"/>
    <n v="750.5"/>
    <x v="1"/>
    <x v="10"/>
    <n v="193"/>
    <s v="Low Risk"/>
  </r>
  <r>
    <s v="19-021-5024"/>
    <x v="50"/>
    <x v="2"/>
    <s v="75-369-5047"/>
    <s v="Rhyzio"/>
    <n v="47"/>
    <n v="63"/>
    <n v="86"/>
    <s v="$4.00 "/>
    <n v="4"/>
    <s v="5/19/2024"/>
    <d v="2024-05-19T00:00:00"/>
    <s v="2/13/2025"/>
    <d v="2025-02-13T00:00:00"/>
    <d v="2024-07-05T00:00:00"/>
    <d v="2024-07-05T00:00:00"/>
    <s v="4 Heffernan Lane"/>
    <n v="76"/>
    <n v="29"/>
    <s v="Active"/>
    <n v="304"/>
    <n v="188"/>
    <x v="0"/>
    <x v="8"/>
    <n v="47"/>
    <s v="High Risk"/>
  </r>
  <r>
    <s v="07-846-4804"/>
    <x v="65"/>
    <x v="0"/>
    <s v="30-605-2164"/>
    <s v="Tagcat"/>
    <n v="20"/>
    <n v="25"/>
    <n v="73"/>
    <s v="$4.75 "/>
    <n v="4.75"/>
    <d v="2024-08-10T00:00:00"/>
    <d v="2024-08-10T00:00:00"/>
    <d v="2024-02-07T00:00:00"/>
    <d v="2024-02-07T00:00:00"/>
    <s v="9/25/2024"/>
    <d v="2024-09-25T00:00:00"/>
    <s v="2 Fair Oaks Pass"/>
    <n v="78"/>
    <n v="1"/>
    <s v="Discontinued"/>
    <n v="370.5"/>
    <n v="95"/>
    <x v="0"/>
    <x v="0"/>
    <n v="46"/>
    <s v="High Risk"/>
  </r>
  <r>
    <s v="70-542-4269"/>
    <x v="81"/>
    <x v="4"/>
    <s v="27-772-7906"/>
    <s v="Gigazoom"/>
    <n v="41"/>
    <n v="22"/>
    <n v="11"/>
    <s v="$7.00 "/>
    <n v="7"/>
    <s v="6/19/2024"/>
    <d v="2024-06-19T00:00:00"/>
    <s v="4/23/2024"/>
    <d v="2024-04-23T00:00:00"/>
    <s v="4/17/2024"/>
    <d v="2024-04-17T00:00:00"/>
    <s v="7 Victoria Hill"/>
    <n v="86"/>
    <n v="30"/>
    <s v="Active"/>
    <n v="602"/>
    <n v="287"/>
    <x v="1"/>
    <x v="12"/>
    <n v="-63"/>
    <s v="Invalid Data"/>
  </r>
  <r>
    <s v="52-797-6961"/>
    <x v="70"/>
    <x v="6"/>
    <s v="75-793-8978"/>
    <s v="Plajo"/>
    <n v="46"/>
    <n v="80"/>
    <n v="88"/>
    <s v="$7.00 "/>
    <n v="7"/>
    <s v="9/19/2024"/>
    <d v="2024-09-19T00:00:00"/>
    <d v="2024-07-06T00:00:00"/>
    <d v="2024-07-06T00:00:00"/>
    <s v="6/17/2024"/>
    <d v="2024-06-17T00:00:00"/>
    <s v="13799 Quincy Park"/>
    <n v="62"/>
    <n v="22"/>
    <s v="Discontinued"/>
    <n v="434"/>
    <n v="322"/>
    <x v="0"/>
    <x v="11"/>
    <n v="-94"/>
    <s v="Invalid Data"/>
  </r>
  <r>
    <s v="66-327-2821"/>
    <x v="63"/>
    <x v="3"/>
    <s v="82-525-7224"/>
    <s v="Skipstorm"/>
    <n v="67"/>
    <n v="57"/>
    <n v="36"/>
    <s v="$1.80 "/>
    <n v="1.8"/>
    <d v="2024-02-08T00:00:00"/>
    <d v="2024-02-08T00:00:00"/>
    <d v="2024-10-04T00:00:00"/>
    <d v="2024-10-04T00:00:00"/>
    <s v="5/27/2024"/>
    <d v="2024-05-27T00:00:00"/>
    <s v="703 Hermina Center"/>
    <n v="78"/>
    <n v="60"/>
    <s v="Active"/>
    <n v="140.4"/>
    <n v="120.60000000000001"/>
    <x v="1"/>
    <x v="9"/>
    <n v="109"/>
    <s v="Medium Risk"/>
  </r>
  <r>
    <s v="12-093-9863"/>
    <x v="54"/>
    <x v="0"/>
    <s v="21-416-3796"/>
    <s v="Feednation"/>
    <n v="51"/>
    <n v="19"/>
    <n v="96"/>
    <s v="$4.50 "/>
    <n v="4.5"/>
    <s v="11/23/2024"/>
    <d v="2024-11-23T00:00:00"/>
    <d v="2025-09-02T00:00:00"/>
    <d v="2025-09-02T00:00:00"/>
    <s v="6/26/2024"/>
    <d v="2024-06-26T00:00:00"/>
    <s v="6748 Mitchell Road"/>
    <n v="73"/>
    <n v="42"/>
    <s v="Active"/>
    <n v="328.5"/>
    <n v="229.5"/>
    <x v="1"/>
    <x v="5"/>
    <n v="-150"/>
    <s v="Invalid Data"/>
  </r>
  <r>
    <s v="08-396-2704"/>
    <x v="10"/>
    <x v="0"/>
    <s v="94-186-9620"/>
    <s v="Cogibox"/>
    <n v="42"/>
    <n v="12"/>
    <n v="28"/>
    <s v="$2.00 "/>
    <n v="2"/>
    <d v="2024-10-03T00:00:00"/>
    <d v="2024-10-03T00:00:00"/>
    <d v="2024-01-04T00:00:00"/>
    <d v="2024-01-04T00:00:00"/>
    <d v="2024-10-05T00:00:00"/>
    <d v="2024-10-05T00:00:00"/>
    <s v="160 Crowley Center"/>
    <n v="80"/>
    <n v="8"/>
    <s v="Discontinued"/>
    <n v="160"/>
    <n v="84"/>
    <x v="1"/>
    <x v="7"/>
    <n v="2"/>
    <s v="Critical"/>
  </r>
  <r>
    <s v="72-970-0239"/>
    <x v="90"/>
    <x v="3"/>
    <s v="64-752-3122"/>
    <s v="Divanoodle"/>
    <n v="85"/>
    <n v="86"/>
    <n v="21"/>
    <s v="$6.50 "/>
    <n v="6.5"/>
    <s v="6/30/2024"/>
    <d v="2024-06-30T00:00:00"/>
    <s v="7/24/2024"/>
    <d v="2024-07-24T00:00:00"/>
    <s v="7/18/2024"/>
    <d v="2024-07-18T00:00:00"/>
    <s v="73966 Pond Trail"/>
    <n v="78"/>
    <n v="53"/>
    <s v="Backordered"/>
    <n v="507"/>
    <n v="552.5"/>
    <x v="0"/>
    <x v="12"/>
    <n v="18"/>
    <s v="Critical"/>
  </r>
  <r>
    <s v="03-940-0630"/>
    <x v="97"/>
    <x v="3"/>
    <s v="49-762-8263"/>
    <s v="Skibox"/>
    <n v="23"/>
    <n v="43"/>
    <n v="75"/>
    <s v="$2.50 "/>
    <n v="2.5"/>
    <d v="2024-08-11T00:00:00"/>
    <d v="2024-08-11T00:00:00"/>
    <s v="10/31/2024"/>
    <d v="2024-10-31T00:00:00"/>
    <d v="2024-03-04T00:00:00"/>
    <d v="2024-03-04T00:00:00"/>
    <s v="27408 Burning Wood Street"/>
    <n v="91"/>
    <n v="86"/>
    <s v="Discontinued"/>
    <n v="227.5"/>
    <n v="57.5"/>
    <x v="0"/>
    <x v="0"/>
    <n v="-160"/>
    <s v="Invalid Data"/>
  </r>
  <r>
    <s v="67-130-4114"/>
    <x v="53"/>
    <x v="2"/>
    <s v="53-718-1768"/>
    <s v="Devcast"/>
    <n v="84"/>
    <n v="26"/>
    <n v="37"/>
    <s v="$4.50 "/>
    <n v="4.5"/>
    <s v="4/15/2024"/>
    <d v="2024-04-15T00:00:00"/>
    <s v="2/27/2024"/>
    <d v="2024-02-27T00:00:00"/>
    <s v="1/24/2025"/>
    <d v="2025-01-24T00:00:00"/>
    <s v="9327 Hanover Way"/>
    <n v="46"/>
    <n v="67"/>
    <s v="Backordered"/>
    <n v="207"/>
    <n v="378"/>
    <x v="1"/>
    <x v="4"/>
    <n v="284"/>
    <s v="Low Risk"/>
  </r>
  <r>
    <s v="32-270-1385"/>
    <x v="8"/>
    <x v="2"/>
    <s v="81-072-8266"/>
    <s v="Quaxo"/>
    <n v="28"/>
    <n v="38"/>
    <n v="23"/>
    <s v="$42.58 "/>
    <n v="42.58"/>
    <s v="10/28/2024"/>
    <d v="2024-10-28T00:00:00"/>
    <s v="12/15/2024"/>
    <d v="2024-12-15T00:00:00"/>
    <d v="2024-08-08T00:00:00"/>
    <d v="2024-08-08T00:00:00"/>
    <s v="0500 Calypso Pass"/>
    <n v="48"/>
    <n v="56"/>
    <s v="Backordered"/>
    <n v="2043.84"/>
    <n v="1192.24"/>
    <x v="0"/>
    <x v="7"/>
    <n v="-81"/>
    <s v="Invalid Data"/>
  </r>
  <r>
    <s v="85-510-2915"/>
    <x v="42"/>
    <x v="5"/>
    <s v="55-134-2668"/>
    <s v="Mybuzz"/>
    <n v="62"/>
    <n v="49"/>
    <n v="38"/>
    <s v="$2.50 "/>
    <n v="2.5"/>
    <s v="12/16/2024"/>
    <d v="2024-12-16T00:00:00"/>
    <s v="5/29/2024"/>
    <d v="2024-05-29T00:00:00"/>
    <d v="2024-09-10T00:00:00"/>
    <d v="2024-09-10T00:00:00"/>
    <s v="8 Merrick Lane"/>
    <n v="42"/>
    <n v="44"/>
    <s v="Discontinued"/>
    <n v="105"/>
    <n v="155"/>
    <x v="1"/>
    <x v="6"/>
    <n v="-97"/>
    <s v="Invalid Data"/>
  </r>
  <r>
    <s v="00-842-9790"/>
    <x v="7"/>
    <x v="4"/>
    <s v="37-079-2530"/>
    <s v="Oba"/>
    <n v="65"/>
    <n v="94"/>
    <n v="4"/>
    <s v="$2.50 "/>
    <n v="2.5"/>
    <s v="7/31/2024"/>
    <d v="2024-07-31T00:00:00"/>
    <s v="1/30/2025"/>
    <d v="2025-01-30T00:00:00"/>
    <s v="12/28/2024"/>
    <d v="2024-12-28T00:00:00"/>
    <s v="53894 Myrtle Place"/>
    <n v="66"/>
    <n v="36"/>
    <s v="Backordered"/>
    <n v="165"/>
    <n v="162.5"/>
    <x v="0"/>
    <x v="10"/>
    <n v="150"/>
    <s v="Medium Risk"/>
  </r>
  <r>
    <s v="49-377-9731"/>
    <x v="98"/>
    <x v="2"/>
    <s v="56-823-5908"/>
    <s v="Livefish"/>
    <n v="18"/>
    <n v="8"/>
    <n v="68"/>
    <s v="$2.00 "/>
    <n v="2"/>
    <d v="2024-02-06T00:00:00"/>
    <d v="2024-02-06T00:00:00"/>
    <d v="2024-03-10T00:00:00"/>
    <d v="2024-03-10T00:00:00"/>
    <s v="4/19/2024"/>
    <d v="2024-04-19T00:00:00"/>
    <s v="3 Meadow Valley Court"/>
    <n v="54"/>
    <n v="45"/>
    <s v="Backordered"/>
    <n v="108"/>
    <n v="36"/>
    <x v="1"/>
    <x v="9"/>
    <n v="73"/>
    <s v="High Risk"/>
  </r>
  <r>
    <s v="96-682-8546"/>
    <x v="120"/>
    <x v="4"/>
    <s v="03-882-3517"/>
    <s v="Kaymbo"/>
    <n v="70"/>
    <n v="29"/>
    <n v="24"/>
    <s v="$0.20 "/>
    <n v="0.2"/>
    <s v="3/31/2024"/>
    <d v="2024-03-31T00:00:00"/>
    <s v="10/26/2024"/>
    <d v="2024-10-26T00:00:00"/>
    <s v="9/17/2024"/>
    <d v="2024-09-17T00:00:00"/>
    <s v="97 Walton Avenue"/>
    <n v="62"/>
    <n v="55"/>
    <s v="Backordered"/>
    <n v="12.4"/>
    <n v="14"/>
    <x v="1"/>
    <x v="2"/>
    <n v="170"/>
    <s v="Medium Risk"/>
  </r>
  <r>
    <s v="92-837-8839"/>
    <x v="87"/>
    <x v="3"/>
    <s v="95-484-3134"/>
    <s v="Yoveo"/>
    <n v="23"/>
    <n v="71"/>
    <n v="32"/>
    <s v="$2.00 "/>
    <n v="2"/>
    <s v="4/14/2024"/>
    <d v="2024-04-14T00:00:00"/>
    <s v="1/16/2025"/>
    <d v="2025-01-16T00:00:00"/>
    <s v="8/18/2024"/>
    <d v="2024-08-18T00:00:00"/>
    <s v="95 Lerdahl Park"/>
    <n v="63"/>
    <n v="23"/>
    <s v="Discontinued"/>
    <n v="126"/>
    <n v="46"/>
    <x v="0"/>
    <x v="4"/>
    <n v="126"/>
    <s v="Medium Risk"/>
  </r>
  <r>
    <s v="68-732-5919"/>
    <x v="65"/>
    <x v="0"/>
    <s v="07-500-2023"/>
    <s v="Eimbee"/>
    <n v="26"/>
    <n v="83"/>
    <n v="24"/>
    <s v="$4.75 "/>
    <n v="4.75"/>
    <d v="2025-07-02T00:00:00"/>
    <d v="2025-07-02T00:00:00"/>
    <s v="10/29/2024"/>
    <d v="2024-10-29T00:00:00"/>
    <s v="5/17/2024"/>
    <d v="2024-05-17T00:00:00"/>
    <s v="56 Bonner Point"/>
    <n v="75"/>
    <n v="12"/>
    <s v="Backordered"/>
    <n v="356.25"/>
    <n v="123.5"/>
    <x v="0"/>
    <x v="19"/>
    <n v="-411"/>
    <s v="Invalid Data"/>
  </r>
  <r>
    <s v="37-064-7275"/>
    <x v="93"/>
    <x v="1"/>
    <s v="63-522-2633"/>
    <s v="Skiptube"/>
    <n v="20"/>
    <n v="42"/>
    <n v="45"/>
    <s v="$10.00 "/>
    <n v="10"/>
    <s v="3/22/2024"/>
    <d v="2024-03-22T00:00:00"/>
    <s v="6/25/2024"/>
    <d v="2024-06-25T00:00:00"/>
    <s v="9/22/2024"/>
    <d v="2024-09-22T00:00:00"/>
    <s v="149 Lawn Way"/>
    <n v="72"/>
    <n v="28"/>
    <s v="Discontinued"/>
    <n v="720"/>
    <n v="200"/>
    <x v="0"/>
    <x v="2"/>
    <n v="184"/>
    <s v="Low Risk"/>
  </r>
  <r>
    <s v="43-193-9915"/>
    <x v="49"/>
    <x v="4"/>
    <s v="23-931-2988"/>
    <s v="Roodel"/>
    <n v="55"/>
    <n v="58"/>
    <n v="6"/>
    <s v="$7.20 "/>
    <n v="7.2"/>
    <s v="1/17/2025"/>
    <d v="2025-01-17T00:00:00"/>
    <d v="2024-12-07T00:00:00"/>
    <d v="2024-12-07T00:00:00"/>
    <s v="9/23/2024"/>
    <d v="2024-09-23T00:00:00"/>
    <s v="61 Transport Parkway"/>
    <n v="48"/>
    <n v="17"/>
    <s v="Discontinued"/>
    <n v="345.6"/>
    <n v="396"/>
    <x v="0"/>
    <x v="13"/>
    <n v="-116"/>
    <s v="Invalid Data"/>
  </r>
  <r>
    <s v="45-992-5653"/>
    <x v="92"/>
    <x v="0"/>
    <s v="22-050-5775"/>
    <s v="Jaxworks"/>
    <n v="82"/>
    <n v="67"/>
    <n v="67"/>
    <s v="$2.75 "/>
    <n v="2.75"/>
    <s v="3/25/2024"/>
    <d v="2024-03-25T00:00:00"/>
    <d v="2024-07-07T00:00:00"/>
    <d v="2024-07-07T00:00:00"/>
    <s v="10/19/2024"/>
    <d v="2024-10-19T00:00:00"/>
    <s v="5 Fisk Point"/>
    <n v="26"/>
    <n v="1"/>
    <s v="Backordered"/>
    <n v="71.5"/>
    <n v="225.5"/>
    <x v="1"/>
    <x v="2"/>
    <n v="208"/>
    <s v="Low Risk"/>
  </r>
  <r>
    <s v="45-852-2446"/>
    <x v="115"/>
    <x v="6"/>
    <s v="37-567-5710"/>
    <s v="Fanoodle"/>
    <n v="73"/>
    <n v="12"/>
    <n v="28"/>
    <s v="$15.00 "/>
    <n v="15"/>
    <s v="9/15/2024"/>
    <d v="2024-09-15T00:00:00"/>
    <d v="2024-08-06T00:00:00"/>
    <d v="2024-08-06T00:00:00"/>
    <s v="11/29/2024"/>
    <d v="2024-11-29T00:00:00"/>
    <s v="56 Petterle Circle"/>
    <n v="89"/>
    <n v="92"/>
    <s v="Active"/>
    <n v="1335"/>
    <n v="1095"/>
    <x v="1"/>
    <x v="11"/>
    <n v="75"/>
    <s v="High Risk"/>
  </r>
  <r>
    <s v="57-394-4703"/>
    <x v="48"/>
    <x v="1"/>
    <s v="52-130-3457"/>
    <s v="Agivu"/>
    <n v="81"/>
    <n v="83"/>
    <n v="36"/>
    <s v="$25.00 "/>
    <n v="25"/>
    <s v="10/26/2024"/>
    <d v="2024-10-26T00:00:00"/>
    <d v="2025-07-01T00:00:00"/>
    <d v="2025-07-01T00:00:00"/>
    <s v="10/16/2024"/>
    <d v="2024-10-16T00:00:00"/>
    <s v="38 Banding Lane"/>
    <n v="74"/>
    <n v="86"/>
    <s v="Backordered"/>
    <n v="1850"/>
    <n v="2025"/>
    <x v="0"/>
    <x v="7"/>
    <n v="-10"/>
    <s v="Invalid Data"/>
  </r>
  <r>
    <s v="07-679-1199"/>
    <x v="31"/>
    <x v="2"/>
    <s v="75-406-6250"/>
    <s v="Wikizz"/>
    <n v="20"/>
    <n v="65"/>
    <n v="61"/>
    <s v="$2.00 "/>
    <n v="2"/>
    <d v="2024-04-07T00:00:00"/>
    <d v="2024-04-07T00:00:00"/>
    <d v="2024-10-07T00:00:00"/>
    <d v="2024-10-07T00:00:00"/>
    <s v="10/15/2024"/>
    <d v="2024-10-15T00:00:00"/>
    <s v="1991 Kropf Way"/>
    <n v="51"/>
    <n v="78"/>
    <s v="Active"/>
    <n v="102"/>
    <n v="40"/>
    <x v="0"/>
    <x v="4"/>
    <n v="191"/>
    <s v="Low Risk"/>
  </r>
  <r>
    <s v="47-221-3391"/>
    <x v="36"/>
    <x v="1"/>
    <s v="21-450-5520"/>
    <s v="Digitube"/>
    <n v="78"/>
    <n v="38"/>
    <n v="27"/>
    <s v="$15.00 "/>
    <n v="15"/>
    <d v="2024-06-04T00:00:00"/>
    <d v="2024-06-04T00:00:00"/>
    <d v="2024-09-07T00:00:00"/>
    <d v="2024-09-07T00:00:00"/>
    <d v="2024-12-09T00:00:00"/>
    <d v="2024-12-09T00:00:00"/>
    <s v="0023 Upham Road"/>
    <n v="54"/>
    <n v="42"/>
    <s v="Active"/>
    <n v="810"/>
    <n v="1170"/>
    <x v="1"/>
    <x v="12"/>
    <n v="188"/>
    <s v="Low Risk"/>
  </r>
  <r>
    <s v="80-698-0324"/>
    <x v="56"/>
    <x v="5"/>
    <s v="98-587-7923"/>
    <s v="Bluejam"/>
    <n v="84"/>
    <n v="58"/>
    <n v="28"/>
    <s v="$6.00 "/>
    <n v="6"/>
    <s v="4/17/2024"/>
    <d v="2024-04-17T00:00:00"/>
    <d v="2025-04-02T00:00:00"/>
    <d v="2025-04-02T00:00:00"/>
    <s v="5/25/2024"/>
    <d v="2024-05-25T00:00:00"/>
    <s v="7 Duke Parkway"/>
    <n v="51"/>
    <n v="12"/>
    <s v="Active"/>
    <n v="306"/>
    <n v="504"/>
    <x v="1"/>
    <x v="4"/>
    <n v="38"/>
    <s v="High Risk"/>
  </r>
  <r>
    <s v="36-383-3677"/>
    <x v="6"/>
    <x v="3"/>
    <s v="88-020-6814"/>
    <s v="Centizu"/>
    <n v="32"/>
    <n v="38"/>
    <n v="23"/>
    <s v="$2.50 "/>
    <n v="2.5"/>
    <s v="6/16/2024"/>
    <d v="2024-06-16T00:00:00"/>
    <s v="5/29/2024"/>
    <d v="2024-05-29T00:00:00"/>
    <d v="2025-02-02T00:00:00"/>
    <d v="2025-02-02T00:00:00"/>
    <s v="7 Anzinger Lane"/>
    <n v="52"/>
    <n v="11"/>
    <s v="Discontinued"/>
    <n v="130"/>
    <n v="80"/>
    <x v="0"/>
    <x v="12"/>
    <n v="231"/>
    <s v="Low Risk"/>
  </r>
  <r>
    <s v="42-907-6946"/>
    <x v="117"/>
    <x v="3"/>
    <s v="32-386-9832"/>
    <s v="Bluejam"/>
    <n v="90"/>
    <n v="75"/>
    <n v="6"/>
    <s v="$5.00 "/>
    <n v="5"/>
    <d v="2024-06-07T00:00:00"/>
    <d v="2024-06-07T00:00:00"/>
    <d v="2025-01-01T00:00:00"/>
    <d v="2025-01-01T00:00:00"/>
    <s v="8/31/2024"/>
    <d v="2024-08-31T00:00:00"/>
    <s v="093 Anhalt Crossing"/>
    <n v="55"/>
    <n v="64"/>
    <s v="Active"/>
    <n v="275"/>
    <n v="450"/>
    <x v="1"/>
    <x v="12"/>
    <n v="85"/>
    <s v="High Risk"/>
  </r>
  <r>
    <s v="96-209-1739"/>
    <x v="107"/>
    <x v="4"/>
    <s v="82-930-7733"/>
    <s v="Miboo"/>
    <n v="70"/>
    <n v="81"/>
    <n v="75"/>
    <s v="$2.00 "/>
    <n v="2"/>
    <d v="2024-08-09T00:00:00"/>
    <d v="2024-08-09T00:00:00"/>
    <s v="2/27/2024"/>
    <d v="2024-02-27T00:00:00"/>
    <s v="2/29/2024"/>
    <d v="2024-02-29T00:00:00"/>
    <s v="779 Ridgeway Street"/>
    <n v="24"/>
    <n v="54"/>
    <s v="Backordered"/>
    <n v="48"/>
    <n v="140"/>
    <x v="0"/>
    <x v="0"/>
    <n v="-162"/>
    <s v="Invalid Data"/>
  </r>
  <r>
    <s v="36-679-4670"/>
    <x v="53"/>
    <x v="2"/>
    <s v="60-508-7567"/>
    <s v="Fatz"/>
    <n v="90"/>
    <n v="22"/>
    <n v="20"/>
    <s v="$4.50 "/>
    <n v="4.5"/>
    <s v="6/30/2024"/>
    <d v="2024-06-30T00:00:00"/>
    <s v="2/22/2025"/>
    <d v="2025-02-22T00:00:00"/>
    <s v="1/13/2025"/>
    <d v="2025-01-13T00:00:00"/>
    <s v="5 Warner Court"/>
    <n v="81"/>
    <n v="88"/>
    <s v="Backordered"/>
    <n v="364.5"/>
    <n v="405"/>
    <x v="1"/>
    <x v="12"/>
    <n v="197"/>
    <s v="Low Risk"/>
  </r>
  <r>
    <s v="08-637-9335"/>
    <x v="71"/>
    <x v="2"/>
    <s v="99-178-0951"/>
    <s v="Meemm"/>
    <n v="100"/>
    <n v="7"/>
    <n v="14"/>
    <s v="$2.00 "/>
    <n v="2"/>
    <s v="12/16/2024"/>
    <d v="2024-12-16T00:00:00"/>
    <d v="2024-06-03T00:00:00"/>
    <d v="2024-06-03T00:00:00"/>
    <s v="7/25/2024"/>
    <d v="2024-07-25T00:00:00"/>
    <s v="9 Cardinal Alley"/>
    <n v="26"/>
    <n v="33"/>
    <s v="Backordered"/>
    <n v="52"/>
    <n v="200"/>
    <x v="1"/>
    <x v="6"/>
    <n v="-144"/>
    <s v="Invalid Data"/>
  </r>
  <r>
    <s v="56-875-3717"/>
    <x v="104"/>
    <x v="0"/>
    <s v="39-257-6162"/>
    <s v="Youtags"/>
    <n v="89"/>
    <n v="54"/>
    <n v="15"/>
    <s v="$2.50 "/>
    <n v="2.5"/>
    <d v="2024-09-10T00:00:00"/>
    <d v="2024-09-10T00:00:00"/>
    <d v="2024-01-08T00:00:00"/>
    <d v="2024-01-08T00:00:00"/>
    <d v="2024-03-05T00:00:00"/>
    <d v="2024-03-05T00:00:00"/>
    <s v="32 Cottonwood Pass"/>
    <n v="64"/>
    <n v="63"/>
    <s v="Active"/>
    <n v="160"/>
    <n v="222.5"/>
    <x v="1"/>
    <x v="11"/>
    <n v="-189"/>
    <s v="Invalid Data"/>
  </r>
  <r>
    <s v="86-978-6666"/>
    <x v="92"/>
    <x v="0"/>
    <s v="43-979-2253"/>
    <s v="Dabjam"/>
    <n v="38"/>
    <n v="43"/>
    <n v="28"/>
    <s v="$2.70 "/>
    <n v="2.7"/>
    <d v="2024-01-10T00:00:00"/>
    <d v="2024-01-10T00:00:00"/>
    <s v="7/26/2024"/>
    <d v="2024-07-26T00:00:00"/>
    <s v="9/15/2024"/>
    <d v="2024-09-15T00:00:00"/>
    <s v="21343 Brentwood Circle"/>
    <n v="34"/>
    <n v="54"/>
    <s v="Backordered"/>
    <n v="91.800000000000011"/>
    <n v="102.60000000000001"/>
    <x v="0"/>
    <x v="1"/>
    <n v="249"/>
    <s v="Low Risk"/>
  </r>
  <r>
    <s v="41-475-5305"/>
    <x v="11"/>
    <x v="5"/>
    <s v="93-900-1170"/>
    <s v="Kwideo"/>
    <n v="61"/>
    <n v="20"/>
    <n v="29"/>
    <s v="$3.00 "/>
    <n v="3"/>
    <s v="4/19/2024"/>
    <d v="2024-04-19T00:00:00"/>
    <s v="3/13/2024"/>
    <d v="2024-03-13T00:00:00"/>
    <d v="2024-12-09T00:00:00"/>
    <d v="2024-12-09T00:00:00"/>
    <s v="88 Hooker Parkway"/>
    <n v="71"/>
    <n v="97"/>
    <s v="Backordered"/>
    <n v="213"/>
    <n v="183"/>
    <x v="1"/>
    <x v="4"/>
    <n v="234"/>
    <s v="Low Risk"/>
  </r>
  <r>
    <s v="25-911-7736"/>
    <x v="41"/>
    <x v="2"/>
    <s v="40-180-0752"/>
    <s v="Oba"/>
    <n v="75"/>
    <n v="48"/>
    <n v="25"/>
    <s v="$3.00 "/>
    <n v="3"/>
    <d v="2024-11-12T00:00:00"/>
    <d v="2024-11-12T00:00:00"/>
    <s v="8/17/2024"/>
    <d v="2024-08-17T00:00:00"/>
    <s v="8/29/2024"/>
    <d v="2024-08-29T00:00:00"/>
    <s v="72090 Northfield Place"/>
    <n v="96"/>
    <n v="65"/>
    <s v="Backordered"/>
    <n v="288"/>
    <n v="225"/>
    <x v="1"/>
    <x v="5"/>
    <n v="-75"/>
    <s v="Invalid Data"/>
  </r>
  <r>
    <s v="28-433-8533"/>
    <x v="38"/>
    <x v="5"/>
    <s v="81-694-0300"/>
    <s v="Topicware"/>
    <n v="87"/>
    <n v="70"/>
    <n v="77"/>
    <s v="$3.20 "/>
    <n v="3.2"/>
    <d v="2024-08-05T00:00:00"/>
    <d v="2024-08-05T00:00:00"/>
    <s v="2/27/2024"/>
    <d v="2024-02-27T00:00:00"/>
    <d v="2025-02-02T00:00:00"/>
    <d v="2025-02-02T00:00:00"/>
    <s v="8 Mayer Trail"/>
    <n v="73"/>
    <n v="44"/>
    <s v="Active"/>
    <n v="233.60000000000002"/>
    <n v="278.40000000000003"/>
    <x v="1"/>
    <x v="0"/>
    <n v="181"/>
    <s v="Low Risk"/>
  </r>
  <r>
    <s v="84-624-0201"/>
    <x v="14"/>
    <x v="0"/>
    <s v="25-769-3792"/>
    <s v="Skaboo"/>
    <n v="71"/>
    <n v="77"/>
    <n v="30"/>
    <s v="$1.50 "/>
    <n v="1.5"/>
    <s v="7/17/2024"/>
    <d v="2024-07-17T00:00:00"/>
    <d v="2024-09-11T00:00:00"/>
    <d v="2024-09-11T00:00:00"/>
    <s v="1/20/2025"/>
    <d v="2025-01-20T00:00:00"/>
    <s v="9 Eastlawn Crossing"/>
    <n v="34"/>
    <n v="57"/>
    <s v="Backordered"/>
    <n v="51"/>
    <n v="106.5"/>
    <x v="0"/>
    <x v="10"/>
    <n v="187"/>
    <s v="Low Risk"/>
  </r>
  <r>
    <s v="45-634-0679"/>
    <x v="30"/>
    <x v="6"/>
    <s v="29-542-9338"/>
    <s v="Rhybox"/>
    <n v="98"/>
    <n v="100"/>
    <n v="34"/>
    <s v="$9.00 "/>
    <n v="9"/>
    <s v="10/13/2024"/>
    <d v="2024-10-13T00:00:00"/>
    <s v="2/28/2024"/>
    <d v="2024-02-28T00:00:00"/>
    <s v="8/27/2024"/>
    <d v="2024-08-27T00:00:00"/>
    <s v="9 Anhalt Trail"/>
    <n v="53"/>
    <n v="20"/>
    <s v="Active"/>
    <n v="477"/>
    <n v="882"/>
    <x v="0"/>
    <x v="7"/>
    <n v="-47"/>
    <s v="Invalid Data"/>
  </r>
  <r>
    <s v="93-014-4256"/>
    <x v="18"/>
    <x v="2"/>
    <s v="37-599-8579"/>
    <s v="BlogXS"/>
    <n v="19"/>
    <n v="92"/>
    <n v="41"/>
    <s v="$2.00 "/>
    <n v="2"/>
    <d v="2025-05-01T00:00:00"/>
    <d v="2025-05-01T00:00:00"/>
    <d v="2025-11-01T00:00:00"/>
    <d v="2025-11-01T00:00:00"/>
    <s v="10/13/2024"/>
    <d v="2024-10-13T00:00:00"/>
    <s v="6 Bay Road"/>
    <n v="51"/>
    <n v="79"/>
    <s v="Active"/>
    <n v="102"/>
    <n v="38"/>
    <x v="0"/>
    <x v="21"/>
    <n v="-200"/>
    <s v="Invalid Data"/>
  </r>
  <r>
    <s v="24-989-3302"/>
    <x v="72"/>
    <x v="2"/>
    <s v="89-159-0852"/>
    <s v="Eazzy"/>
    <n v="85"/>
    <n v="90"/>
    <n v="16"/>
    <s v="$5.00 "/>
    <n v="5"/>
    <s v="5/25/2024"/>
    <d v="2024-05-25T00:00:00"/>
    <d v="2024-03-06T00:00:00"/>
    <d v="2024-03-06T00:00:00"/>
    <s v="7/30/2024"/>
    <d v="2024-07-30T00:00:00"/>
    <s v="736 Redwing Parkway"/>
    <n v="61"/>
    <n v="80"/>
    <s v="Backordered"/>
    <n v="305"/>
    <n v="425"/>
    <x v="0"/>
    <x v="8"/>
    <n v="66"/>
    <s v="High Risk"/>
  </r>
  <r>
    <s v="46-415-8633"/>
    <x v="110"/>
    <x v="2"/>
    <s v="32-497-0478"/>
    <s v="Omba"/>
    <n v="71"/>
    <n v="36"/>
    <n v="45"/>
    <s v="$3.50 "/>
    <n v="3.5"/>
    <s v="1/29/2025"/>
    <d v="2025-01-29T00:00:00"/>
    <s v="11/17/2024"/>
    <d v="2024-11-17T00:00:00"/>
    <d v="2025-02-01T00:00:00"/>
    <d v="2025-02-01T00:00:00"/>
    <s v="5 Eggendart Parkway"/>
    <n v="87"/>
    <n v="2"/>
    <s v="Backordered"/>
    <n v="304.5"/>
    <n v="248.5"/>
    <x v="1"/>
    <x v="13"/>
    <n v="3"/>
    <s v="Critical"/>
  </r>
  <r>
    <s v="73-117-6105"/>
    <x v="104"/>
    <x v="0"/>
    <s v="74-729-7466"/>
    <s v="Skipfire"/>
    <n v="44"/>
    <n v="48"/>
    <n v="77"/>
    <s v="$2.50 "/>
    <n v="2.5"/>
    <s v="8/23/2024"/>
    <d v="2024-08-23T00:00:00"/>
    <s v="9/17/2024"/>
    <d v="2024-09-17T00:00:00"/>
    <s v="1/23/2025"/>
    <d v="2025-01-23T00:00:00"/>
    <s v="955 4th Road"/>
    <n v="67"/>
    <n v="79"/>
    <s v="Discontinued"/>
    <n v="167.5"/>
    <n v="110"/>
    <x v="0"/>
    <x v="0"/>
    <n v="153"/>
    <s v="Medium Risk"/>
  </r>
  <r>
    <s v="53-710-7630"/>
    <x v="66"/>
    <x v="0"/>
    <s v="46-171-9624"/>
    <s v="Livetube"/>
    <n v="25"/>
    <n v="95"/>
    <n v="71"/>
    <s v="$2.00 "/>
    <n v="2"/>
    <s v="6/25/2024"/>
    <d v="2024-06-25T00:00:00"/>
    <d v="2024-09-07T00:00:00"/>
    <d v="2024-09-07T00:00:00"/>
    <s v="1/14/2025"/>
    <d v="2025-01-14T00:00:00"/>
    <s v="996 Thierer Center"/>
    <n v="24"/>
    <n v="76"/>
    <s v="Backordered"/>
    <n v="48"/>
    <n v="50"/>
    <x v="0"/>
    <x v="12"/>
    <n v="203"/>
    <s v="Low Risk"/>
  </r>
  <r>
    <s v="10-617-7581"/>
    <x v="59"/>
    <x v="3"/>
    <s v="86-995-7254"/>
    <s v="Devpulse"/>
    <n v="24"/>
    <n v="14"/>
    <n v="5"/>
    <s v="$4.00 "/>
    <n v="4"/>
    <s v="6/20/2024"/>
    <d v="2024-06-20T00:00:00"/>
    <s v="3/30/2024"/>
    <d v="2024-03-30T00:00:00"/>
    <s v="6/17/2024"/>
    <d v="2024-06-17T00:00:00"/>
    <s v="0 Lawn Parkway"/>
    <n v="98"/>
    <n v="9"/>
    <s v="Active"/>
    <n v="392"/>
    <n v="96"/>
    <x v="1"/>
    <x v="12"/>
    <n v="-3"/>
    <s v="Invalid Data"/>
  </r>
  <r>
    <s v="66-312-5511"/>
    <x v="95"/>
    <x v="6"/>
    <s v="99-553-6838"/>
    <s v="Skipfire"/>
    <n v="44"/>
    <n v="97"/>
    <n v="76"/>
    <s v="$10.00 "/>
    <n v="10"/>
    <s v="5/27/2024"/>
    <d v="2024-05-27T00:00:00"/>
    <d v="2024-10-04T00:00:00"/>
    <d v="2024-10-04T00:00:00"/>
    <s v="12/15/2024"/>
    <d v="2024-12-15T00:00:00"/>
    <s v="959 Dorton Pass"/>
    <n v="80"/>
    <n v="33"/>
    <s v="Discontinued"/>
    <n v="800"/>
    <n v="440"/>
    <x v="0"/>
    <x v="8"/>
    <n v="202"/>
    <s v="Low Risk"/>
  </r>
  <r>
    <s v="87-423-8486"/>
    <x v="86"/>
    <x v="0"/>
    <s v="12-947-4739"/>
    <s v="Mybuzz"/>
    <n v="63"/>
    <n v="4"/>
    <n v="46"/>
    <s v="$2.50 "/>
    <n v="2.5"/>
    <s v="8/17/2024"/>
    <d v="2024-08-17T00:00:00"/>
    <s v="3/21/2024"/>
    <d v="2024-03-21T00:00:00"/>
    <d v="2024-09-03T00:00:00"/>
    <d v="2024-09-03T00:00:00"/>
    <s v="5 Homewood Street"/>
    <n v="40"/>
    <n v="69"/>
    <s v="Discontinued"/>
    <n v="100"/>
    <n v="157.5"/>
    <x v="1"/>
    <x v="0"/>
    <n v="17"/>
    <s v="Critical"/>
  </r>
  <r>
    <s v="64-493-5270"/>
    <x v="63"/>
    <x v="3"/>
    <s v="36-964-9838"/>
    <s v="Dynabox"/>
    <n v="69"/>
    <n v="59"/>
    <n v="29"/>
    <s v="$1.80 "/>
    <n v="1.8"/>
    <s v="10/30/2024"/>
    <d v="2024-10-30T00:00:00"/>
    <s v="5/23/2024"/>
    <d v="2024-05-23T00:00:00"/>
    <s v="5/22/2024"/>
    <d v="2024-05-22T00:00:00"/>
    <s v="4571 Fremont Way"/>
    <n v="63"/>
    <n v="91"/>
    <s v="Active"/>
    <n v="113.4"/>
    <n v="124.2"/>
    <x v="1"/>
    <x v="7"/>
    <n v="-161"/>
    <s v="Invalid Data"/>
  </r>
  <r>
    <s v="31-255-9616"/>
    <x v="82"/>
    <x v="6"/>
    <s v="11-031-9939"/>
    <s v="Centimia"/>
    <n v="88"/>
    <n v="71"/>
    <n v="9"/>
    <s v="$18.00 "/>
    <n v="18"/>
    <s v="3/14/2024"/>
    <d v="2024-03-14T00:00:00"/>
    <s v="12/28/2024"/>
    <d v="2024-12-28T00:00:00"/>
    <s v="3/16/2024"/>
    <d v="2024-03-16T00:00:00"/>
    <s v="9440 Coleman Drive"/>
    <n v="28"/>
    <n v="14"/>
    <s v="Backordered"/>
    <n v="504"/>
    <n v="1584"/>
    <x v="1"/>
    <x v="2"/>
    <n v="2"/>
    <s v="Critical"/>
  </r>
  <r>
    <s v="26-799-3714"/>
    <x v="93"/>
    <x v="1"/>
    <s v="50-877-0990"/>
    <s v="Mymm"/>
    <n v="74"/>
    <n v="2"/>
    <n v="45"/>
    <s v="$10.00 "/>
    <n v="10"/>
    <s v="2/29/2024"/>
    <d v="2024-02-29T00:00:00"/>
    <d v="2025-03-02T00:00:00"/>
    <d v="2025-03-02T00:00:00"/>
    <d v="2024-06-04T00:00:00"/>
    <d v="2024-06-04T00:00:00"/>
    <s v="49225 Homewood Place"/>
    <n v="37"/>
    <n v="99"/>
    <s v="Active"/>
    <n v="370"/>
    <n v="740"/>
    <x v="1"/>
    <x v="9"/>
    <n v="96"/>
    <s v="Medium Risk"/>
  </r>
  <r>
    <s v="64-119-7804"/>
    <x v="53"/>
    <x v="2"/>
    <s v="53-497-9614"/>
    <s v="Jaxbean"/>
    <n v="98"/>
    <n v="43"/>
    <n v="9"/>
    <s v="$4.50 "/>
    <n v="4.5"/>
    <s v="6/25/2024"/>
    <d v="2024-06-25T00:00:00"/>
    <d v="2024-06-03T00:00:00"/>
    <d v="2024-06-03T00:00:00"/>
    <s v="12/29/2024"/>
    <d v="2024-12-29T00:00:00"/>
    <s v="06584 Mendota Avenue"/>
    <n v="86"/>
    <n v="62"/>
    <s v="Backordered"/>
    <n v="387"/>
    <n v="441"/>
    <x v="1"/>
    <x v="12"/>
    <n v="187"/>
    <s v="Low Risk"/>
  </r>
  <r>
    <s v="74-181-4135"/>
    <x v="120"/>
    <x v="4"/>
    <s v="00-487-2428"/>
    <s v="Meembee"/>
    <n v="22"/>
    <n v="19"/>
    <n v="4"/>
    <s v="$0.20 "/>
    <n v="0.2"/>
    <s v="4/18/2024"/>
    <d v="2024-04-18T00:00:00"/>
    <s v="3/17/2024"/>
    <d v="2024-03-17T00:00:00"/>
    <s v="9/17/2024"/>
    <d v="2024-09-17T00:00:00"/>
    <s v="79878 Katie Trail"/>
    <n v="88"/>
    <n v="24"/>
    <s v="Discontinued"/>
    <n v="17.600000000000001"/>
    <n v="4.4000000000000004"/>
    <x v="1"/>
    <x v="4"/>
    <n v="152"/>
    <s v="Medium Risk"/>
  </r>
  <r>
    <s v="34-369-7712"/>
    <x v="106"/>
    <x v="2"/>
    <s v="95-241-9348"/>
    <s v="Fivebridge"/>
    <n v="55"/>
    <n v="96"/>
    <n v="40"/>
    <s v="$5.00 "/>
    <n v="5"/>
    <s v="5/16/2024"/>
    <d v="2024-05-16T00:00:00"/>
    <d v="2024-11-05T00:00:00"/>
    <d v="2024-11-05T00:00:00"/>
    <d v="2024-06-06T00:00:00"/>
    <d v="2024-06-06T00:00:00"/>
    <s v="0 Lerdahl Parkway"/>
    <n v="23"/>
    <n v="47"/>
    <s v="Discontinued"/>
    <n v="115"/>
    <n v="275"/>
    <x v="0"/>
    <x v="8"/>
    <n v="21"/>
    <s v="Critical"/>
  </r>
  <r>
    <s v="31-157-1822"/>
    <x v="47"/>
    <x v="4"/>
    <s v="53-998-1422"/>
    <s v="Kwideo"/>
    <n v="96"/>
    <n v="80"/>
    <n v="20"/>
    <s v="$6.10 "/>
    <n v="6.1"/>
    <s v="12/19/2024"/>
    <d v="2024-12-19T00:00:00"/>
    <s v="7/30/2024"/>
    <d v="2024-07-30T00:00:00"/>
    <s v="1/28/2025"/>
    <d v="2025-01-28T00:00:00"/>
    <s v="803 Cottonwood Crossing"/>
    <n v="94"/>
    <n v="49"/>
    <s v="Discontinued"/>
    <n v="573.4"/>
    <n v="585.59999999999991"/>
    <x v="1"/>
    <x v="6"/>
    <n v="40"/>
    <s v="High Risk"/>
  </r>
  <r>
    <s v="27-459-0724"/>
    <x v="13"/>
    <x v="4"/>
    <s v="45-331-8563"/>
    <s v="Quaxo"/>
    <n v="91"/>
    <n v="7"/>
    <n v="64"/>
    <s v="$7.00 "/>
    <n v="7"/>
    <d v="2024-09-11T00:00:00"/>
    <d v="2024-09-11T00:00:00"/>
    <d v="2024-12-08T00:00:00"/>
    <d v="2024-12-08T00:00:00"/>
    <s v="2/24/2025"/>
    <d v="2025-02-24T00:00:00"/>
    <s v="4 Duke Way"/>
    <n v="32"/>
    <n v="65"/>
    <s v="Discontinued"/>
    <n v="224"/>
    <n v="637"/>
    <x v="1"/>
    <x v="11"/>
    <n v="166"/>
    <s v="Medium Risk"/>
  </r>
  <r>
    <s v="47-441-7682"/>
    <x v="99"/>
    <x v="5"/>
    <s v="90-998-1236"/>
    <s v="Vimbo"/>
    <n v="40"/>
    <n v="91"/>
    <n v="24"/>
    <s v="$4.00 "/>
    <n v="4"/>
    <s v="7/29/2024"/>
    <d v="2024-07-29T00:00:00"/>
    <d v="2024-12-12T00:00:00"/>
    <d v="2024-12-12T00:00:00"/>
    <s v="11/30/2024"/>
    <d v="2024-11-30T00:00:00"/>
    <s v="4247 David Crossing"/>
    <n v="28"/>
    <n v="47"/>
    <s v="Discontinued"/>
    <n v="112"/>
    <n v="160"/>
    <x v="0"/>
    <x v="10"/>
    <n v="124"/>
    <s v="Medium Risk"/>
  </r>
  <r>
    <s v="32-676-1026"/>
    <x v="115"/>
    <x v="6"/>
    <s v="98-155-9583"/>
    <s v="Buzzshare"/>
    <n v="52"/>
    <n v="46"/>
    <n v="12"/>
    <s v="$15.00 "/>
    <n v="15"/>
    <s v="12/18/2024"/>
    <d v="2024-12-18T00:00:00"/>
    <d v="2024-04-06T00:00:00"/>
    <d v="2024-04-06T00:00:00"/>
    <s v="4/16/2024"/>
    <d v="2024-04-16T00:00:00"/>
    <s v="9433 Jenna Lane"/>
    <n v="43"/>
    <n v="34"/>
    <s v="Backordered"/>
    <n v="645"/>
    <n v="780"/>
    <x v="1"/>
    <x v="6"/>
    <n v="-246"/>
    <s v="Invalid Data"/>
  </r>
  <r>
    <s v="77-959-1018"/>
    <x v="71"/>
    <x v="2"/>
    <s v="00-912-3545"/>
    <s v="Gigabox"/>
    <n v="22"/>
    <n v="22"/>
    <n v="65"/>
    <s v="$2.00 "/>
    <n v="2"/>
    <s v="1/15/2025"/>
    <d v="2025-01-15T00:00:00"/>
    <s v="4/30/2024"/>
    <d v="2024-04-30T00:00:00"/>
    <d v="2024-12-06T00:00:00"/>
    <d v="2024-12-06T00:00:00"/>
    <s v="03 Ryan Circle"/>
    <n v="62"/>
    <n v="78"/>
    <s v="Backordered"/>
    <n v="124"/>
    <n v="44"/>
    <x v="0"/>
    <x v="13"/>
    <n v="-40"/>
    <s v="Invalid Data"/>
  </r>
  <r>
    <s v="60-911-3745"/>
    <x v="2"/>
    <x v="0"/>
    <s v="87-570-0273"/>
    <s v="Blognation"/>
    <n v="98"/>
    <n v="41"/>
    <n v="98"/>
    <s v="$6.35 "/>
    <n v="6.35"/>
    <d v="2025-05-01T00:00:00"/>
    <d v="2025-05-01T00:00:00"/>
    <s v="8/31/2024"/>
    <d v="2024-08-31T00:00:00"/>
    <s v="1/18/2025"/>
    <d v="2025-01-18T00:00:00"/>
    <s v="75054 Ramsey Parkway"/>
    <n v="70"/>
    <n v="75"/>
    <s v="Backordered"/>
    <n v="444.5"/>
    <n v="622.29999999999995"/>
    <x v="1"/>
    <x v="21"/>
    <n v="-103"/>
    <s v="Invalid Data"/>
  </r>
  <r>
    <s v="57-101-0060"/>
    <x v="92"/>
    <x v="0"/>
    <s v="40-070-5881"/>
    <s v="Topicstorm"/>
    <n v="59"/>
    <n v="73"/>
    <n v="86"/>
    <s v="$2.75 "/>
    <n v="2.75"/>
    <s v="2/13/2025"/>
    <d v="2025-02-13T00:00:00"/>
    <d v="2025-01-01T00:00:00"/>
    <d v="2025-01-01T00:00:00"/>
    <d v="2024-11-09T00:00:00"/>
    <d v="2024-11-09T00:00:00"/>
    <s v="78919 East Crossing"/>
    <n v="32"/>
    <n v="56"/>
    <s v="Backordered"/>
    <n v="88"/>
    <n v="162.25"/>
    <x v="0"/>
    <x v="14"/>
    <n v="-96"/>
    <s v="Invalid Data"/>
  </r>
  <r>
    <s v="54-758-4622"/>
    <x v="61"/>
    <x v="5"/>
    <s v="94-903-2643"/>
    <s v="Devcast"/>
    <n v="99"/>
    <n v="3"/>
    <n v="79"/>
    <s v="$5.00 "/>
    <n v="5"/>
    <d v="2024-05-06T00:00:00"/>
    <d v="2024-05-06T00:00:00"/>
    <s v="1/16/2025"/>
    <d v="2025-01-16T00:00:00"/>
    <s v="11/21/2024"/>
    <d v="2024-11-21T00:00:00"/>
    <s v="865 Eagle Crest Park"/>
    <n v="65"/>
    <n v="16"/>
    <s v="Backordered"/>
    <n v="325"/>
    <n v="495"/>
    <x v="1"/>
    <x v="8"/>
    <n v="199"/>
    <s v="Low Risk"/>
  </r>
  <r>
    <s v="92-152-5820"/>
    <x v="46"/>
    <x v="1"/>
    <s v="50-747-2259"/>
    <s v="Jaloo"/>
    <n v="18"/>
    <n v="36"/>
    <n v="53"/>
    <s v="$5.30 "/>
    <n v="5.3"/>
    <d v="2024-12-05T00:00:00"/>
    <d v="2024-12-05T00:00:00"/>
    <d v="2024-01-05T00:00:00"/>
    <d v="2024-01-05T00:00:00"/>
    <s v="6/24/2024"/>
    <d v="2024-06-24T00:00:00"/>
    <s v="0920 Monica Pass"/>
    <n v="65"/>
    <n v="100"/>
    <s v="Active"/>
    <n v="344.5"/>
    <n v="95.399999999999991"/>
    <x v="0"/>
    <x v="6"/>
    <n v="-164"/>
    <s v="Invalid Data"/>
  </r>
  <r>
    <s v="44-637-5512"/>
    <x v="94"/>
    <x v="2"/>
    <s v="27-541-2645"/>
    <s v="Jaxspan"/>
    <n v="58"/>
    <n v="12"/>
    <n v="99"/>
    <s v="$3.00 "/>
    <n v="3"/>
    <s v="1/22/2025"/>
    <d v="2025-01-22T00:00:00"/>
    <d v="2025-12-01T00:00:00"/>
    <d v="2025-12-01T00:00:00"/>
    <s v="5/26/2024"/>
    <d v="2024-05-26T00:00:00"/>
    <s v="00064 Mosinee Circle"/>
    <n v="71"/>
    <n v="30"/>
    <s v="Active"/>
    <n v="213"/>
    <n v="174"/>
    <x v="1"/>
    <x v="13"/>
    <n v="-241"/>
    <s v="Invalid Data"/>
  </r>
  <r>
    <s v="65-854-9364"/>
    <x v="2"/>
    <x v="0"/>
    <s v="64-800-4141"/>
    <s v="BlogXS"/>
    <n v="30"/>
    <n v="34"/>
    <n v="96"/>
    <s v="$6.30 "/>
    <n v="6.3"/>
    <d v="2024-04-11T00:00:00"/>
    <d v="2024-04-11T00:00:00"/>
    <s v="12/19/2024"/>
    <d v="2024-12-19T00:00:00"/>
    <s v="4/22/2024"/>
    <d v="2024-04-22T00:00:00"/>
    <s v="752 Mccormick Way"/>
    <n v="61"/>
    <n v="13"/>
    <s v="Backordered"/>
    <n v="384.3"/>
    <n v="189"/>
    <x v="0"/>
    <x v="4"/>
    <n v="11"/>
    <s v="Critical"/>
  </r>
  <r>
    <s v="60-747-8704"/>
    <x v="108"/>
    <x v="2"/>
    <s v="93-793-4398"/>
    <s v="Twitterwire"/>
    <n v="97"/>
    <n v="97"/>
    <n v="71"/>
    <s v="$4.50 "/>
    <n v="4.5"/>
    <d v="2024-12-07T00:00:00"/>
    <d v="2024-12-07T00:00:00"/>
    <s v="9/29/2024"/>
    <d v="2024-09-29T00:00:00"/>
    <s v="8/22/2024"/>
    <d v="2024-08-22T00:00:00"/>
    <s v="561 Pennsylvania Way"/>
    <n v="53"/>
    <n v="31"/>
    <s v="Active"/>
    <n v="238.5"/>
    <n v="436.5"/>
    <x v="0"/>
    <x v="6"/>
    <n v="-107"/>
    <s v="Invalid Data"/>
  </r>
  <r>
    <s v="85-835-3445"/>
    <x v="7"/>
    <x v="4"/>
    <s v="13-433-4930"/>
    <s v="Gigashots"/>
    <n v="50"/>
    <n v="93"/>
    <n v="37"/>
    <s v="$2.45 "/>
    <n v="2.4500000000000002"/>
    <d v="2025-11-01T00:00:00"/>
    <d v="2025-11-01T00:00:00"/>
    <d v="2024-02-03T00:00:00"/>
    <d v="2024-02-03T00:00:00"/>
    <d v="2024-12-05T00:00:00"/>
    <d v="2024-12-05T00:00:00"/>
    <s v="288 Fair Oaks Place"/>
    <n v="78"/>
    <n v="79"/>
    <s v="Backordered"/>
    <n v="191.10000000000002"/>
    <n v="122.50000000000001"/>
    <x v="0"/>
    <x v="22"/>
    <n v="-331"/>
    <s v="Invalid Data"/>
  </r>
  <r>
    <s v="66-716-8221"/>
    <x v="88"/>
    <x v="4"/>
    <s v="67-024-9832"/>
    <s v="LiveZ"/>
    <n v="70"/>
    <n v="96"/>
    <n v="35"/>
    <s v="$9.00 "/>
    <n v="9"/>
    <d v="2025-08-02T00:00:00"/>
    <d v="2025-08-02T00:00:00"/>
    <s v="6/24/2024"/>
    <d v="2024-06-24T00:00:00"/>
    <s v="1/17/2025"/>
    <d v="2025-01-17T00:00:00"/>
    <s v="54 Weeping Birch Lane"/>
    <n v="63"/>
    <n v="84"/>
    <s v="Backordered"/>
    <n v="567"/>
    <n v="630"/>
    <x v="0"/>
    <x v="18"/>
    <n v="-197"/>
    <s v="Invalid Data"/>
  </r>
  <r>
    <s v="01-026-2772"/>
    <x v="60"/>
    <x v="2"/>
    <s v="20-532-0144"/>
    <s v="Buzzbean"/>
    <n v="40"/>
    <n v="61"/>
    <n v="47"/>
    <s v="$10.00 "/>
    <n v="10"/>
    <s v="8/28/2024"/>
    <d v="2024-08-28T00:00:00"/>
    <d v="2024-11-06T00:00:00"/>
    <d v="2024-11-06T00:00:00"/>
    <s v="5/27/2024"/>
    <d v="2024-05-27T00:00:00"/>
    <s v="3 Bunting Point"/>
    <n v="76"/>
    <n v="10"/>
    <s v="Discontinued"/>
    <n v="760"/>
    <n v="400"/>
    <x v="0"/>
    <x v="0"/>
    <n v="-93"/>
    <s v="Invalid Data"/>
  </r>
  <r>
    <s v="21-252-1360"/>
    <x v="6"/>
    <x v="3"/>
    <s v="28-314-1189"/>
    <s v="Shuffletag"/>
    <n v="75"/>
    <n v="23"/>
    <n v="34"/>
    <s v="$2.50 "/>
    <n v="2.5"/>
    <s v="6/22/2024"/>
    <d v="2024-06-22T00:00:00"/>
    <d v="2024-04-09T00:00:00"/>
    <d v="2024-04-09T00:00:00"/>
    <d v="2024-04-07T00:00:00"/>
    <d v="2024-04-07T00:00:00"/>
    <s v="32 Charing Cross Pass"/>
    <n v="100"/>
    <n v="54"/>
    <s v="Backordered"/>
    <n v="250"/>
    <n v="187.5"/>
    <x v="1"/>
    <x v="12"/>
    <n v="-76"/>
    <s v="Invalid Data"/>
  </r>
  <r>
    <s v="80-039-1261"/>
    <x v="12"/>
    <x v="2"/>
    <s v="37-994-7932"/>
    <s v="Skimia"/>
    <n v="26"/>
    <n v="97"/>
    <n v="12"/>
    <s v="$6.00 "/>
    <n v="6"/>
    <s v="9/25/2024"/>
    <d v="2024-09-25T00:00:00"/>
    <s v="11/28/2024"/>
    <d v="2024-11-28T00:00:00"/>
    <d v="2024-12-06T00:00:00"/>
    <d v="2024-12-06T00:00:00"/>
    <s v="1 Havey Park"/>
    <n v="94"/>
    <n v="58"/>
    <s v="Discontinued"/>
    <n v="564"/>
    <n v="156"/>
    <x v="0"/>
    <x v="11"/>
    <n v="72"/>
    <s v="High Risk"/>
  </r>
  <r>
    <s v="48-427-0551"/>
    <x v="1"/>
    <x v="1"/>
    <s v="01-900-4509"/>
    <s v="Jetpulse"/>
    <n v="13"/>
    <n v="55"/>
    <n v="77"/>
    <s v="$20.00 "/>
    <n v="20"/>
    <s v="10/17/2024"/>
    <d v="2024-10-17T00:00:00"/>
    <s v="12/16/2024"/>
    <d v="2024-12-16T00:00:00"/>
    <d v="2024-03-11T00:00:00"/>
    <d v="2024-03-11T00:00:00"/>
    <s v="2 7th Center"/>
    <n v="67"/>
    <n v="68"/>
    <s v="Backordered"/>
    <n v="1340"/>
    <n v="260"/>
    <x v="0"/>
    <x v="7"/>
    <n v="-220"/>
    <s v="Invalid Data"/>
  </r>
  <r>
    <s v="02-575-1980"/>
    <x v="4"/>
    <x v="2"/>
    <s v="61-100-8296"/>
    <s v="Yambee"/>
    <n v="11"/>
    <n v="58"/>
    <n v="32"/>
    <s v="$4.00 "/>
    <n v="4"/>
    <s v="2/28/2024"/>
    <d v="2024-02-28T00:00:00"/>
    <d v="2024-09-07T00:00:00"/>
    <d v="2024-09-07T00:00:00"/>
    <s v="11/24/2024"/>
    <d v="2024-11-24T00:00:00"/>
    <s v="34832 Autumn Leaf Terrace"/>
    <n v="99"/>
    <n v="94"/>
    <s v="Active"/>
    <n v="396"/>
    <n v="44"/>
    <x v="0"/>
    <x v="9"/>
    <n v="270"/>
    <s v="Low Risk"/>
  </r>
  <r>
    <s v="61-293-6327"/>
    <x v="115"/>
    <x v="6"/>
    <s v="00-023-7719"/>
    <s v="Kamba"/>
    <n v="98"/>
    <n v="67"/>
    <n v="49"/>
    <s v="$15.00 "/>
    <n v="15"/>
    <d v="2024-09-08T00:00:00"/>
    <d v="2024-09-08T00:00:00"/>
    <s v="12/29/2024"/>
    <d v="2024-12-29T00:00:00"/>
    <d v="2024-04-04T00:00:00"/>
    <d v="2024-04-04T00:00:00"/>
    <s v="4353 Dixon Circle"/>
    <n v="21"/>
    <n v="61"/>
    <s v="Active"/>
    <n v="315"/>
    <n v="1470"/>
    <x v="1"/>
    <x v="11"/>
    <n v="-157"/>
    <s v="Invalid Data"/>
  </r>
  <r>
    <s v="08-519-5579"/>
    <x v="50"/>
    <x v="2"/>
    <s v="32-178-2765"/>
    <s v="Abatz"/>
    <n v="35"/>
    <n v="4"/>
    <n v="76"/>
    <s v="$4.00 "/>
    <n v="4"/>
    <d v="2024-09-08T00:00:00"/>
    <d v="2024-09-08T00:00:00"/>
    <s v="8/22/2024"/>
    <d v="2024-08-22T00:00:00"/>
    <s v="8/16/2024"/>
    <d v="2024-08-16T00:00:00"/>
    <s v="89 Karstens Alley"/>
    <n v="90"/>
    <n v="30"/>
    <s v="Discontinued"/>
    <n v="360"/>
    <n v="140"/>
    <x v="1"/>
    <x v="11"/>
    <n v="-23"/>
    <s v="Invalid Data"/>
  </r>
  <r>
    <s v="33-670-6797"/>
    <x v="101"/>
    <x v="6"/>
    <s v="74-032-7560"/>
    <s v="Wikido"/>
    <n v="45"/>
    <n v="56"/>
    <n v="64"/>
    <s v="$7.50 "/>
    <n v="7.5"/>
    <s v="7/14/2024"/>
    <d v="2024-07-14T00:00:00"/>
    <s v="8/26/2024"/>
    <d v="2024-08-26T00:00:00"/>
    <d v="2024-05-07T00:00:00"/>
    <d v="2024-05-07T00:00:00"/>
    <s v="2869 Hudson Drive"/>
    <n v="35"/>
    <n v="82"/>
    <s v="Discontinued"/>
    <n v="262.5"/>
    <n v="337.5"/>
    <x v="0"/>
    <x v="10"/>
    <n v="-68"/>
    <s v="Invalid Data"/>
  </r>
  <r>
    <s v="29-741-8132"/>
    <x v="100"/>
    <x v="2"/>
    <s v="49-384-4540"/>
    <s v="Blogpad"/>
    <n v="47"/>
    <n v="22"/>
    <n v="69"/>
    <s v="$4.00 "/>
    <n v="4"/>
    <d v="2024-02-03T00:00:00"/>
    <d v="2024-02-03T00:00:00"/>
    <s v="7/14/2024"/>
    <d v="2024-07-14T00:00:00"/>
    <d v="2024-03-06T00:00:00"/>
    <d v="2024-03-06T00:00:00"/>
    <s v="85 Farwell Parkway"/>
    <n v="26"/>
    <n v="59"/>
    <s v="Backordered"/>
    <n v="104"/>
    <n v="188"/>
    <x v="1"/>
    <x v="9"/>
    <n v="32"/>
    <s v="High Risk"/>
  </r>
  <r>
    <s v="89-713-6071"/>
    <x v="90"/>
    <x v="3"/>
    <s v="84-123-7159"/>
    <s v="Tazz"/>
    <n v="89"/>
    <n v="66"/>
    <n v="28"/>
    <s v="$6.50 "/>
    <n v="6.5"/>
    <s v="1/13/2025"/>
    <d v="2025-01-13T00:00:00"/>
    <s v="11/19/2024"/>
    <d v="2024-11-19T00:00:00"/>
    <s v="11/25/2024"/>
    <d v="2024-11-25T00:00:00"/>
    <s v="60 Dottie Hill"/>
    <n v="39"/>
    <n v="25"/>
    <s v="Active"/>
    <n v="253.5"/>
    <n v="578.5"/>
    <x v="1"/>
    <x v="13"/>
    <n v="-49"/>
    <s v="Invalid Data"/>
  </r>
  <r>
    <s v="00-641-8691"/>
    <x v="36"/>
    <x v="1"/>
    <s v="34-824-0575"/>
    <s v="Brainverse"/>
    <n v="33"/>
    <n v="22"/>
    <n v="94"/>
    <s v="$15.00 "/>
    <n v="15"/>
    <s v="11/28/2024"/>
    <d v="2024-11-28T00:00:00"/>
    <s v="9/24/2024"/>
    <d v="2024-09-24T00:00:00"/>
    <s v="8/30/2024"/>
    <d v="2024-08-30T00:00:00"/>
    <s v="797 Mcbride Lane"/>
    <n v="96"/>
    <n v="56"/>
    <s v="Discontinued"/>
    <n v="1440"/>
    <n v="495"/>
    <x v="1"/>
    <x v="5"/>
    <n v="-90"/>
    <s v="Invalid Data"/>
  </r>
  <r>
    <s v="68-977-6854"/>
    <x v="106"/>
    <x v="2"/>
    <s v="73-830-9633"/>
    <s v="Blognation"/>
    <n v="90"/>
    <n v="30"/>
    <n v="42"/>
    <s v="$5.00 "/>
    <n v="5"/>
    <s v="8/19/2024"/>
    <d v="2024-08-19T00:00:00"/>
    <s v="7/29/2024"/>
    <d v="2024-07-29T00:00:00"/>
    <d v="2024-02-03T00:00:00"/>
    <d v="2024-02-03T00:00:00"/>
    <s v="2633 Shasta Alley"/>
    <n v="76"/>
    <n v="69"/>
    <s v="Backordered"/>
    <n v="380"/>
    <n v="450"/>
    <x v="1"/>
    <x v="0"/>
    <n v="-198"/>
    <s v="Invalid Data"/>
  </r>
  <r>
    <s v="86-257-4613"/>
    <x v="65"/>
    <x v="0"/>
    <s v="70-402-4816"/>
    <s v="Kwilith"/>
    <n v="44"/>
    <n v="26"/>
    <n v="60"/>
    <s v="$4.75 "/>
    <n v="4.75"/>
    <s v="3/15/2024"/>
    <d v="2024-03-15T00:00:00"/>
    <s v="8/23/2024"/>
    <d v="2024-08-23T00:00:00"/>
    <d v="2024-05-08T00:00:00"/>
    <d v="2024-05-08T00:00:00"/>
    <s v="5 Prentice Pass"/>
    <n v="63"/>
    <n v="59"/>
    <s v="Discontinued"/>
    <n v="299.25"/>
    <n v="209"/>
    <x v="1"/>
    <x v="2"/>
    <n v="54"/>
    <s v="High Risk"/>
  </r>
  <r>
    <s v="06-340-6856"/>
    <x v="114"/>
    <x v="0"/>
    <s v="11-005-7835"/>
    <s v="Podcat"/>
    <n v="41"/>
    <n v="56"/>
    <n v="12"/>
    <s v="$9.75 "/>
    <n v="9.75"/>
    <d v="2024-06-05T00:00:00"/>
    <d v="2024-06-05T00:00:00"/>
    <s v="11/25/2024"/>
    <d v="2024-11-25T00:00:00"/>
    <s v="2/29/2024"/>
    <d v="2024-02-29T00:00:00"/>
    <s v="84 Rusk Terrace"/>
    <n v="93"/>
    <n v="88"/>
    <s v="Active"/>
    <n v="906.75"/>
    <n v="399.75"/>
    <x v="0"/>
    <x v="12"/>
    <n v="-97"/>
    <s v="Invalid Data"/>
  </r>
  <r>
    <s v="11-338-4598"/>
    <x v="55"/>
    <x v="2"/>
    <s v="72-360-6358"/>
    <s v="Centimia"/>
    <n v="72"/>
    <n v="58"/>
    <n v="69"/>
    <s v="$1.20 "/>
    <n v="1.2"/>
    <s v="10/16/2024"/>
    <d v="2024-10-16T00:00:00"/>
    <d v="2025-03-02T00:00:00"/>
    <d v="2025-03-02T00:00:00"/>
    <s v="2/23/2025"/>
    <d v="2025-02-23T00:00:00"/>
    <s v="9067 Valley Edge Park"/>
    <n v="96"/>
    <n v="23"/>
    <s v="Backordered"/>
    <n v="115.19999999999999"/>
    <n v="86.399999999999991"/>
    <x v="1"/>
    <x v="7"/>
    <n v="130"/>
    <s v="Medium Risk"/>
  </r>
  <r>
    <s v="82-711-0772"/>
    <x v="7"/>
    <x v="4"/>
    <s v="78-877-1866"/>
    <s v="Skyble"/>
    <n v="72"/>
    <n v="58"/>
    <n v="52"/>
    <s v="$2.40 "/>
    <n v="2.4"/>
    <s v="2/15/2025"/>
    <d v="2025-02-15T00:00:00"/>
    <s v="5/16/2024"/>
    <d v="2024-05-16T00:00:00"/>
    <s v="10/23/2024"/>
    <d v="2024-10-23T00:00:00"/>
    <s v="463 Oxford Crossing"/>
    <n v="36"/>
    <n v="14"/>
    <s v="Active"/>
    <n v="86.399999999999991"/>
    <n v="172.79999999999998"/>
    <x v="1"/>
    <x v="14"/>
    <n v="-115"/>
    <s v="Invalid Data"/>
  </r>
  <r>
    <s v="05-184-4175"/>
    <x v="36"/>
    <x v="1"/>
    <s v="31-676-5646"/>
    <s v="Skyndu"/>
    <n v="40"/>
    <n v="30"/>
    <n v="60"/>
    <s v="$15.00 "/>
    <n v="15"/>
    <d v="2024-05-09T00:00:00"/>
    <d v="2024-05-09T00:00:00"/>
    <s v="10/23/2024"/>
    <d v="2024-10-23T00:00:00"/>
    <d v="2024-03-05T00:00:00"/>
    <d v="2024-03-05T00:00:00"/>
    <s v="57 Di Loreto Circle"/>
    <n v="33"/>
    <n v="84"/>
    <s v="Active"/>
    <n v="495"/>
    <n v="600"/>
    <x v="1"/>
    <x v="8"/>
    <n v="-65"/>
    <s v="Invalid Data"/>
  </r>
  <r>
    <s v="17-274-6898"/>
    <x v="118"/>
    <x v="5"/>
    <s v="34-738-1209"/>
    <s v="Photobug"/>
    <n v="36"/>
    <n v="53"/>
    <n v="92"/>
    <s v="$3.50 "/>
    <n v="3.5"/>
    <d v="2024-07-07T00:00:00"/>
    <d v="2024-07-07T00:00:00"/>
    <d v="2024-01-06T00:00:00"/>
    <d v="2024-01-06T00:00:00"/>
    <s v="3/22/2024"/>
    <d v="2024-03-22T00:00:00"/>
    <s v="657 Texas Street"/>
    <n v="67"/>
    <n v="43"/>
    <s v="Backordered"/>
    <n v="234.5"/>
    <n v="126"/>
    <x v="0"/>
    <x v="10"/>
    <n v="-107"/>
    <s v="Invalid Data"/>
  </r>
  <r>
    <s v="79-569-8856"/>
    <x v="87"/>
    <x v="3"/>
    <s v="04-854-7165"/>
    <s v="Digitube"/>
    <n v="51"/>
    <n v="87"/>
    <n v="86"/>
    <s v="$2.00 "/>
    <n v="2"/>
    <d v="2024-01-04T00:00:00"/>
    <d v="2024-01-04T00:00:00"/>
    <s v="5/19/2024"/>
    <d v="2024-05-19T00:00:00"/>
    <d v="2024-11-06T00:00:00"/>
    <d v="2024-11-06T00:00:00"/>
    <s v="03643 Oakridge Lane"/>
    <n v="24"/>
    <n v="83"/>
    <s v="Backordered"/>
    <n v="48"/>
    <n v="102"/>
    <x v="0"/>
    <x v="1"/>
    <n v="307"/>
    <s v="Low Risk"/>
  </r>
  <r>
    <s v="00-534-9775"/>
    <x v="36"/>
    <x v="1"/>
    <s v="79-955-6260"/>
    <s v="Tagpad"/>
    <n v="87"/>
    <n v="91"/>
    <n v="23"/>
    <s v="$14.90 "/>
    <n v="14.9"/>
    <s v="12/29/2024"/>
    <d v="2024-12-29T00:00:00"/>
    <s v="5/23/2024"/>
    <d v="2024-05-23T00:00:00"/>
    <s v="8/17/2024"/>
    <d v="2024-08-17T00:00:00"/>
    <s v="68 Dakota Center"/>
    <n v="90"/>
    <n v="75"/>
    <s v="Backordered"/>
    <n v="1341"/>
    <n v="1296.3"/>
    <x v="0"/>
    <x v="6"/>
    <n v="-134"/>
    <s v="Invalid Data"/>
  </r>
  <r>
    <s v="94-071-2261"/>
    <x v="25"/>
    <x v="2"/>
    <s v="25-706-2146"/>
    <s v="Roodel"/>
    <n v="79"/>
    <n v="37"/>
    <n v="98"/>
    <s v="$4.50 "/>
    <n v="4.5"/>
    <d v="2024-01-09T00:00:00"/>
    <d v="2024-01-09T00:00:00"/>
    <d v="2024-02-03T00:00:00"/>
    <d v="2024-02-03T00:00:00"/>
    <s v="3/30/2024"/>
    <d v="2024-03-30T00:00:00"/>
    <s v="2004 Cody Plaza"/>
    <n v="33"/>
    <n v="20"/>
    <s v="Discontinued"/>
    <n v="148.5"/>
    <n v="355.5"/>
    <x v="1"/>
    <x v="1"/>
    <n v="81"/>
    <s v="High Risk"/>
  </r>
  <r>
    <s v="94-355-3070"/>
    <x v="70"/>
    <x v="6"/>
    <s v="73-393-9432"/>
    <s v="Jabbercube"/>
    <n v="14"/>
    <n v="52"/>
    <n v="80"/>
    <s v="$6.80 "/>
    <n v="6.8"/>
    <s v="7/26/2024"/>
    <d v="2024-07-26T00:00:00"/>
    <s v="7/13/2024"/>
    <d v="2024-07-13T00:00:00"/>
    <s v="7/23/2024"/>
    <d v="2024-07-23T00:00:00"/>
    <s v="116 Spaight Park"/>
    <n v="64"/>
    <n v="17"/>
    <s v="Discontinued"/>
    <n v="435.2"/>
    <n v="95.2"/>
    <x v="0"/>
    <x v="10"/>
    <n v="-3"/>
    <s v="Invalid Data"/>
  </r>
  <r>
    <s v="17-265-1899"/>
    <x v="41"/>
    <x v="2"/>
    <s v="61-793-0279"/>
    <s v="Demimbu"/>
    <n v="81"/>
    <n v="35"/>
    <n v="82"/>
    <s v="$3.00 "/>
    <n v="3"/>
    <s v="12/30/2024"/>
    <d v="2024-12-30T00:00:00"/>
    <s v="3/25/2024"/>
    <d v="2024-03-25T00:00:00"/>
    <d v="2025-10-02T00:00:00"/>
    <d v="2025-10-02T00:00:00"/>
    <s v="4826 Drewry Center"/>
    <n v="86"/>
    <n v="71"/>
    <s v="Backordered"/>
    <n v="258"/>
    <n v="243"/>
    <x v="1"/>
    <x v="6"/>
    <n v="276"/>
    <s v="Low Risk"/>
  </r>
  <r>
    <s v="13-888-0149"/>
    <x v="98"/>
    <x v="2"/>
    <s v="09-902-6272"/>
    <s v="Shufflebeat"/>
    <n v="75"/>
    <n v="18"/>
    <n v="65"/>
    <s v="$2.00 "/>
    <n v="2"/>
    <s v="2/17/2025"/>
    <d v="2025-02-17T00:00:00"/>
    <s v="12/30/2024"/>
    <d v="2024-12-30T00:00:00"/>
    <s v="3/15/2024"/>
    <d v="2024-03-15T00:00:00"/>
    <s v="1 Logan Road"/>
    <n v="32"/>
    <n v="92"/>
    <s v="Active"/>
    <n v="64"/>
    <n v="150"/>
    <x v="1"/>
    <x v="14"/>
    <n v="-339"/>
    <s v="Invalid Data"/>
  </r>
  <r>
    <s v="21-890-2826"/>
    <x v="81"/>
    <x v="4"/>
    <s v="32-371-1686"/>
    <s v="Avaveo"/>
    <n v="48"/>
    <n v="12"/>
    <n v="62"/>
    <s v="$7.00 "/>
    <n v="7"/>
    <s v="6/15/2024"/>
    <d v="2024-06-15T00:00:00"/>
    <d v="2024-04-05T00:00:00"/>
    <d v="2024-04-05T00:00:00"/>
    <s v="9/19/2024"/>
    <d v="2024-09-19T00:00:00"/>
    <s v="84 Hoffman Way"/>
    <n v="59"/>
    <n v="23"/>
    <s v="Active"/>
    <n v="413"/>
    <n v="336"/>
    <x v="1"/>
    <x v="12"/>
    <n v="96"/>
    <s v="Medium Risk"/>
  </r>
  <r>
    <s v="05-425-0746"/>
    <x v="31"/>
    <x v="2"/>
    <s v="23-450-0301"/>
    <s v="Gabspot"/>
    <n v="50"/>
    <n v="68"/>
    <n v="90"/>
    <s v="$2.00 "/>
    <n v="2"/>
    <d v="2024-12-12T00:00:00"/>
    <d v="2024-12-12T00:00:00"/>
    <d v="2024-09-05T00:00:00"/>
    <d v="2024-09-05T00:00:00"/>
    <d v="2024-05-06T00:00:00"/>
    <d v="2024-05-06T00:00:00"/>
    <s v="49884 Brickson Park Plaza"/>
    <n v="40"/>
    <n v="13"/>
    <s v="Discontinued"/>
    <n v="80"/>
    <n v="100"/>
    <x v="0"/>
    <x v="6"/>
    <n v="-220"/>
    <s v="Invalid Data"/>
  </r>
  <r>
    <s v="88-807-8431"/>
    <x v="30"/>
    <x v="6"/>
    <s v="66-563-9462"/>
    <s v="Eire"/>
    <n v="11"/>
    <n v="87"/>
    <n v="43"/>
    <s v="$9.00 "/>
    <n v="9"/>
    <d v="2025-02-01T00:00:00"/>
    <d v="2025-02-01T00:00:00"/>
    <d v="2024-06-06T00:00:00"/>
    <d v="2024-06-06T00:00:00"/>
    <d v="2025-09-02T00:00:00"/>
    <d v="2025-09-02T00:00:00"/>
    <s v="2 Russell Alley"/>
    <n v="86"/>
    <n v="91"/>
    <s v="Active"/>
    <n v="774"/>
    <n v="99"/>
    <x v="0"/>
    <x v="14"/>
    <n v="213"/>
    <s v="Low Risk"/>
  </r>
  <r>
    <s v="77-377-1659"/>
    <x v="69"/>
    <x v="0"/>
    <s v="64-674-3902"/>
    <s v="Thoughtblab"/>
    <n v="74"/>
    <n v="22"/>
    <n v="91"/>
    <s v="$9.50 "/>
    <n v="9.5"/>
    <s v="8/25/2024"/>
    <d v="2024-08-25T00:00:00"/>
    <s v="1/22/2025"/>
    <d v="2025-01-22T00:00:00"/>
    <s v="6/19/2024"/>
    <d v="2024-06-19T00:00:00"/>
    <s v="6 Acker Street"/>
    <n v="24"/>
    <n v="12"/>
    <s v="Active"/>
    <n v="228"/>
    <n v="703"/>
    <x v="1"/>
    <x v="0"/>
    <n v="-67"/>
    <s v="Invalid Data"/>
  </r>
  <r>
    <s v="92-362-3567"/>
    <x v="112"/>
    <x v="2"/>
    <s v="40-056-7748"/>
    <s v="Fivebridge"/>
    <n v="11"/>
    <n v="10"/>
    <n v="60"/>
    <s v="$2.50 "/>
    <n v="2.5"/>
    <d v="2024-10-10T00:00:00"/>
    <d v="2024-10-10T00:00:00"/>
    <d v="2024-06-05T00:00:00"/>
    <d v="2024-06-05T00:00:00"/>
    <s v="12/25/2024"/>
    <d v="2024-12-25T00:00:00"/>
    <s v="826 Melvin Pass"/>
    <n v="93"/>
    <n v="53"/>
    <s v="Discontinued"/>
    <n v="232.5"/>
    <n v="27.5"/>
    <x v="1"/>
    <x v="7"/>
    <n v="76"/>
    <s v="High Risk"/>
  </r>
  <r>
    <s v="99-961-0767"/>
    <x v="52"/>
    <x v="4"/>
    <s v="78-954-5649"/>
    <s v="Tambee"/>
    <n v="85"/>
    <n v="15"/>
    <n v="30"/>
    <s v="$4.00 "/>
    <n v="4"/>
    <s v="4/16/2024"/>
    <d v="2024-04-16T00:00:00"/>
    <s v="10/25/2024"/>
    <d v="2024-10-25T00:00:00"/>
    <d v="2024-06-12T00:00:00"/>
    <d v="2024-06-12T00:00:00"/>
    <s v="40113 Blaine Place"/>
    <n v="95"/>
    <n v="63"/>
    <s v="Active"/>
    <n v="380"/>
    <n v="340"/>
    <x v="1"/>
    <x v="4"/>
    <n v="57"/>
    <s v="High Risk"/>
  </r>
  <r>
    <s v="94-092-3355"/>
    <x v="78"/>
    <x v="2"/>
    <s v="76-641-2070"/>
    <s v="Flashspan"/>
    <n v="57"/>
    <n v="43"/>
    <n v="46"/>
    <s v="$2.50 "/>
    <n v="2.5"/>
    <s v="6/13/2024"/>
    <d v="2024-06-13T00:00:00"/>
    <d v="2024-01-12T00:00:00"/>
    <d v="2024-01-12T00:00:00"/>
    <d v="2024-04-08T00:00:00"/>
    <d v="2024-04-08T00:00:00"/>
    <s v="929 Thierer Lane"/>
    <n v="87"/>
    <n v="88"/>
    <s v="Discontinued"/>
    <n v="217.5"/>
    <n v="142.5"/>
    <x v="1"/>
    <x v="12"/>
    <n v="-66"/>
    <s v="Invalid Data"/>
  </r>
  <r>
    <s v="29-344-3658"/>
    <x v="98"/>
    <x v="2"/>
    <s v="33-546-5056"/>
    <s v="Yata"/>
    <n v="75"/>
    <n v="56"/>
    <n v="57"/>
    <s v="$1.90 "/>
    <n v="1.9"/>
    <s v="10/27/2024"/>
    <d v="2024-10-27T00:00:00"/>
    <s v="10/25/2024"/>
    <d v="2024-10-25T00:00:00"/>
    <s v="9/19/2024"/>
    <d v="2024-09-19T00:00:00"/>
    <s v="7 Talmadge Street"/>
    <n v="63"/>
    <n v="64"/>
    <s v="Discontinued"/>
    <n v="119.69999999999999"/>
    <n v="142.5"/>
    <x v="1"/>
    <x v="7"/>
    <n v="-38"/>
    <s v="Invalid Data"/>
  </r>
  <r>
    <s v="60-327-4114"/>
    <x v="89"/>
    <x v="4"/>
    <s v="59-968-8346"/>
    <s v="Katz"/>
    <n v="63"/>
    <n v="7"/>
    <n v="23"/>
    <s v="$2.35 "/>
    <n v="2.35"/>
    <d v="2024-07-09T00:00:00"/>
    <d v="2024-07-09T00:00:00"/>
    <s v="11/22/2024"/>
    <d v="2024-11-22T00:00:00"/>
    <s v="10/17/2024"/>
    <d v="2024-10-17T00:00:00"/>
    <s v="3 Bellgrove Way"/>
    <n v="78"/>
    <n v="100"/>
    <s v="Active"/>
    <n v="183.3"/>
    <n v="148.05000000000001"/>
    <x v="1"/>
    <x v="10"/>
    <n v="100"/>
    <s v="Medium Risk"/>
  </r>
  <r>
    <s v="13-409-9040"/>
    <x v="48"/>
    <x v="1"/>
    <s v="34-303-5097"/>
    <s v="Jazzy"/>
    <n v="35"/>
    <n v="20"/>
    <n v="42"/>
    <s v="$25.25 "/>
    <n v="25.25"/>
    <s v="6/30/2024"/>
    <d v="2024-06-30T00:00:00"/>
    <d v="2024-05-08T00:00:00"/>
    <d v="2024-05-08T00:00:00"/>
    <d v="2025-08-01T00:00:00"/>
    <d v="2025-08-01T00:00:00"/>
    <s v="9623 Cottonwood Park"/>
    <n v="53"/>
    <n v="56"/>
    <s v="Discontinued"/>
    <n v="1338.25"/>
    <n v="883.75"/>
    <x v="1"/>
    <x v="12"/>
    <n v="397"/>
    <s v="Safe"/>
  </r>
  <r>
    <s v="75-927-9108"/>
    <x v="19"/>
    <x v="2"/>
    <s v="27-406-7972"/>
    <s v="Topdrive"/>
    <n v="24"/>
    <n v="32"/>
    <n v="17"/>
    <s v="$1.00 "/>
    <n v="1"/>
    <s v="9/29/2024"/>
    <d v="2024-09-29T00:00:00"/>
    <s v="6/17/2024"/>
    <d v="2024-06-17T00:00:00"/>
    <d v="2024-02-07T00:00:00"/>
    <d v="2024-02-07T00:00:00"/>
    <s v="43 Washington Street"/>
    <n v="55"/>
    <n v="72"/>
    <s v="Discontinued"/>
    <n v="55"/>
    <n v="24"/>
    <x v="0"/>
    <x v="11"/>
    <n v="-235"/>
    <s v="Invalid Data"/>
  </r>
  <r>
    <s v="30-806-3823"/>
    <x v="65"/>
    <x v="0"/>
    <s v="36-451-3173"/>
    <s v="Topicware"/>
    <n v="53"/>
    <n v="26"/>
    <n v="3"/>
    <s v="$4.75 "/>
    <n v="4.75"/>
    <d v="2024-02-03T00:00:00"/>
    <d v="2024-02-03T00:00:00"/>
    <d v="2024-04-07T00:00:00"/>
    <d v="2024-04-07T00:00:00"/>
    <d v="2024-06-03T00:00:00"/>
    <d v="2024-06-03T00:00:00"/>
    <s v="07 Pankratz Point"/>
    <n v="100"/>
    <n v="94"/>
    <s v="Active"/>
    <n v="475"/>
    <n v="251.75"/>
    <x v="1"/>
    <x v="9"/>
    <n v="121"/>
    <s v="Medium Risk"/>
  </r>
  <r>
    <s v="65-780-5622"/>
    <x v="56"/>
    <x v="5"/>
    <s v="69-460-9770"/>
    <s v="InnoZ"/>
    <n v="74"/>
    <n v="81"/>
    <n v="41"/>
    <s v="$6.00 "/>
    <n v="6"/>
    <d v="2025-05-02T00:00:00"/>
    <d v="2025-05-02T00:00:00"/>
    <d v="2024-02-05T00:00:00"/>
    <d v="2024-02-05T00:00:00"/>
    <s v="5/27/2024"/>
    <d v="2024-05-27T00:00:00"/>
    <s v="65 Forster Way"/>
    <n v="51"/>
    <n v="67"/>
    <s v="Active"/>
    <n v="306"/>
    <n v="444"/>
    <x v="0"/>
    <x v="21"/>
    <n v="-340"/>
    <s v="Invalid Data"/>
  </r>
  <r>
    <s v="94-598-3383"/>
    <x v="104"/>
    <x v="0"/>
    <s v="39-488-0039"/>
    <s v="Viva"/>
    <n v="79"/>
    <n v="38"/>
    <n v="67"/>
    <s v="$2.50 "/>
    <n v="2.5"/>
    <d v="2024-05-07T00:00:00"/>
    <d v="2024-05-07T00:00:00"/>
    <d v="2024-08-10T00:00:00"/>
    <d v="2024-08-10T00:00:00"/>
    <d v="2024-01-09T00:00:00"/>
    <d v="2024-01-09T00:00:00"/>
    <s v="7403 Fuller Hill"/>
    <n v="43"/>
    <n v="93"/>
    <s v="Discontinued"/>
    <n v="107.5"/>
    <n v="197.5"/>
    <x v="1"/>
    <x v="8"/>
    <n v="-119"/>
    <s v="Invalid Data"/>
  </r>
  <r>
    <s v="45-250-4679"/>
    <x v="14"/>
    <x v="0"/>
    <s v="80-328-4990"/>
    <s v="Dazzlesphere"/>
    <n v="54"/>
    <n v="78"/>
    <n v="81"/>
    <s v="$1.50 "/>
    <n v="1.5"/>
    <d v="2024-02-05T00:00:00"/>
    <d v="2024-02-05T00:00:00"/>
    <s v="11/23/2024"/>
    <d v="2024-11-23T00:00:00"/>
    <d v="2024-05-07T00:00:00"/>
    <d v="2024-05-07T00:00:00"/>
    <s v="49148 Meadow Ridge Way"/>
    <n v="41"/>
    <n v="63"/>
    <s v="Backordered"/>
    <n v="61.5"/>
    <n v="81"/>
    <x v="0"/>
    <x v="9"/>
    <n v="92"/>
    <s v="Medium Risk"/>
  </r>
  <r>
    <s v="45-317-9731"/>
    <x v="63"/>
    <x v="3"/>
    <s v="05-779-0378"/>
    <s v="Wordware"/>
    <n v="44"/>
    <n v="83"/>
    <n v="78"/>
    <s v="$1.80 "/>
    <n v="1.8"/>
    <d v="2024-08-07T00:00:00"/>
    <d v="2024-08-07T00:00:00"/>
    <d v="2025-07-01T00:00:00"/>
    <d v="2025-07-01T00:00:00"/>
    <s v="8/20/2024"/>
    <d v="2024-08-20T00:00:00"/>
    <s v="70156 7th Junction"/>
    <n v="46"/>
    <n v="4"/>
    <s v="Discontinued"/>
    <n v="82.8"/>
    <n v="79.2"/>
    <x v="0"/>
    <x v="0"/>
    <n v="13"/>
    <s v="Critical"/>
  </r>
  <r>
    <s v="41-131-3841"/>
    <x v="69"/>
    <x v="0"/>
    <s v="55-269-1746"/>
    <s v="Camido"/>
    <n v="77"/>
    <n v="19"/>
    <n v="31"/>
    <s v="$9.50 "/>
    <n v="9.5"/>
    <s v="10/29/2024"/>
    <d v="2024-10-29T00:00:00"/>
    <s v="1/23/2025"/>
    <d v="2025-01-23T00:00:00"/>
    <s v="3/20/2024"/>
    <d v="2024-03-20T00:00:00"/>
    <s v="16 Fair Oaks Pass"/>
    <n v="27"/>
    <n v="25"/>
    <s v="Backordered"/>
    <n v="256.5"/>
    <n v="731.5"/>
    <x v="1"/>
    <x v="7"/>
    <n v="-223"/>
    <s v="Invalid Data"/>
  </r>
  <r>
    <s v="15-905-7750"/>
    <x v="106"/>
    <x v="2"/>
    <s v="48-176-1622"/>
    <s v="Skinix"/>
    <n v="42"/>
    <n v="61"/>
    <n v="52"/>
    <s v="$5.00 "/>
    <n v="5"/>
    <d v="2024-02-12T00:00:00"/>
    <d v="2024-02-12T00:00:00"/>
    <s v="1/31/2025"/>
    <d v="2025-01-31T00:00:00"/>
    <s v="9/29/2024"/>
    <d v="2024-09-29T00:00:00"/>
    <s v="36687 Maple Avenue"/>
    <n v="86"/>
    <n v="99"/>
    <s v="Backordered"/>
    <n v="430"/>
    <n v="210"/>
    <x v="0"/>
    <x v="9"/>
    <n v="230"/>
    <s v="Low Risk"/>
  </r>
  <r>
    <s v="68-973-8812"/>
    <x v="116"/>
    <x v="2"/>
    <s v="31-955-7362"/>
    <s v="Yodo"/>
    <n v="44"/>
    <n v="77"/>
    <n v="45"/>
    <s v="$2.00 "/>
    <n v="2"/>
    <s v="7/27/2024"/>
    <d v="2024-07-27T00:00:00"/>
    <s v="6/22/2024"/>
    <d v="2024-06-22T00:00:00"/>
    <s v="5/24/2024"/>
    <d v="2024-05-24T00:00:00"/>
    <s v="55 Cherokee Circle"/>
    <n v="89"/>
    <n v="64"/>
    <s v="Discontinued"/>
    <n v="178"/>
    <n v="88"/>
    <x v="0"/>
    <x v="10"/>
    <n v="-64"/>
    <s v="Invalid Data"/>
  </r>
  <r>
    <s v="49-570-8214"/>
    <x v="84"/>
    <x v="4"/>
    <s v="17-345-5800"/>
    <s v="Realblab"/>
    <n v="81"/>
    <n v="76"/>
    <n v="10"/>
    <s v="$4.00 "/>
    <n v="4"/>
    <s v="5/13/2024"/>
    <d v="2024-05-13T00:00:00"/>
    <s v="5/27/2024"/>
    <d v="2024-05-27T00:00:00"/>
    <s v="12/18/2024"/>
    <d v="2024-12-18T00:00:00"/>
    <s v="1823 Elgar Park"/>
    <n v="68"/>
    <n v="100"/>
    <s v="Backordered"/>
    <n v="272"/>
    <n v="324"/>
    <x v="1"/>
    <x v="8"/>
    <n v="219"/>
    <s v="Low Risk"/>
  </r>
  <r>
    <s v="57-779-4955"/>
    <x v="2"/>
    <x v="0"/>
    <s v="84-869-9980"/>
    <s v="Zazio"/>
    <n v="92"/>
    <n v="48"/>
    <n v="22"/>
    <s v="$6.25 "/>
    <n v="6.25"/>
    <s v="11/29/2024"/>
    <d v="2024-11-29T00:00:00"/>
    <d v="2024-01-12T00:00:00"/>
    <d v="2024-01-12T00:00:00"/>
    <s v="1/20/2025"/>
    <d v="2025-01-20T00:00:00"/>
    <s v="38436 Anthes Way"/>
    <n v="38"/>
    <n v="61"/>
    <s v="Backordered"/>
    <n v="237.5"/>
    <n v="575"/>
    <x v="1"/>
    <x v="5"/>
    <n v="52"/>
    <s v="High Risk"/>
  </r>
  <r>
    <s v="85-781-5386"/>
    <x v="115"/>
    <x v="6"/>
    <s v="89-439-6947"/>
    <s v="Avavee"/>
    <n v="78"/>
    <n v="68"/>
    <n v="86"/>
    <s v="$15.00 "/>
    <n v="15"/>
    <s v="3/25/2024"/>
    <d v="2024-03-25T00:00:00"/>
    <s v="3/20/2024"/>
    <d v="2024-03-20T00:00:00"/>
    <s v="12/28/2024"/>
    <d v="2024-12-28T00:00:00"/>
    <s v="10577 Thierer Plaza"/>
    <n v="47"/>
    <n v="95"/>
    <s v="Discontinued"/>
    <n v="705"/>
    <n v="1170"/>
    <x v="1"/>
    <x v="2"/>
    <n v="278"/>
    <s v="Low Risk"/>
  </r>
  <r>
    <s v="72-341-1154"/>
    <x v="52"/>
    <x v="4"/>
    <s v="84-090-6472"/>
    <s v="Yodo"/>
    <n v="85"/>
    <n v="66"/>
    <n v="85"/>
    <s v="$4.20 "/>
    <n v="4.2"/>
    <d v="2025-06-01T00:00:00"/>
    <d v="2025-06-01T00:00:00"/>
    <s v="10/31/2024"/>
    <d v="2024-10-31T00:00:00"/>
    <d v="2024-09-09T00:00:00"/>
    <d v="2024-09-09T00:00:00"/>
    <s v="8682 Golf Course Junction"/>
    <n v="65"/>
    <n v="58"/>
    <s v="Discontinued"/>
    <n v="273"/>
    <n v="357"/>
    <x v="1"/>
    <x v="15"/>
    <n v="-265"/>
    <s v="Invalid Data"/>
  </r>
  <r>
    <s v="28-986-8001"/>
    <x v="75"/>
    <x v="2"/>
    <s v="37-281-2537"/>
    <s v="Kwideo"/>
    <n v="65"/>
    <n v="69"/>
    <n v="4"/>
    <s v="$6.00 "/>
    <n v="6"/>
    <s v="8/14/2024"/>
    <d v="2024-08-14T00:00:00"/>
    <s v="6/15/2024"/>
    <d v="2024-06-15T00:00:00"/>
    <s v="10/13/2024"/>
    <d v="2024-10-13T00:00:00"/>
    <s v="4 Old Shore Avenue"/>
    <n v="80"/>
    <n v="26"/>
    <s v="Active"/>
    <n v="480"/>
    <n v="390"/>
    <x v="0"/>
    <x v="0"/>
    <n v="60"/>
    <s v="High Risk"/>
  </r>
  <r>
    <s v="82-811-7988"/>
    <x v="28"/>
    <x v="3"/>
    <s v="41-772-9238"/>
    <s v="Realmix"/>
    <n v="36"/>
    <n v="3"/>
    <n v="54"/>
    <s v="$6.00 "/>
    <n v="6"/>
    <d v="2024-03-03T00:00:00"/>
    <d v="2024-03-03T00:00:00"/>
    <s v="6/13/2024"/>
    <d v="2024-06-13T00:00:00"/>
    <s v="12/13/2024"/>
    <d v="2024-12-13T00:00:00"/>
    <s v="65 Chinook Circle"/>
    <n v="74"/>
    <n v="8"/>
    <s v="Discontinued"/>
    <n v="444"/>
    <n v="216"/>
    <x v="1"/>
    <x v="2"/>
    <n v="285"/>
    <s v="Low Risk"/>
  </r>
  <r>
    <s v="27-495-1912"/>
    <x v="55"/>
    <x v="2"/>
    <s v="34-667-8907"/>
    <s v="Thoughtbridge"/>
    <n v="26"/>
    <n v="63"/>
    <n v="88"/>
    <s v="$1.20 "/>
    <n v="1.2"/>
    <d v="2024-09-05T00:00:00"/>
    <d v="2024-09-05T00:00:00"/>
    <s v="2/29/2024"/>
    <d v="2024-02-29T00:00:00"/>
    <s v="5/24/2024"/>
    <d v="2024-05-24T00:00:00"/>
    <s v="12710 Gulseth Circle"/>
    <n v="84"/>
    <n v="70"/>
    <s v="Active"/>
    <n v="100.8"/>
    <n v="31.2"/>
    <x v="0"/>
    <x v="11"/>
    <n v="-104"/>
    <s v="Invalid Data"/>
  </r>
  <r>
    <s v="44-480-9446"/>
    <x v="97"/>
    <x v="3"/>
    <s v="35-000-6015"/>
    <s v="Aibox"/>
    <n v="39"/>
    <n v="13"/>
    <n v="13"/>
    <s v="$2.50 "/>
    <n v="2.5"/>
    <s v="9/13/2024"/>
    <d v="2024-09-13T00:00:00"/>
    <s v="2/19/2025"/>
    <d v="2025-02-19T00:00:00"/>
    <s v="3/14/2024"/>
    <d v="2024-03-14T00:00:00"/>
    <s v="43591 East Road"/>
    <n v="84"/>
    <n v="93"/>
    <s v="Active"/>
    <n v="210"/>
    <n v="97.5"/>
    <x v="1"/>
    <x v="11"/>
    <n v="-183"/>
    <s v="Invalid Data"/>
  </r>
  <r>
    <s v="77-937-1108"/>
    <x v="10"/>
    <x v="0"/>
    <s v="41-007-0132"/>
    <s v="Twimm"/>
    <n v="39"/>
    <n v="83"/>
    <n v="21"/>
    <s v="$2.00 "/>
    <n v="2"/>
    <s v="12/31/2024"/>
    <d v="2024-12-31T00:00:00"/>
    <s v="4/23/2024"/>
    <d v="2024-04-23T00:00:00"/>
    <d v="2024-12-04T00:00:00"/>
    <d v="2024-12-04T00:00:00"/>
    <s v="01 Hansons Crossing"/>
    <n v="73"/>
    <n v="88"/>
    <s v="Active"/>
    <n v="146"/>
    <n v="78"/>
    <x v="0"/>
    <x v="6"/>
    <n v="-27"/>
    <s v="Invalid Data"/>
  </r>
  <r>
    <s v="82-538-4809"/>
    <x v="19"/>
    <x v="2"/>
    <s v="74-357-2990"/>
    <s v="Twitternation"/>
    <n v="83"/>
    <n v="61"/>
    <n v="4"/>
    <s v="$1.00 "/>
    <n v="1"/>
    <s v="9/16/2024"/>
    <d v="2024-09-16T00:00:00"/>
    <d v="2024-05-11T00:00:00"/>
    <d v="2024-05-11T00:00:00"/>
    <s v="10/24/2024"/>
    <d v="2024-10-24T00:00:00"/>
    <s v="700 Northland Crossing"/>
    <n v="35"/>
    <n v="7"/>
    <s v="Backordered"/>
    <n v="35"/>
    <n v="83"/>
    <x v="1"/>
    <x v="11"/>
    <n v="38"/>
    <s v="High Risk"/>
  </r>
  <r>
    <s v="69-895-3397"/>
    <x v="26"/>
    <x v="2"/>
    <s v="02-575-2074"/>
    <s v="Yabox"/>
    <n v="28"/>
    <n v="5"/>
    <n v="9"/>
    <s v="$1.80 "/>
    <n v="1.8"/>
    <s v="1/16/2025"/>
    <d v="2025-01-16T00:00:00"/>
    <s v="1/16/2025"/>
    <d v="2025-01-16T00:00:00"/>
    <d v="2024-04-03T00:00:00"/>
    <d v="2024-04-03T00:00:00"/>
    <s v="98 Melody Street"/>
    <n v="33"/>
    <n v="9"/>
    <s v="Discontinued"/>
    <n v="59.4"/>
    <n v="50.4"/>
    <x v="1"/>
    <x v="13"/>
    <n v="-288"/>
    <s v="Invalid Data"/>
  </r>
  <r>
    <s v="44-112-3331"/>
    <x v="82"/>
    <x v="6"/>
    <s v="90-453-4096"/>
    <s v="Realmix"/>
    <n v="85"/>
    <n v="17"/>
    <n v="96"/>
    <s v="$18.00 "/>
    <n v="18"/>
    <d v="2024-05-11T00:00:00"/>
    <d v="2024-05-11T00:00:00"/>
    <d v="2024-02-07T00:00:00"/>
    <d v="2024-02-07T00:00:00"/>
    <d v="2024-08-04T00:00:00"/>
    <d v="2024-08-04T00:00:00"/>
    <s v="63787 Arkansas Street"/>
    <n v="92"/>
    <n v="34"/>
    <s v="Discontinued"/>
    <n v="1656"/>
    <n v="1530"/>
    <x v="1"/>
    <x v="8"/>
    <n v="85"/>
    <s v="High Risk"/>
  </r>
  <r>
    <s v="93-682-2069"/>
    <x v="98"/>
    <x v="2"/>
    <s v="60-038-7810"/>
    <s v="Roomm"/>
    <n v="76"/>
    <n v="39"/>
    <n v="15"/>
    <s v="$2.00 "/>
    <n v="2"/>
    <d v="2024-06-12T00:00:00"/>
    <d v="2024-06-12T00:00:00"/>
    <s v="6/23/2024"/>
    <d v="2024-06-23T00:00:00"/>
    <s v="8/16/2024"/>
    <d v="2024-08-16T00:00:00"/>
    <s v="2718 Londonderry Plaza"/>
    <n v="77"/>
    <n v="70"/>
    <s v="Backordered"/>
    <n v="154"/>
    <n v="152"/>
    <x v="1"/>
    <x v="12"/>
    <n v="65"/>
    <s v="High Risk"/>
  </r>
  <r>
    <s v="49-199-6836"/>
    <x v="112"/>
    <x v="2"/>
    <s v="81-999-7392"/>
    <s v="Thoughtbeat"/>
    <n v="100"/>
    <n v="64"/>
    <n v="62"/>
    <s v="$2.50 "/>
    <n v="2.5"/>
    <s v="12/15/2024"/>
    <d v="2024-12-15T00:00:00"/>
    <s v="12/30/2024"/>
    <d v="2024-12-30T00:00:00"/>
    <s v="8/24/2024"/>
    <d v="2024-08-24T00:00:00"/>
    <s v="77 Brown Circle"/>
    <n v="84"/>
    <n v="44"/>
    <s v="Discontinued"/>
    <n v="210"/>
    <n v="250"/>
    <x v="1"/>
    <x v="6"/>
    <n v="-113"/>
    <s v="Invalid Data"/>
  </r>
  <r>
    <s v="47-221-2470"/>
    <x v="75"/>
    <x v="2"/>
    <s v="30-780-7583"/>
    <s v="Teklist"/>
    <n v="17"/>
    <n v="45"/>
    <n v="44"/>
    <s v="$6.00 "/>
    <n v="6"/>
    <s v="7/25/2024"/>
    <d v="2024-07-25T00:00:00"/>
    <d v="2024-03-04T00:00:00"/>
    <d v="2024-03-04T00:00:00"/>
    <d v="2024-10-10T00:00:00"/>
    <d v="2024-10-10T00:00:00"/>
    <s v="60 Messerschmidt Pass"/>
    <n v="37"/>
    <n v="16"/>
    <s v="Active"/>
    <n v="222"/>
    <n v="102"/>
    <x v="0"/>
    <x v="10"/>
    <n v="77"/>
    <s v="High Risk"/>
  </r>
  <r>
    <s v="71-067-3278"/>
    <x v="95"/>
    <x v="6"/>
    <s v="76-797-9430"/>
    <s v="Twitterbridge"/>
    <n v="51"/>
    <n v="35"/>
    <n v="95"/>
    <s v="$10.00 "/>
    <n v="10"/>
    <s v="10/22/2024"/>
    <d v="2024-10-22T00:00:00"/>
    <d v="2024-08-05T00:00:00"/>
    <d v="2024-08-05T00:00:00"/>
    <s v="8/16/2024"/>
    <d v="2024-08-16T00:00:00"/>
    <s v="5521 Wayridge Center"/>
    <n v="80"/>
    <n v="89"/>
    <s v="Backordered"/>
    <n v="800"/>
    <n v="510"/>
    <x v="1"/>
    <x v="7"/>
    <n v="-67"/>
    <s v="Invalid Data"/>
  </r>
  <r>
    <s v="89-388-3239"/>
    <x v="103"/>
    <x v="2"/>
    <s v="28-521-7083"/>
    <s v="Centizu"/>
    <n v="54"/>
    <n v="88"/>
    <n v="43"/>
    <s v="$5.50 "/>
    <n v="5.5"/>
    <d v="2025-12-02T00:00:00"/>
    <d v="2025-12-02T00:00:00"/>
    <s v="5/24/2024"/>
    <d v="2024-05-24T00:00:00"/>
    <s v="4/19/2024"/>
    <d v="2024-04-19T00:00:00"/>
    <s v="4346 Columbus Way"/>
    <n v="81"/>
    <n v="77"/>
    <s v="Backordered"/>
    <n v="445.5"/>
    <n v="297"/>
    <x v="0"/>
    <x v="23"/>
    <n v="-592"/>
    <s v="Invalid Data"/>
  </r>
  <r>
    <s v="10-555-5971"/>
    <x v="40"/>
    <x v="5"/>
    <s v="30-410-3509"/>
    <s v="Gigashots"/>
    <n v="94"/>
    <n v="56"/>
    <n v="80"/>
    <s v="$4.00 "/>
    <n v="4"/>
    <d v="2025-04-01T00:00:00"/>
    <d v="2025-04-01T00:00:00"/>
    <d v="2024-02-12T00:00:00"/>
    <d v="2024-02-12T00:00:00"/>
    <s v="9/27/2024"/>
    <d v="2024-09-27T00:00:00"/>
    <s v="8425 New Castle Parkway"/>
    <n v="47"/>
    <n v="96"/>
    <s v="Backordered"/>
    <n v="188"/>
    <n v="376"/>
    <x v="1"/>
    <x v="16"/>
    <n v="-186"/>
    <s v="Invalid Data"/>
  </r>
  <r>
    <s v="82-931-7126"/>
    <x v="91"/>
    <x v="2"/>
    <s v="67-596-1997"/>
    <s v="Vitz"/>
    <n v="34"/>
    <n v="95"/>
    <n v="18"/>
    <s v="$5.00 "/>
    <n v="5"/>
    <s v="10/14/2024"/>
    <d v="2024-10-14T00:00:00"/>
    <s v="10/17/2024"/>
    <d v="2024-10-17T00:00:00"/>
    <d v="2024-12-05T00:00:00"/>
    <d v="2024-12-05T00:00:00"/>
    <s v="856 School Plaza"/>
    <n v="41"/>
    <n v="26"/>
    <s v="Discontinued"/>
    <n v="205"/>
    <n v="170"/>
    <x v="0"/>
    <x v="7"/>
    <n v="52"/>
    <s v="High Risk"/>
  </r>
  <r>
    <s v="24-228-6840"/>
    <x v="29"/>
    <x v="1"/>
    <s v="26-280-5472"/>
    <s v="Myworks"/>
    <n v="27"/>
    <n v="1"/>
    <n v="3"/>
    <s v="$30.00 "/>
    <n v="30"/>
    <s v="4/16/2024"/>
    <d v="2024-04-16T00:00:00"/>
    <d v="2024-09-08T00:00:00"/>
    <d v="2024-09-08T00:00:00"/>
    <s v="11/28/2024"/>
    <d v="2024-11-28T00:00:00"/>
    <s v="68241 Hanson Circle"/>
    <n v="34"/>
    <n v="63"/>
    <s v="Backordered"/>
    <n v="1020"/>
    <n v="810"/>
    <x v="1"/>
    <x v="4"/>
    <n v="226"/>
    <s v="Low Risk"/>
  </r>
  <r>
    <s v="52-392-5312"/>
    <x v="5"/>
    <x v="0"/>
    <s v="78-092-4768"/>
    <s v="Pixonyx"/>
    <n v="50"/>
    <n v="42"/>
    <n v="20"/>
    <s v="$1.75 "/>
    <n v="1.75"/>
    <d v="2024-06-11T00:00:00"/>
    <d v="2024-06-11T00:00:00"/>
    <s v="2/19/2025"/>
    <d v="2025-02-19T00:00:00"/>
    <s v="7/24/2024"/>
    <d v="2024-07-24T00:00:00"/>
    <s v="336 Old Shore Lane"/>
    <n v="87"/>
    <n v="59"/>
    <s v="Active"/>
    <n v="152.25"/>
    <n v="87.5"/>
    <x v="1"/>
    <x v="12"/>
    <n v="43"/>
    <s v="High Risk"/>
  </r>
  <r>
    <s v="36-531-4087"/>
    <x v="69"/>
    <x v="0"/>
    <s v="83-172-5527"/>
    <s v="Skaboo"/>
    <n v="85"/>
    <n v="12"/>
    <n v="94"/>
    <s v="$9.50 "/>
    <n v="9.5"/>
    <s v="3/24/2024"/>
    <d v="2024-03-24T00:00:00"/>
    <s v="10/25/2024"/>
    <d v="2024-10-25T00:00:00"/>
    <s v="3/14/2024"/>
    <d v="2024-03-14T00:00:00"/>
    <s v="2 Columbus Drive"/>
    <n v="26"/>
    <n v="32"/>
    <s v="Discontinued"/>
    <n v="247"/>
    <n v="807.5"/>
    <x v="1"/>
    <x v="2"/>
    <n v="-10"/>
    <s v="Invalid Data"/>
  </r>
  <r>
    <s v="39-810-2042"/>
    <x v="66"/>
    <x v="0"/>
    <s v="65-620-9866"/>
    <s v="Quatz"/>
    <n v="24"/>
    <n v="2"/>
    <n v="49"/>
    <s v="$2.00 "/>
    <n v="2"/>
    <d v="2024-02-06T00:00:00"/>
    <d v="2024-02-06T00:00:00"/>
    <s v="1/25/2025"/>
    <d v="2025-01-25T00:00:00"/>
    <d v="2024-05-09T00:00:00"/>
    <d v="2024-05-09T00:00:00"/>
    <s v="47817 Oneill Park"/>
    <n v="98"/>
    <n v="82"/>
    <s v="Active"/>
    <n v="196"/>
    <n v="48"/>
    <x v="1"/>
    <x v="9"/>
    <n v="93"/>
    <s v="Medium Risk"/>
  </r>
  <r>
    <s v="55-164-7723"/>
    <x v="105"/>
    <x v="6"/>
    <s v="85-454-9252"/>
    <s v="Gevee"/>
    <n v="82"/>
    <n v="31"/>
    <n v="86"/>
    <s v="$20.00 "/>
    <n v="20"/>
    <d v="2024-10-04T00:00:00"/>
    <d v="2024-10-04T00:00:00"/>
    <s v="5/17/2024"/>
    <d v="2024-05-17T00:00:00"/>
    <d v="2025-08-01T00:00:00"/>
    <d v="2025-08-01T00:00:00"/>
    <s v="6410 Northwestern Pass"/>
    <n v="66"/>
    <n v="74"/>
    <s v="Active"/>
    <n v="1320"/>
    <n v="1640"/>
    <x v="1"/>
    <x v="7"/>
    <n v="301"/>
    <s v="Low Risk"/>
  </r>
  <r>
    <s v="61-680-9496"/>
    <x v="110"/>
    <x v="2"/>
    <s v="75-448-1356"/>
    <s v="Wikido"/>
    <n v="17"/>
    <n v="14"/>
    <n v="17"/>
    <s v="$3.50 "/>
    <n v="3.5"/>
    <s v="3/24/2024"/>
    <d v="2024-03-24T00:00:00"/>
    <d v="2024-05-10T00:00:00"/>
    <d v="2024-05-10T00:00:00"/>
    <s v="4/14/2024"/>
    <d v="2024-04-14T00:00:00"/>
    <s v="2 Northridge Street"/>
    <n v="36"/>
    <n v="64"/>
    <s v="Discontinued"/>
    <n v="126"/>
    <n v="59.5"/>
    <x v="1"/>
    <x v="2"/>
    <n v="21"/>
    <s v="Critical"/>
  </r>
  <r>
    <s v="24-143-4957"/>
    <x v="79"/>
    <x v="3"/>
    <s v="29-968-4976"/>
    <s v="Katz"/>
    <n v="25"/>
    <n v="97"/>
    <n v="63"/>
    <s v="$2.30 "/>
    <n v="2.2999999999999998"/>
    <s v="10/22/2024"/>
    <d v="2024-10-22T00:00:00"/>
    <s v="6/22/2024"/>
    <d v="2024-06-22T00:00:00"/>
    <s v="8/15/2024"/>
    <d v="2024-08-15T00:00:00"/>
    <s v="685 Independence Junction"/>
    <n v="72"/>
    <n v="23"/>
    <s v="Discontinued"/>
    <n v="165.6"/>
    <n v="57.499999999999993"/>
    <x v="0"/>
    <x v="7"/>
    <n v="-68"/>
    <s v="Invalid Data"/>
  </r>
  <r>
    <s v="26-456-1992"/>
    <x v="70"/>
    <x v="6"/>
    <s v="60-159-3514"/>
    <s v="Geba"/>
    <n v="56"/>
    <n v="59"/>
    <n v="87"/>
    <s v="$7.00 "/>
    <n v="7"/>
    <s v="1/26/2025"/>
    <d v="2025-01-26T00:00:00"/>
    <s v="12/23/2024"/>
    <d v="2024-12-23T00:00:00"/>
    <s v="7/29/2024"/>
    <d v="2024-07-29T00:00:00"/>
    <s v="1792 Crownhardt Street"/>
    <n v="65"/>
    <n v="45"/>
    <s v="Active"/>
    <n v="455"/>
    <n v="392"/>
    <x v="0"/>
    <x v="13"/>
    <n v="-181"/>
    <s v="Invalid Data"/>
  </r>
  <r>
    <s v="62-998-7250"/>
    <x v="107"/>
    <x v="4"/>
    <s v="72-002-3904"/>
    <s v="Photobug"/>
    <n v="72"/>
    <n v="3"/>
    <n v="10"/>
    <s v="$2.00 "/>
    <n v="2"/>
    <s v="1/18/2025"/>
    <d v="2025-01-18T00:00:00"/>
    <s v="7/31/2024"/>
    <d v="2024-07-31T00:00:00"/>
    <d v="2024-05-10T00:00:00"/>
    <d v="2024-05-10T00:00:00"/>
    <s v="9171 Redwing Street"/>
    <n v="52"/>
    <n v="14"/>
    <s v="Backordered"/>
    <n v="104"/>
    <n v="144"/>
    <x v="1"/>
    <x v="13"/>
    <n v="-253"/>
    <s v="Invalid Data"/>
  </r>
  <r>
    <s v="38-617-7226"/>
    <x v="23"/>
    <x v="2"/>
    <s v="91-215-9838"/>
    <s v="Bluezoom"/>
    <n v="65"/>
    <n v="42"/>
    <n v="62"/>
    <s v="$6.30 "/>
    <n v="6.3"/>
    <s v="10/24/2024"/>
    <d v="2024-10-24T00:00:00"/>
    <s v="6/19/2024"/>
    <d v="2024-06-19T00:00:00"/>
    <s v="7/13/2024"/>
    <d v="2024-07-13T00:00:00"/>
    <s v="33145 Butterfield Avenue"/>
    <n v="54"/>
    <n v="2"/>
    <s v="Active"/>
    <n v="340.2"/>
    <n v="409.5"/>
    <x v="1"/>
    <x v="7"/>
    <n v="-103"/>
    <s v="Invalid Data"/>
  </r>
  <r>
    <s v="00-366-9496"/>
    <x v="103"/>
    <x v="2"/>
    <s v="40-515-1141"/>
    <s v="Kimia"/>
    <n v="30"/>
    <n v="66"/>
    <n v="28"/>
    <s v="$5.50 "/>
    <n v="5.5"/>
    <d v="2024-09-08T00:00:00"/>
    <d v="2024-09-08T00:00:00"/>
    <d v="2025-08-02T00:00:00"/>
    <d v="2025-08-02T00:00:00"/>
    <s v="12/28/2024"/>
    <d v="2024-12-28T00:00:00"/>
    <s v="898 Rowland Trail"/>
    <n v="63"/>
    <n v="98"/>
    <s v="Active"/>
    <n v="346.5"/>
    <n v="165"/>
    <x v="0"/>
    <x v="11"/>
    <n v="111"/>
    <s v="Medium Risk"/>
  </r>
  <r>
    <s v="76-027-4850"/>
    <x v="31"/>
    <x v="2"/>
    <s v="75-256-5638"/>
    <s v="Tavu"/>
    <n v="39"/>
    <n v="37"/>
    <n v="48"/>
    <s v="$2.00 "/>
    <n v="2"/>
    <s v="11/27/2024"/>
    <d v="2024-11-27T00:00:00"/>
    <s v="8/26/2024"/>
    <d v="2024-08-26T00:00:00"/>
    <s v="6/24/2024"/>
    <d v="2024-06-24T00:00:00"/>
    <s v="425 Shasta Terrace"/>
    <n v="25"/>
    <n v="19"/>
    <s v="Active"/>
    <n v="50"/>
    <n v="78"/>
    <x v="1"/>
    <x v="5"/>
    <n v="-156"/>
    <s v="Invalid Data"/>
  </r>
  <r>
    <s v="27-269-5260"/>
    <x v="27"/>
    <x v="2"/>
    <s v="54-724-8610"/>
    <s v="Rhyloo"/>
    <n v="14"/>
    <n v="81"/>
    <n v="65"/>
    <s v="$3.50 "/>
    <n v="3.5"/>
    <s v="11/17/2024"/>
    <d v="2024-11-17T00:00:00"/>
    <s v="3/15/2024"/>
    <d v="2024-03-15T00:00:00"/>
    <s v="10/22/2024"/>
    <d v="2024-10-22T00:00:00"/>
    <s v="1661 Springview Terrace"/>
    <n v="74"/>
    <n v="84"/>
    <s v="Active"/>
    <n v="259"/>
    <n v="49"/>
    <x v="0"/>
    <x v="5"/>
    <n v="-26"/>
    <s v="Invalid Data"/>
  </r>
  <r>
    <s v="40-126-0515"/>
    <x v="45"/>
    <x v="2"/>
    <s v="78-379-0369"/>
    <s v="Gigashots"/>
    <n v="74"/>
    <n v="37"/>
    <n v="57"/>
    <s v="$1.50 "/>
    <n v="1.5"/>
    <s v="2/14/2025"/>
    <d v="2025-02-14T00:00:00"/>
    <d v="2024-04-03T00:00:00"/>
    <d v="2024-04-03T00:00:00"/>
    <s v="12/18/2024"/>
    <d v="2024-12-18T00:00:00"/>
    <s v="28351 Cascade Plaza"/>
    <n v="91"/>
    <n v="18"/>
    <s v="Active"/>
    <n v="136.5"/>
    <n v="111"/>
    <x v="1"/>
    <x v="14"/>
    <n v="-58"/>
    <s v="Invalid Data"/>
  </r>
  <r>
    <s v="31-387-5020"/>
    <x v="20"/>
    <x v="4"/>
    <s v="02-811-7933"/>
    <s v="Buzzbean"/>
    <n v="63"/>
    <n v="41"/>
    <n v="98"/>
    <s v="$11.90 "/>
    <n v="11.9"/>
    <s v="10/22/2024"/>
    <d v="2024-10-22T00:00:00"/>
    <s v="12/17/2024"/>
    <d v="2024-12-17T00:00:00"/>
    <s v="8/14/2024"/>
    <d v="2024-08-14T00:00:00"/>
    <s v="854 Kipling Point"/>
    <n v="37"/>
    <n v="7"/>
    <s v="Active"/>
    <n v="440.3"/>
    <n v="749.7"/>
    <x v="1"/>
    <x v="7"/>
    <n v="-69"/>
    <s v="Invalid Data"/>
  </r>
  <r>
    <s v="13-673-7016"/>
    <x v="76"/>
    <x v="2"/>
    <s v="78-726-6352"/>
    <s v="Youfeed"/>
    <n v="47"/>
    <n v="67"/>
    <n v="57"/>
    <s v="$4.00 "/>
    <n v="4"/>
    <d v="2024-04-12T00:00:00"/>
    <d v="2024-04-12T00:00:00"/>
    <s v="7/22/2024"/>
    <d v="2024-07-22T00:00:00"/>
    <s v="2/23/2025"/>
    <d v="2025-02-23T00:00:00"/>
    <s v="04 Hagan Crossing"/>
    <n v="36"/>
    <n v="48"/>
    <s v="Backordered"/>
    <n v="144"/>
    <n v="188"/>
    <x v="0"/>
    <x v="4"/>
    <n v="317"/>
    <s v="Low Risk"/>
  </r>
  <r>
    <s v="85-212-2729"/>
    <x v="89"/>
    <x v="4"/>
    <s v="58-226-6435"/>
    <s v="Browsecat"/>
    <n v="42"/>
    <n v="94"/>
    <n v="79"/>
    <s v="$2.50 "/>
    <n v="2.5"/>
    <s v="12/17/2024"/>
    <d v="2024-12-17T00:00:00"/>
    <s v="12/21/2024"/>
    <d v="2024-12-21T00:00:00"/>
    <s v="5/16/2024"/>
    <d v="2024-05-16T00:00:00"/>
    <s v="93 Longview Junction"/>
    <n v="61"/>
    <n v="92"/>
    <s v="Backordered"/>
    <n v="152.5"/>
    <n v="105"/>
    <x v="0"/>
    <x v="6"/>
    <n v="-215"/>
    <s v="Invalid Data"/>
  </r>
  <r>
    <s v="99-048-8310"/>
    <x v="112"/>
    <x v="2"/>
    <s v="70-453-8646"/>
    <s v="Demimbu"/>
    <n v="32"/>
    <n v="49"/>
    <n v="73"/>
    <s v="$2.50 "/>
    <n v="2.5"/>
    <d v="2024-06-07T00:00:00"/>
    <d v="2024-06-07T00:00:00"/>
    <s v="4/22/2024"/>
    <d v="2024-04-22T00:00:00"/>
    <s v="5/27/2024"/>
    <d v="2024-05-27T00:00:00"/>
    <s v="43 Lakewood Junction"/>
    <n v="80"/>
    <n v="36"/>
    <s v="Discontinued"/>
    <n v="200"/>
    <n v="80"/>
    <x v="0"/>
    <x v="12"/>
    <n v="-11"/>
    <s v="Invalid Data"/>
  </r>
  <r>
    <s v="19-112-1616"/>
    <x v="71"/>
    <x v="2"/>
    <s v="55-251-3001"/>
    <s v="Quamba"/>
    <n v="88"/>
    <n v="56"/>
    <n v="72"/>
    <s v="$2.00 "/>
    <n v="2"/>
    <d v="2025-12-01T00:00:00"/>
    <d v="2025-12-01T00:00:00"/>
    <d v="2024-12-04T00:00:00"/>
    <d v="2024-12-04T00:00:00"/>
    <s v="6/28/2024"/>
    <d v="2024-06-28T00:00:00"/>
    <s v="7698 Logan Drive"/>
    <n v="25"/>
    <n v="36"/>
    <s v="Active"/>
    <n v="50"/>
    <n v="176"/>
    <x v="1"/>
    <x v="23"/>
    <n v="-521"/>
    <s v="Invalid Data"/>
  </r>
  <r>
    <s v="98-546-7398"/>
    <x v="109"/>
    <x v="4"/>
    <s v="37-921-2953"/>
    <s v="Thoughtworks"/>
    <n v="80"/>
    <n v="69"/>
    <n v="71"/>
    <s v="$1.75 "/>
    <n v="1.75"/>
    <s v="8/27/2024"/>
    <d v="2024-08-27T00:00:00"/>
    <d v="2024-03-05T00:00:00"/>
    <d v="2024-03-05T00:00:00"/>
    <s v="4/17/2024"/>
    <d v="2024-04-17T00:00:00"/>
    <s v="15658 Talisman Lane"/>
    <n v="41"/>
    <n v="43"/>
    <s v="Backordered"/>
    <n v="71.75"/>
    <n v="140"/>
    <x v="1"/>
    <x v="0"/>
    <n v="-132"/>
    <s v="Invalid Data"/>
  </r>
  <r>
    <s v="63-874-9747"/>
    <x v="41"/>
    <x v="2"/>
    <s v="22-506-4911"/>
    <s v="Oloo"/>
    <n v="36"/>
    <n v="59"/>
    <n v="90"/>
    <s v="$3.00 "/>
    <n v="3"/>
    <d v="2024-08-07T00:00:00"/>
    <d v="2024-08-07T00:00:00"/>
    <d v="2024-09-12T00:00:00"/>
    <d v="2024-09-12T00:00:00"/>
    <d v="2024-11-11T00:00:00"/>
    <d v="2024-11-11T00:00:00"/>
    <s v="183 Buell Park"/>
    <n v="25"/>
    <n v="60"/>
    <s v="Discontinued"/>
    <n v="75"/>
    <n v="108"/>
    <x v="0"/>
    <x v="0"/>
    <n v="96"/>
    <s v="Medium Risk"/>
  </r>
  <r>
    <s v="58-946-5152"/>
    <x v="14"/>
    <x v="0"/>
    <s v="42-201-4328"/>
    <s v="Avaveo"/>
    <n v="11"/>
    <n v="77"/>
    <n v="7"/>
    <s v="$1.50 "/>
    <n v="1.5"/>
    <s v="10/26/2024"/>
    <d v="2024-10-26T00:00:00"/>
    <d v="2024-05-11T00:00:00"/>
    <d v="2024-05-11T00:00:00"/>
    <d v="2024-10-07T00:00:00"/>
    <d v="2024-10-07T00:00:00"/>
    <s v="06 Lake View Trail"/>
    <n v="77"/>
    <n v="46"/>
    <s v="Backordered"/>
    <n v="115.5"/>
    <n v="16.5"/>
    <x v="0"/>
    <x v="7"/>
    <n v="-19"/>
    <s v="Invalid Data"/>
  </r>
  <r>
    <s v="65-867-4029"/>
    <x v="76"/>
    <x v="2"/>
    <s v="70-591-9841"/>
    <s v="Livepath"/>
    <n v="40"/>
    <n v="83"/>
    <n v="50"/>
    <s v="$4.00 "/>
    <n v="4"/>
    <d v="2024-05-06T00:00:00"/>
    <d v="2024-05-06T00:00:00"/>
    <d v="2024-03-09T00:00:00"/>
    <d v="2024-03-09T00:00:00"/>
    <s v="6/16/2024"/>
    <d v="2024-06-16T00:00:00"/>
    <s v="36124 Carberry Junction"/>
    <n v="92"/>
    <n v="50"/>
    <s v="Active"/>
    <n v="368"/>
    <n v="160"/>
    <x v="0"/>
    <x v="8"/>
    <n v="41"/>
    <s v="High Risk"/>
  </r>
  <r>
    <s v="89-328-9019"/>
    <x v="14"/>
    <x v="0"/>
    <s v="63-057-0462"/>
    <s v="Jazzy"/>
    <n v="63"/>
    <n v="43"/>
    <n v="8"/>
    <s v="$1.50 "/>
    <n v="1.5"/>
    <s v="8/20/2024"/>
    <d v="2024-08-20T00:00:00"/>
    <s v="4/20/2024"/>
    <d v="2024-04-20T00:00:00"/>
    <d v="2024-08-12T00:00:00"/>
    <d v="2024-08-12T00:00:00"/>
    <s v="33774 Carberry Circle"/>
    <n v="55"/>
    <n v="72"/>
    <s v="Active"/>
    <n v="82.5"/>
    <n v="94.5"/>
    <x v="1"/>
    <x v="0"/>
    <n v="-8"/>
    <s v="Invalid Data"/>
  </r>
  <r>
    <s v="02-170-5225"/>
    <x v="21"/>
    <x v="0"/>
    <s v="90-940-9550"/>
    <s v="Eabox"/>
    <n v="90"/>
    <n v="75"/>
    <n v="43"/>
    <s v="$1.50 "/>
    <n v="1.5"/>
    <s v="5/28/2024"/>
    <d v="2024-05-28T00:00:00"/>
    <s v="9/18/2024"/>
    <d v="2024-09-18T00:00:00"/>
    <s v="2/23/2025"/>
    <d v="2025-02-23T00:00:00"/>
    <s v="36 Bobwhite Parkway"/>
    <n v="80"/>
    <n v="57"/>
    <s v="Discontinued"/>
    <n v="120"/>
    <n v="135"/>
    <x v="1"/>
    <x v="8"/>
    <n v="271"/>
    <s v="Low Risk"/>
  </r>
  <r>
    <s v="24-478-8277"/>
    <x v="38"/>
    <x v="5"/>
    <s v="64-070-7611"/>
    <s v="Bubblebox"/>
    <n v="47"/>
    <n v="26"/>
    <n v="40"/>
    <s v="$3.25 "/>
    <n v="3.25"/>
    <s v="12/13/2024"/>
    <d v="2024-12-13T00:00:00"/>
    <d v="2025-12-01T00:00:00"/>
    <d v="2025-12-01T00:00:00"/>
    <s v="11/26/2024"/>
    <d v="2024-11-26T00:00:00"/>
    <s v="55276 Golf Hill"/>
    <n v="30"/>
    <n v="72"/>
    <s v="Active"/>
    <n v="97.5"/>
    <n v="152.75"/>
    <x v="1"/>
    <x v="6"/>
    <n v="-17"/>
    <s v="Invalid Data"/>
  </r>
  <r>
    <s v="91-290-9062"/>
    <x v="99"/>
    <x v="5"/>
    <s v="95-609-1485"/>
    <s v="Zoonder"/>
    <n v="29"/>
    <n v="2"/>
    <n v="84"/>
    <s v="$4.00 "/>
    <n v="4"/>
    <s v="3/21/2024"/>
    <d v="2024-03-21T00:00:00"/>
    <s v="4/19/2024"/>
    <d v="2024-04-19T00:00:00"/>
    <s v="9/25/2024"/>
    <d v="2024-09-25T00:00:00"/>
    <s v="9821 Novick Hill"/>
    <n v="80"/>
    <n v="85"/>
    <s v="Backordered"/>
    <n v="320"/>
    <n v="116"/>
    <x v="1"/>
    <x v="2"/>
    <n v="188"/>
    <s v="Low Risk"/>
  </r>
  <r>
    <s v="44-546-5713"/>
    <x v="76"/>
    <x v="2"/>
    <s v="61-382-5182"/>
    <s v="Blogpad"/>
    <n v="94"/>
    <n v="69"/>
    <n v="68"/>
    <s v="$4.00 "/>
    <n v="4"/>
    <d v="2024-08-07T00:00:00"/>
    <d v="2024-08-07T00:00:00"/>
    <s v="1/16/2025"/>
    <d v="2025-01-16T00:00:00"/>
    <s v="2/13/2025"/>
    <d v="2025-02-13T00:00:00"/>
    <s v="832 Goodland Alley"/>
    <n v="24"/>
    <n v="20"/>
    <s v="Discontinued"/>
    <n v="96"/>
    <n v="376"/>
    <x v="1"/>
    <x v="0"/>
    <n v="190"/>
    <s v="Low Risk"/>
  </r>
  <r>
    <s v="20-031-0532"/>
    <x v="34"/>
    <x v="2"/>
    <s v="35-835-8848"/>
    <s v="Oyoloo"/>
    <n v="32"/>
    <n v="63"/>
    <n v="92"/>
    <s v="$4.90 "/>
    <n v="4.9000000000000004"/>
    <s v="11/17/2024"/>
    <d v="2024-11-17T00:00:00"/>
    <s v="7/25/2024"/>
    <d v="2024-07-25T00:00:00"/>
    <d v="2024-09-11T00:00:00"/>
    <d v="2024-09-11T00:00:00"/>
    <s v="8239 Laurel Way"/>
    <n v="84"/>
    <n v="34"/>
    <s v="Discontinued"/>
    <n v="411.6"/>
    <n v="156.80000000000001"/>
    <x v="0"/>
    <x v="5"/>
    <n v="-67"/>
    <s v="Invalid Data"/>
  </r>
  <r>
    <s v="48-242-8445"/>
    <x v="4"/>
    <x v="2"/>
    <s v="84-941-3034"/>
    <s v="Mybuzz"/>
    <n v="40"/>
    <n v="3"/>
    <n v="5"/>
    <s v="$4.00 "/>
    <n v="4"/>
    <d v="2024-04-03T00:00:00"/>
    <d v="2024-04-03T00:00:00"/>
    <s v="6/15/2024"/>
    <d v="2024-06-15T00:00:00"/>
    <s v="6/24/2024"/>
    <d v="2024-06-24T00:00:00"/>
    <s v="29 Vera Drive"/>
    <n v="45"/>
    <n v="69"/>
    <s v="Discontinued"/>
    <n v="180"/>
    <n v="160"/>
    <x v="1"/>
    <x v="4"/>
    <n v="82"/>
    <s v="High Risk"/>
  </r>
  <r>
    <s v="33-378-1365"/>
    <x v="7"/>
    <x v="4"/>
    <s v="31-483-9201"/>
    <s v="Tagchat"/>
    <n v="50"/>
    <n v="66"/>
    <n v="1"/>
    <s v="$2.50 "/>
    <n v="2.5"/>
    <s v="10/22/2024"/>
    <d v="2024-10-22T00:00:00"/>
    <d v="2024-07-12T00:00:00"/>
    <d v="2024-07-12T00:00:00"/>
    <d v="2025-04-02T00:00:00"/>
    <d v="2025-04-02T00:00:00"/>
    <s v="23560 Talmadge Center"/>
    <n v="76"/>
    <n v="73"/>
    <s v="Active"/>
    <n v="190"/>
    <n v="125"/>
    <x v="0"/>
    <x v="7"/>
    <n v="162"/>
    <s v="Medium Risk"/>
  </r>
  <r>
    <s v="57-763-5501"/>
    <x v="73"/>
    <x v="6"/>
    <s v="25-790-1641"/>
    <s v="Kwimbee"/>
    <n v="72"/>
    <n v="29"/>
    <n v="10"/>
    <s v="$8.00 "/>
    <n v="8"/>
    <d v="2024-06-03T00:00:00"/>
    <d v="2024-06-03T00:00:00"/>
    <d v="2024-07-04T00:00:00"/>
    <d v="2024-07-04T00:00:00"/>
    <s v="3/24/2024"/>
    <d v="2024-03-24T00:00:00"/>
    <s v="46 Colorado Place"/>
    <n v="54"/>
    <n v="38"/>
    <s v="Discontinued"/>
    <n v="432"/>
    <n v="576"/>
    <x v="1"/>
    <x v="12"/>
    <n v="-71"/>
    <s v="Invalid Data"/>
  </r>
  <r>
    <s v="71-015-9181"/>
    <x v="75"/>
    <x v="2"/>
    <s v="56-196-9896"/>
    <s v="Tagopia"/>
    <n v="22"/>
    <n v="35"/>
    <n v="55"/>
    <s v="$6.00 "/>
    <n v="6"/>
    <s v="8/30/2024"/>
    <d v="2024-08-30T00:00:00"/>
    <s v="8/27/2024"/>
    <d v="2024-08-27T00:00:00"/>
    <s v="10/26/2024"/>
    <d v="2024-10-26T00:00:00"/>
    <s v="62238 Mallory Place"/>
    <n v="41"/>
    <n v="27"/>
    <s v="Active"/>
    <n v="246"/>
    <n v="132"/>
    <x v="0"/>
    <x v="0"/>
    <n v="57"/>
    <s v="High Risk"/>
  </r>
  <r>
    <s v="14-115-8371"/>
    <x v="61"/>
    <x v="5"/>
    <s v="80-833-3051"/>
    <s v="Yakitri"/>
    <n v="23"/>
    <n v="76"/>
    <n v="70"/>
    <s v="$5.00 "/>
    <n v="5"/>
    <d v="2025-07-01T00:00:00"/>
    <d v="2025-07-01T00:00:00"/>
    <s v="9/19/2024"/>
    <d v="2024-09-19T00:00:00"/>
    <d v="2024-01-09T00:00:00"/>
    <d v="2024-01-09T00:00:00"/>
    <s v="40 Cody Pass"/>
    <n v="97"/>
    <n v="38"/>
    <s v="Backordered"/>
    <n v="485"/>
    <n v="115"/>
    <x v="0"/>
    <x v="19"/>
    <n v="-539"/>
    <s v="Invalid Data"/>
  </r>
  <r>
    <s v="83-568-3475"/>
    <x v="105"/>
    <x v="6"/>
    <s v="10-950-0546"/>
    <s v="Camimbo"/>
    <n v="35"/>
    <n v="72"/>
    <n v="70"/>
    <s v="$20.00 "/>
    <n v="20"/>
    <s v="4/17/2024"/>
    <d v="2024-04-17T00:00:00"/>
    <d v="2024-04-04T00:00:00"/>
    <d v="2024-04-04T00:00:00"/>
    <d v="2025-10-02T00:00:00"/>
    <d v="2025-10-02T00:00:00"/>
    <s v="29150 Farmco Crossing"/>
    <n v="74"/>
    <n v="15"/>
    <s v="Backordered"/>
    <n v="1480"/>
    <n v="700"/>
    <x v="0"/>
    <x v="4"/>
    <n v="533"/>
    <s v="Safe"/>
  </r>
  <r>
    <s v="79-884-8810"/>
    <x v="26"/>
    <x v="2"/>
    <s v="14-108-0409"/>
    <s v="Dabtype"/>
    <n v="12"/>
    <n v="93"/>
    <n v="29"/>
    <s v="$1.75 "/>
    <n v="1.75"/>
    <s v="2/20/2025"/>
    <d v="2025-02-20T00:00:00"/>
    <d v="2024-06-12T00:00:00"/>
    <d v="2024-06-12T00:00:00"/>
    <s v="8/15/2024"/>
    <d v="2024-08-15T00:00:00"/>
    <s v="546 Declaration Place"/>
    <n v="45"/>
    <n v="12"/>
    <s v="Backordered"/>
    <n v="78.75"/>
    <n v="21"/>
    <x v="0"/>
    <x v="14"/>
    <n v="-189"/>
    <s v="Invalid Data"/>
  </r>
  <r>
    <s v="50-772-2613"/>
    <x v="88"/>
    <x v="4"/>
    <s v="74-619-4608"/>
    <s v="Roomm"/>
    <n v="86"/>
    <n v="23"/>
    <n v="1"/>
    <s v="$9.00 "/>
    <n v="9"/>
    <s v="6/20/2024"/>
    <d v="2024-06-20T00:00:00"/>
    <s v="5/19/2024"/>
    <d v="2024-05-19T00:00:00"/>
    <s v="3/23/2024"/>
    <d v="2024-03-23T00:00:00"/>
    <s v="7 Lunder Hill"/>
    <n v="100"/>
    <n v="86"/>
    <s v="Backordered"/>
    <n v="900"/>
    <n v="774"/>
    <x v="1"/>
    <x v="12"/>
    <n v="-89"/>
    <s v="Invalid Data"/>
  </r>
  <r>
    <s v="19-377-5021"/>
    <x v="101"/>
    <x v="6"/>
    <s v="34-014-5873"/>
    <s v="Skynoodle"/>
    <n v="91"/>
    <n v="96"/>
    <n v="90"/>
    <s v="$7.50 "/>
    <n v="7.5"/>
    <s v="2/14/2025"/>
    <d v="2025-02-14T00:00:00"/>
    <d v="2024-11-08T00:00:00"/>
    <d v="2024-11-08T00:00:00"/>
    <s v="12/24/2024"/>
    <d v="2024-12-24T00:00:00"/>
    <s v="884 Sloan Drive"/>
    <n v="90"/>
    <n v="75"/>
    <s v="Backordered"/>
    <n v="675"/>
    <n v="682.5"/>
    <x v="0"/>
    <x v="14"/>
    <n v="-52"/>
    <s v="Invalid Data"/>
  </r>
  <r>
    <s v="39-913-2999"/>
    <x v="107"/>
    <x v="4"/>
    <s v="74-119-8973"/>
    <s v="Centimia"/>
    <n v="23"/>
    <n v="99"/>
    <n v="97"/>
    <s v="$2.00 "/>
    <n v="2"/>
    <d v="2024-09-06T00:00:00"/>
    <d v="2024-09-06T00:00:00"/>
    <d v="2024-06-04T00:00:00"/>
    <d v="2024-06-04T00:00:00"/>
    <d v="2024-10-04T00:00:00"/>
    <d v="2024-10-04T00:00:00"/>
    <s v="15 Oriole Park"/>
    <n v="68"/>
    <n v="76"/>
    <s v="Discontinued"/>
    <n v="136"/>
    <n v="46"/>
    <x v="0"/>
    <x v="11"/>
    <n v="28"/>
    <s v="Critical"/>
  </r>
  <r>
    <s v="46-911-1159"/>
    <x v="31"/>
    <x v="2"/>
    <s v="30-820-2883"/>
    <s v="Voolia"/>
    <n v="98"/>
    <n v="40"/>
    <n v="100"/>
    <s v="$2.00 "/>
    <n v="2"/>
    <d v="2025-03-02T00:00:00"/>
    <d v="2025-03-02T00:00:00"/>
    <s v="10/30/2024"/>
    <d v="2024-10-30T00:00:00"/>
    <s v="12/19/2024"/>
    <d v="2024-12-19T00:00:00"/>
    <s v="9171 Norway Maple Trail"/>
    <n v="46"/>
    <n v="9"/>
    <s v="Active"/>
    <n v="92"/>
    <n v="196"/>
    <x v="1"/>
    <x v="3"/>
    <n v="-73"/>
    <s v="Invalid Data"/>
  </r>
  <r>
    <s v="40-630-1431"/>
    <x v="119"/>
    <x v="2"/>
    <s v="61-040-9004"/>
    <s v="Voomm"/>
    <n v="29"/>
    <n v="66"/>
    <n v="21"/>
    <s v="$8.00 "/>
    <n v="8"/>
    <s v="10/29/2024"/>
    <d v="2024-10-29T00:00:00"/>
    <d v="2024-11-07T00:00:00"/>
    <d v="2024-11-07T00:00:00"/>
    <d v="2024-07-11T00:00:00"/>
    <d v="2024-07-11T00:00:00"/>
    <s v="8119 Homewood Drive"/>
    <n v="74"/>
    <n v="93"/>
    <s v="Discontinued"/>
    <n v="592"/>
    <n v="232"/>
    <x v="0"/>
    <x v="7"/>
    <n v="-110"/>
    <s v="Invalid Data"/>
  </r>
  <r>
    <s v="15-797-4824"/>
    <x v="72"/>
    <x v="2"/>
    <s v="46-830-4835"/>
    <s v="Mudo"/>
    <n v="32"/>
    <n v="27"/>
    <n v="26"/>
    <s v="$5.00 "/>
    <n v="5"/>
    <s v="5/30/2024"/>
    <d v="2024-05-30T00:00:00"/>
    <s v="11/20/2024"/>
    <d v="2024-11-20T00:00:00"/>
    <s v="1/14/2025"/>
    <d v="2025-01-14T00:00:00"/>
    <s v="25923 Loeprich Junction"/>
    <n v="38"/>
    <n v="79"/>
    <s v="Backordered"/>
    <n v="190"/>
    <n v="160"/>
    <x v="1"/>
    <x v="8"/>
    <n v="229"/>
    <s v="Low Risk"/>
  </r>
  <r>
    <s v="37-248-6266"/>
    <x v="25"/>
    <x v="2"/>
    <s v="75-553-7424"/>
    <s v="Youspan"/>
    <n v="84"/>
    <n v="74"/>
    <n v="48"/>
    <s v="$4.50 "/>
    <n v="4.5"/>
    <s v="12/24/2024"/>
    <d v="2024-12-24T00:00:00"/>
    <s v="10/17/2024"/>
    <d v="2024-10-17T00:00:00"/>
    <s v="5/24/2024"/>
    <d v="2024-05-24T00:00:00"/>
    <s v="7051 Calypso Place"/>
    <n v="64"/>
    <n v="32"/>
    <s v="Backordered"/>
    <n v="288"/>
    <n v="378"/>
    <x v="1"/>
    <x v="6"/>
    <n v="-214"/>
    <s v="Invalid Data"/>
  </r>
  <r>
    <s v="22-760-4605"/>
    <x v="109"/>
    <x v="4"/>
    <s v="01-495-9336"/>
    <s v="Bubblemix"/>
    <n v="86"/>
    <n v="20"/>
    <n v="67"/>
    <s v="$1.75 "/>
    <n v="1.75"/>
    <d v="2025-12-02T00:00:00"/>
    <d v="2025-12-02T00:00:00"/>
    <d v="2024-07-07T00:00:00"/>
    <d v="2024-07-07T00:00:00"/>
    <d v="2024-03-08T00:00:00"/>
    <d v="2024-03-08T00:00:00"/>
    <s v="09264 Forest Dale Drive"/>
    <n v="83"/>
    <n v="82"/>
    <s v="Discontinued"/>
    <n v="145.25"/>
    <n v="150.5"/>
    <x v="1"/>
    <x v="23"/>
    <n v="-634"/>
    <s v="Invalid Data"/>
  </r>
  <r>
    <s v="80-020-8041"/>
    <x v="2"/>
    <x v="0"/>
    <s v="66-684-1941"/>
    <s v="Wordware"/>
    <n v="11"/>
    <n v="58"/>
    <n v="26"/>
    <s v="$6.20 "/>
    <n v="6.2"/>
    <d v="2024-06-06T00:00:00"/>
    <d v="2024-06-06T00:00:00"/>
    <d v="2024-03-12T00:00:00"/>
    <d v="2024-03-12T00:00:00"/>
    <d v="2024-08-07T00:00:00"/>
    <d v="2024-08-07T00:00:00"/>
    <s v="662 Vernon Point"/>
    <n v="49"/>
    <n v="34"/>
    <s v="Active"/>
    <n v="303.8"/>
    <n v="68.2"/>
    <x v="0"/>
    <x v="12"/>
    <n v="62"/>
    <s v="High Risk"/>
  </r>
  <r>
    <s v="44-634-8292"/>
    <x v="92"/>
    <x v="0"/>
    <s v="48-557-5036"/>
    <s v="Quatz"/>
    <n v="60"/>
    <n v="69"/>
    <n v="64"/>
    <s v="$2.75 "/>
    <n v="2.75"/>
    <s v="2/23/2025"/>
    <d v="2025-02-23T00:00:00"/>
    <d v="2024-09-03T00:00:00"/>
    <d v="2024-09-03T00:00:00"/>
    <d v="2025-02-01T00:00:00"/>
    <d v="2025-02-01T00:00:00"/>
    <s v="46 Orin Drive"/>
    <n v="51"/>
    <n v="6"/>
    <s v="Active"/>
    <n v="140.25"/>
    <n v="165"/>
    <x v="0"/>
    <x v="14"/>
    <n v="-22"/>
    <s v="Invalid Data"/>
  </r>
  <r>
    <s v="19-610-2236"/>
    <x v="118"/>
    <x v="5"/>
    <s v="53-799-3174"/>
    <s v="Mybuzz"/>
    <n v="58"/>
    <n v="48"/>
    <n v="9"/>
    <s v="$3.50 "/>
    <n v="3.5"/>
    <d v="2024-07-12T00:00:00"/>
    <d v="2024-07-12T00:00:00"/>
    <d v="2024-03-08T00:00:00"/>
    <d v="2024-03-08T00:00:00"/>
    <s v="3/19/2024"/>
    <d v="2024-03-19T00:00:00"/>
    <s v="8524 Shelley Way"/>
    <n v="98"/>
    <n v="69"/>
    <s v="Active"/>
    <n v="343"/>
    <n v="203"/>
    <x v="1"/>
    <x v="10"/>
    <n v="-115"/>
    <s v="Invalid Data"/>
  </r>
  <r>
    <s v="49-579-4325"/>
    <x v="47"/>
    <x v="4"/>
    <s v="98-558-5813"/>
    <s v="Eadel"/>
    <n v="64"/>
    <n v="95"/>
    <n v="62"/>
    <s v="$6.00 "/>
    <n v="6"/>
    <s v="5/24/2024"/>
    <d v="2024-05-24T00:00:00"/>
    <s v="8/22/2024"/>
    <d v="2024-08-22T00:00:00"/>
    <s v="5/17/2024"/>
    <d v="2024-05-17T00:00:00"/>
    <s v="6 Anniversary Circle"/>
    <n v="55"/>
    <n v="1"/>
    <s v="Discontinued"/>
    <n v="330"/>
    <n v="384"/>
    <x v="0"/>
    <x v="8"/>
    <n v="-7"/>
    <s v="Invalid Data"/>
  </r>
  <r>
    <s v="42-134-9798"/>
    <x v="79"/>
    <x v="3"/>
    <s v="16-869-7328"/>
    <s v="Omba"/>
    <n v="19"/>
    <n v="80"/>
    <n v="87"/>
    <s v="$2.30 "/>
    <n v="2.2999999999999998"/>
    <d v="2024-11-10T00:00:00"/>
    <d v="2024-11-10T00:00:00"/>
    <s v="10/23/2024"/>
    <d v="2024-10-23T00:00:00"/>
    <s v="12/30/2024"/>
    <d v="2024-12-30T00:00:00"/>
    <s v="0087 Bluejay Plaza"/>
    <n v="33"/>
    <n v="38"/>
    <s v="Backordered"/>
    <n v="75.899999999999991"/>
    <n v="43.699999999999996"/>
    <x v="0"/>
    <x v="5"/>
    <n v="50"/>
    <s v="High Risk"/>
  </r>
  <r>
    <s v="84-546-7624"/>
    <x v="119"/>
    <x v="2"/>
    <s v="34-730-9079"/>
    <s v="Gigazoom"/>
    <n v="43"/>
    <n v="41"/>
    <n v="100"/>
    <s v="$8.00 "/>
    <n v="8"/>
    <s v="6/16/2024"/>
    <d v="2024-06-16T00:00:00"/>
    <d v="2024-08-04T00:00:00"/>
    <d v="2024-08-04T00:00:00"/>
    <d v="2024-01-06T00:00:00"/>
    <d v="2024-01-06T00:00:00"/>
    <s v="61057 Hallows Junction"/>
    <n v="27"/>
    <n v="78"/>
    <s v="Active"/>
    <n v="216"/>
    <n v="344"/>
    <x v="1"/>
    <x v="12"/>
    <n v="-162"/>
    <s v="Invalid Data"/>
  </r>
  <r>
    <s v="11-891-8213"/>
    <x v="59"/>
    <x v="3"/>
    <s v="25-741-5987"/>
    <s v="Tagopia"/>
    <n v="38"/>
    <n v="62"/>
    <n v="47"/>
    <s v="$4.00 "/>
    <n v="4"/>
    <d v="2024-02-12T00:00:00"/>
    <d v="2024-02-12T00:00:00"/>
    <d v="2024-12-12T00:00:00"/>
    <d v="2024-12-12T00:00:00"/>
    <s v="11/13/2024"/>
    <d v="2024-11-13T00:00:00"/>
    <s v="13 Westport Hill"/>
    <n v="41"/>
    <n v="34"/>
    <s v="Discontinued"/>
    <n v="164"/>
    <n v="152"/>
    <x v="0"/>
    <x v="9"/>
    <n v="275"/>
    <s v="Low Risk"/>
  </r>
  <r>
    <s v="03-597-9488"/>
    <x v="83"/>
    <x v="4"/>
    <s v="03-983-0515"/>
    <s v="Wordpedia"/>
    <n v="70"/>
    <n v="66"/>
    <n v="74"/>
    <s v="$2.50 "/>
    <n v="2.5"/>
    <d v="2024-11-11T00:00:00"/>
    <d v="2024-11-11T00:00:00"/>
    <d v="2024-11-07T00:00:00"/>
    <d v="2024-11-07T00:00:00"/>
    <s v="3/28/2024"/>
    <d v="2024-03-28T00:00:00"/>
    <s v="53 Lawn Circle"/>
    <n v="47"/>
    <n v="77"/>
    <s v="Active"/>
    <n v="117.5"/>
    <n v="175"/>
    <x v="1"/>
    <x v="5"/>
    <n v="-228"/>
    <s v="Invalid Data"/>
  </r>
  <r>
    <s v="89-624-7462"/>
    <x v="91"/>
    <x v="2"/>
    <s v="39-506-2186"/>
    <s v="Jaxspan"/>
    <n v="18"/>
    <n v="3"/>
    <n v="39"/>
    <s v="$5.00 "/>
    <n v="5"/>
    <s v="10/18/2024"/>
    <d v="2024-10-18T00:00:00"/>
    <s v="2/16/2025"/>
    <d v="2025-02-16T00:00:00"/>
    <s v="11/24/2024"/>
    <d v="2024-11-24T00:00:00"/>
    <s v="25 Drewry Alley"/>
    <n v="58"/>
    <n v="61"/>
    <s v="Backordered"/>
    <n v="290"/>
    <n v="90"/>
    <x v="1"/>
    <x v="7"/>
    <n v="37"/>
    <s v="High Risk"/>
  </r>
  <r>
    <s v="89-335-0155"/>
    <x v="104"/>
    <x v="0"/>
    <s v="83-780-4531"/>
    <s v="Fivebridge"/>
    <n v="46"/>
    <n v="81"/>
    <n v="47"/>
    <s v="$2.50 "/>
    <n v="2.5"/>
    <d v="2024-05-09T00:00:00"/>
    <d v="2024-05-09T00:00:00"/>
    <d v="2024-11-09T00:00:00"/>
    <d v="2024-11-09T00:00:00"/>
    <s v="1/16/2025"/>
    <d v="2025-01-16T00:00:00"/>
    <s v="9 Kipling Road"/>
    <n v="48"/>
    <n v="48"/>
    <s v="Active"/>
    <n v="120"/>
    <n v="115"/>
    <x v="0"/>
    <x v="8"/>
    <n v="252"/>
    <s v="Low Risk"/>
  </r>
  <r>
    <s v="59-725-4038"/>
    <x v="1"/>
    <x v="1"/>
    <s v="39-055-1703"/>
    <s v="Zoozzy"/>
    <n v="78"/>
    <n v="34"/>
    <n v="39"/>
    <s v="$20.50 "/>
    <n v="20.5"/>
    <s v="11/13/2024"/>
    <d v="2024-11-13T00:00:00"/>
    <s v="8/26/2024"/>
    <d v="2024-08-26T00:00:00"/>
    <s v="8/23/2024"/>
    <d v="2024-08-23T00:00:00"/>
    <s v="697 Hoepker Center"/>
    <n v="62"/>
    <n v="2"/>
    <s v="Active"/>
    <n v="1271"/>
    <n v="1599"/>
    <x v="1"/>
    <x v="5"/>
    <n v="-82"/>
    <s v="Invalid Data"/>
  </r>
  <r>
    <s v="78-953-2073"/>
    <x v="79"/>
    <x v="3"/>
    <s v="28-465-9141"/>
    <s v="Tagopia"/>
    <n v="53"/>
    <n v="20"/>
    <n v="75"/>
    <s v="$2.30 "/>
    <n v="2.2999999999999998"/>
    <d v="2024-12-06T00:00:00"/>
    <d v="2024-12-06T00:00:00"/>
    <d v="2024-01-10T00:00:00"/>
    <d v="2024-01-10T00:00:00"/>
    <d v="2025-04-01T00:00:00"/>
    <d v="2025-04-01T00:00:00"/>
    <s v="085 Reinke Pass"/>
    <n v="83"/>
    <n v="77"/>
    <s v="Backordered"/>
    <n v="190.89999999999998"/>
    <n v="121.89999999999999"/>
    <x v="1"/>
    <x v="6"/>
    <n v="116"/>
    <s v="Medium Risk"/>
  </r>
  <r>
    <s v="91-426-3204"/>
    <x v="30"/>
    <x v="6"/>
    <s v="86-184-4829"/>
    <s v="Geba"/>
    <n v="67"/>
    <n v="71"/>
    <n v="4"/>
    <s v="$9.00 "/>
    <n v="9"/>
    <s v="12/19/2024"/>
    <d v="2024-12-19T00:00:00"/>
    <s v="4/14/2024"/>
    <d v="2024-04-14T00:00:00"/>
    <d v="2024-08-07T00:00:00"/>
    <d v="2024-08-07T00:00:00"/>
    <s v="269 Dakota Trail"/>
    <n v="76"/>
    <n v="34"/>
    <s v="Backordered"/>
    <n v="684"/>
    <n v="603"/>
    <x v="0"/>
    <x v="6"/>
    <n v="-134"/>
    <s v="Invalid Data"/>
  </r>
  <r>
    <s v="40-913-9772"/>
    <x v="120"/>
    <x v="4"/>
    <s v="51-215-2283"/>
    <s v="Einti"/>
    <n v="36"/>
    <n v="30"/>
    <n v="44"/>
    <s v="$0.20 "/>
    <n v="0.2"/>
    <d v="2024-11-04T00:00:00"/>
    <d v="2024-11-04T00:00:00"/>
    <d v="2024-03-03T00:00:00"/>
    <d v="2024-03-03T00:00:00"/>
    <s v="5/26/2024"/>
    <d v="2024-05-26T00:00:00"/>
    <s v="553 Hooker Trail"/>
    <n v="68"/>
    <n v="88"/>
    <s v="Backordered"/>
    <n v="13.600000000000001"/>
    <n v="7.2"/>
    <x v="1"/>
    <x v="5"/>
    <n v="-162"/>
    <s v="Invalid Data"/>
  </r>
  <r>
    <s v="89-922-4773"/>
    <x v="92"/>
    <x v="0"/>
    <s v="99-455-0707"/>
    <s v="Mudo"/>
    <n v="39"/>
    <n v="53"/>
    <n v="64"/>
    <s v="$2.75 "/>
    <n v="2.75"/>
    <s v="6/22/2024"/>
    <d v="2024-06-22T00:00:00"/>
    <d v="2024-02-07T00:00:00"/>
    <d v="2024-02-07T00:00:00"/>
    <s v="12/27/2024"/>
    <d v="2024-12-27T00:00:00"/>
    <s v="11 Thackeray Hill"/>
    <n v="92"/>
    <n v="8"/>
    <s v="Active"/>
    <n v="253"/>
    <n v="107.25"/>
    <x v="0"/>
    <x v="12"/>
    <n v="188"/>
    <s v="Low Risk"/>
  </r>
  <r>
    <s v="17-236-0566"/>
    <x v="116"/>
    <x v="2"/>
    <s v="32-402-9679"/>
    <s v="Einti"/>
    <n v="95"/>
    <n v="87"/>
    <n v="13"/>
    <s v="$2.00 "/>
    <n v="2"/>
    <d v="2024-12-10T00:00:00"/>
    <d v="2024-12-10T00:00:00"/>
    <d v="2024-02-03T00:00:00"/>
    <d v="2024-02-03T00:00:00"/>
    <d v="2024-04-08T00:00:00"/>
    <d v="2024-04-08T00:00:00"/>
    <s v="803 5th Alley"/>
    <n v="61"/>
    <n v="4"/>
    <s v="Backordered"/>
    <n v="122"/>
    <n v="190"/>
    <x v="1"/>
    <x v="6"/>
    <n v="-246"/>
    <s v="Invalid Data"/>
  </r>
  <r>
    <s v="74-234-0628"/>
    <x v="69"/>
    <x v="0"/>
    <s v="49-559-7092"/>
    <s v="Shuffledrive"/>
    <n v="12"/>
    <n v="56"/>
    <n v="92"/>
    <s v="$9.50 "/>
    <n v="9.5"/>
    <d v="2024-08-05T00:00:00"/>
    <d v="2024-08-05T00:00:00"/>
    <s v="12/15/2024"/>
    <d v="2024-12-15T00:00:00"/>
    <s v="5/13/2024"/>
    <d v="2024-05-13T00:00:00"/>
    <s v="2 Veith Crossing"/>
    <n v="56"/>
    <n v="6"/>
    <s v="Active"/>
    <n v="532"/>
    <n v="114"/>
    <x v="0"/>
    <x v="0"/>
    <n v="-84"/>
    <s v="Invalid Data"/>
  </r>
  <r>
    <s v="80-441-7249"/>
    <x v="114"/>
    <x v="0"/>
    <s v="35-979-6839"/>
    <s v="Yoveo"/>
    <n v="98"/>
    <n v="30"/>
    <n v="39"/>
    <s v="$10.00 "/>
    <n v="10"/>
    <s v="11/25/2024"/>
    <d v="2024-11-25T00:00:00"/>
    <s v="4/14/2024"/>
    <d v="2024-04-14T00:00:00"/>
    <d v="2024-10-08T00:00:00"/>
    <d v="2024-10-08T00:00:00"/>
    <s v="652 High Crossing Lane"/>
    <n v="31"/>
    <n v="26"/>
    <s v="Active"/>
    <n v="310"/>
    <n v="980"/>
    <x v="1"/>
    <x v="5"/>
    <n v="-48"/>
    <s v="Invalid Data"/>
  </r>
  <r>
    <s v="54-708-7327"/>
    <x v="65"/>
    <x v="0"/>
    <s v="46-316-6919"/>
    <s v="Linktype"/>
    <n v="50"/>
    <n v="14"/>
    <n v="99"/>
    <s v="$4.75 "/>
    <n v="4.75"/>
    <d v="2025-09-01T00:00:00"/>
    <d v="2025-09-01T00:00:00"/>
    <s v="3/28/2024"/>
    <d v="2024-03-28T00:00:00"/>
    <s v="4/15/2024"/>
    <d v="2024-04-15T00:00:00"/>
    <s v="8182 Hazelcrest Place"/>
    <n v="52"/>
    <n v="75"/>
    <s v="Active"/>
    <n v="247"/>
    <n v="237.5"/>
    <x v="1"/>
    <x v="20"/>
    <n v="-504"/>
    <s v="Invalid Data"/>
  </r>
  <r>
    <s v="15-846-7959"/>
    <x v="32"/>
    <x v="2"/>
    <s v="47-026-0505"/>
    <s v="Vidoo"/>
    <n v="98"/>
    <n v="14"/>
    <n v="11"/>
    <s v="$2.50 "/>
    <n v="2.5"/>
    <s v="4/17/2024"/>
    <d v="2024-04-17T00:00:00"/>
    <d v="2024-01-12T00:00:00"/>
    <d v="2024-01-12T00:00:00"/>
    <s v="3/20/2024"/>
    <d v="2024-03-20T00:00:00"/>
    <s v="6251 Eliot Hill"/>
    <n v="48"/>
    <n v="38"/>
    <s v="Discontinued"/>
    <n v="120"/>
    <n v="245"/>
    <x v="1"/>
    <x v="4"/>
    <n v="-28"/>
    <s v="Invalid Data"/>
  </r>
  <r>
    <s v="44-368-7112"/>
    <x v="6"/>
    <x v="3"/>
    <s v="85-978-7855"/>
    <s v="Devbug"/>
    <n v="28"/>
    <n v="32"/>
    <n v="71"/>
    <s v="$2.50 "/>
    <n v="2.5"/>
    <s v="12/22/2024"/>
    <d v="2024-12-22T00:00:00"/>
    <d v="2024-02-05T00:00:00"/>
    <d v="2024-02-05T00:00:00"/>
    <d v="2024-06-12T00:00:00"/>
    <d v="2024-06-12T00:00:00"/>
    <s v="82 Hintze Court"/>
    <n v="32"/>
    <n v="49"/>
    <s v="Discontinued"/>
    <n v="80"/>
    <n v="70"/>
    <x v="0"/>
    <x v="6"/>
    <n v="-193"/>
    <s v="Invalid Data"/>
  </r>
  <r>
    <s v="03-833-3577"/>
    <x v="26"/>
    <x v="2"/>
    <s v="87-032-6971"/>
    <s v="Kanoodle"/>
    <n v="67"/>
    <n v="14"/>
    <n v="25"/>
    <s v="$1.80 "/>
    <n v="1.8"/>
    <d v="2024-02-05T00:00:00"/>
    <d v="2024-02-05T00:00:00"/>
    <s v="8/20/2024"/>
    <d v="2024-08-20T00:00:00"/>
    <s v="10/16/2024"/>
    <d v="2024-10-16T00:00:00"/>
    <s v="38 Killdeer Point"/>
    <n v="81"/>
    <n v="77"/>
    <s v="Active"/>
    <n v="145.80000000000001"/>
    <n v="120.60000000000001"/>
    <x v="1"/>
    <x v="9"/>
    <n v="254"/>
    <s v="Low Risk"/>
  </r>
  <r>
    <s v="47-548-6500"/>
    <x v="31"/>
    <x v="2"/>
    <s v="27-061-4764"/>
    <s v="Devpulse"/>
    <n v="20"/>
    <n v="93"/>
    <n v="37"/>
    <s v="$2.00 "/>
    <n v="2"/>
    <s v="10/20/2024"/>
    <d v="2024-10-20T00:00:00"/>
    <d v="2024-07-03T00:00:00"/>
    <d v="2024-07-03T00:00:00"/>
    <s v="12/25/2024"/>
    <d v="2024-12-25T00:00:00"/>
    <s v="06 Shopko Pass"/>
    <n v="23"/>
    <n v="2"/>
    <s v="Discontinued"/>
    <n v="46"/>
    <n v="40"/>
    <x v="0"/>
    <x v="7"/>
    <n v="66"/>
    <s v="High Risk"/>
  </r>
  <r>
    <s v="12-342-4482"/>
    <x v="17"/>
    <x v="6"/>
    <s v="71-300-8176"/>
    <s v="Topicblab"/>
    <n v="67"/>
    <n v="83"/>
    <n v="90"/>
    <s v="$11.60 "/>
    <n v="11.6"/>
    <s v="10/27/2024"/>
    <d v="2024-10-27T00:00:00"/>
    <s v="9/30/2024"/>
    <d v="2024-09-30T00:00:00"/>
    <s v="8/29/2024"/>
    <d v="2024-08-29T00:00:00"/>
    <s v="374 Blue Bill Park Point"/>
    <n v="66"/>
    <n v="77"/>
    <s v="Active"/>
    <n v="765.6"/>
    <n v="777.19999999999993"/>
    <x v="0"/>
    <x v="7"/>
    <n v="-59"/>
    <s v="Invalid Data"/>
  </r>
  <r>
    <s v="07-834-3320"/>
    <x v="22"/>
    <x v="4"/>
    <s v="47-831-9154"/>
    <s v="Trunyx"/>
    <n v="94"/>
    <n v="60"/>
    <n v="78"/>
    <s v="$0.80 "/>
    <n v="0.8"/>
    <d v="2024-08-12T00:00:00"/>
    <d v="2024-08-12T00:00:00"/>
    <d v="2024-07-03T00:00:00"/>
    <d v="2024-07-03T00:00:00"/>
    <s v="9/20/2024"/>
    <d v="2024-09-20T00:00:00"/>
    <s v="79 Monterey Avenue"/>
    <n v="100"/>
    <n v="42"/>
    <s v="Active"/>
    <n v="80"/>
    <n v="75.2"/>
    <x v="1"/>
    <x v="0"/>
    <n v="39"/>
    <s v="High Risk"/>
  </r>
  <r>
    <s v="16-187-5729"/>
    <x v="46"/>
    <x v="1"/>
    <s v="79-366-7207"/>
    <s v="Zoombeat"/>
    <n v="45"/>
    <n v="58"/>
    <n v="84"/>
    <s v="$5.00 "/>
    <n v="5"/>
    <d v="2025-06-01T00:00:00"/>
    <d v="2025-06-01T00:00:00"/>
    <s v="3/21/2024"/>
    <d v="2024-03-21T00:00:00"/>
    <s v="3/30/2024"/>
    <d v="2024-03-30T00:00:00"/>
    <s v="22555 Macpherson Plaza"/>
    <n v="90"/>
    <n v="67"/>
    <s v="Active"/>
    <n v="450"/>
    <n v="225"/>
    <x v="0"/>
    <x v="15"/>
    <n v="-428"/>
    <s v="Invalid Data"/>
  </r>
  <r>
    <s v="64-109-7362"/>
    <x v="95"/>
    <x v="6"/>
    <s v="38-603-6412"/>
    <s v="Voolia"/>
    <n v="86"/>
    <n v="55"/>
    <n v="96"/>
    <s v="$10.00 "/>
    <n v="10"/>
    <s v="12/19/2024"/>
    <d v="2024-12-19T00:00:00"/>
    <d v="2024-09-07T00:00:00"/>
    <d v="2024-09-07T00:00:00"/>
    <s v="9/29/2024"/>
    <d v="2024-09-29T00:00:00"/>
    <s v="7 Harper Drive"/>
    <n v="37"/>
    <n v="53"/>
    <s v="Backordered"/>
    <n v="370"/>
    <n v="860"/>
    <x v="1"/>
    <x v="6"/>
    <n v="-81"/>
    <s v="Invalid Data"/>
  </r>
  <r>
    <s v="06-655-5498"/>
    <x v="114"/>
    <x v="0"/>
    <s v="89-574-3430"/>
    <s v="Kayveo"/>
    <n v="72"/>
    <n v="82"/>
    <n v="52"/>
    <s v="$9.75 "/>
    <n v="9.75"/>
    <d v="2024-03-08T00:00:00"/>
    <d v="2024-03-08T00:00:00"/>
    <d v="2024-09-07T00:00:00"/>
    <d v="2024-09-07T00:00:00"/>
    <s v="9/28/2024"/>
    <d v="2024-09-28T00:00:00"/>
    <s v="8569 Bashford Court"/>
    <n v="51"/>
    <n v="95"/>
    <s v="Backordered"/>
    <n v="497.25"/>
    <n v="702"/>
    <x v="0"/>
    <x v="2"/>
    <n v="204"/>
    <s v="Low Risk"/>
  </r>
  <r>
    <s v="24-975-4231"/>
    <x v="18"/>
    <x v="2"/>
    <s v="99-145-4924"/>
    <s v="Jayo"/>
    <n v="31"/>
    <n v="61"/>
    <n v="28"/>
    <s v="$2.10 "/>
    <n v="2.1"/>
    <d v="2024-10-03T00:00:00"/>
    <d v="2024-10-03T00:00:00"/>
    <d v="2024-09-07T00:00:00"/>
    <d v="2024-09-07T00:00:00"/>
    <s v="8/17/2024"/>
    <d v="2024-08-17T00:00:00"/>
    <s v="62494 Longview Drive"/>
    <n v="55"/>
    <n v="70"/>
    <s v="Active"/>
    <n v="115.5"/>
    <n v="65.100000000000009"/>
    <x v="0"/>
    <x v="7"/>
    <n v="-47"/>
    <s v="Invalid Data"/>
  </r>
  <r>
    <s v="98-652-9569"/>
    <x v="56"/>
    <x v="5"/>
    <s v="65-160-1426"/>
    <s v="Ooba"/>
    <n v="12"/>
    <n v="7"/>
    <n v="23"/>
    <s v="$6.00 "/>
    <n v="6"/>
    <d v="2025-06-02T00:00:00"/>
    <d v="2025-06-02T00:00:00"/>
    <s v="2/17/2025"/>
    <d v="2025-02-17T00:00:00"/>
    <s v="6/23/2024"/>
    <d v="2024-06-23T00:00:00"/>
    <s v="32 6th Lane"/>
    <n v="72"/>
    <n v="16"/>
    <s v="Discontinued"/>
    <n v="432"/>
    <n v="72"/>
    <x v="1"/>
    <x v="15"/>
    <n v="-344"/>
    <s v="Invalid Data"/>
  </r>
  <r>
    <s v="25-522-6043"/>
    <x v="81"/>
    <x v="4"/>
    <s v="29-122-7037"/>
    <s v="Kazu"/>
    <n v="71"/>
    <n v="93"/>
    <n v="75"/>
    <s v="$7.00 "/>
    <n v="7"/>
    <d v="2024-09-10T00:00:00"/>
    <d v="2024-09-10T00:00:00"/>
    <s v="8/19/2024"/>
    <d v="2024-08-19T00:00:00"/>
    <d v="2025-03-02T00:00:00"/>
    <d v="2025-03-02T00:00:00"/>
    <s v="890 Eggendart Pass"/>
    <n v="77"/>
    <n v="58"/>
    <s v="Discontinued"/>
    <n v="539"/>
    <n v="497"/>
    <x v="0"/>
    <x v="11"/>
    <n v="173"/>
    <s v="Medium Risk"/>
  </r>
  <r>
    <s v="28-275-5901"/>
    <x v="95"/>
    <x v="6"/>
    <s v="44-760-4337"/>
    <s v="Jatri"/>
    <n v="64"/>
    <n v="1"/>
    <n v="92"/>
    <s v="$10.00 "/>
    <n v="10"/>
    <d v="2024-05-04T00:00:00"/>
    <d v="2024-05-04T00:00:00"/>
    <s v="4/23/2024"/>
    <d v="2024-04-23T00:00:00"/>
    <s v="1/24/2025"/>
    <d v="2025-01-24T00:00:00"/>
    <s v="4 Doe Crossing Avenue"/>
    <n v="49"/>
    <n v="15"/>
    <s v="Active"/>
    <n v="490"/>
    <n v="640"/>
    <x v="1"/>
    <x v="8"/>
    <n v="265"/>
    <s v="Low Risk"/>
  </r>
  <r>
    <s v="96-164-0607"/>
    <x v="117"/>
    <x v="3"/>
    <s v="15-655-3923"/>
    <s v="Browsezoom"/>
    <n v="89"/>
    <n v="79"/>
    <n v="66"/>
    <s v="$5.00 "/>
    <n v="5"/>
    <s v="7/31/2024"/>
    <d v="2024-07-31T00:00:00"/>
    <s v="12/20/2024"/>
    <d v="2024-12-20T00:00:00"/>
    <s v="10/17/2024"/>
    <d v="2024-10-17T00:00:00"/>
    <s v="1275 Lawn Center"/>
    <n v="91"/>
    <n v="31"/>
    <s v="Discontinued"/>
    <n v="455"/>
    <n v="445"/>
    <x v="1"/>
    <x v="10"/>
    <n v="78"/>
    <s v="High Risk"/>
  </r>
  <r>
    <s v="93-815-0565"/>
    <x v="90"/>
    <x v="3"/>
    <s v="56-422-1480"/>
    <s v="Jaxworks"/>
    <n v="50"/>
    <n v="36"/>
    <n v="96"/>
    <s v="$6.50 "/>
    <n v="6.5"/>
    <d v="2024-12-12T00:00:00"/>
    <d v="2024-12-12T00:00:00"/>
    <d v="2024-12-08T00:00:00"/>
    <d v="2024-12-08T00:00:00"/>
    <d v="2024-01-07T00:00:00"/>
    <d v="2024-01-07T00:00:00"/>
    <s v="8868 Armistice Place"/>
    <n v="53"/>
    <n v="73"/>
    <s v="Backordered"/>
    <n v="344.5"/>
    <n v="325"/>
    <x v="1"/>
    <x v="6"/>
    <n v="-340"/>
    <s v="Invalid Data"/>
  </r>
  <r>
    <s v="63-918-8253"/>
    <x v="34"/>
    <x v="2"/>
    <s v="94-157-1762"/>
    <s v="Devpulse"/>
    <n v="53"/>
    <n v="98"/>
    <n v="23"/>
    <s v="$5.00 "/>
    <n v="5"/>
    <s v="2/24/2025"/>
    <d v="2025-02-24T00:00:00"/>
    <d v="2024-04-07T00:00:00"/>
    <d v="2024-04-07T00:00:00"/>
    <s v="9/29/2024"/>
    <d v="2024-09-29T00:00:00"/>
    <s v="917 Westerfield Terrace"/>
    <n v="41"/>
    <n v="84"/>
    <s v="Backordered"/>
    <n v="205"/>
    <n v="265"/>
    <x v="0"/>
    <x v="14"/>
    <n v="-148"/>
    <s v="Invalid Data"/>
  </r>
  <r>
    <s v="57-167-0669"/>
    <x v="30"/>
    <x v="6"/>
    <s v="30-934-3251"/>
    <s v="Rhybox"/>
    <n v="19"/>
    <n v="99"/>
    <n v="78"/>
    <s v="$9.00 "/>
    <n v="9"/>
    <s v="11/21/2024"/>
    <d v="2024-11-21T00:00:00"/>
    <s v="2/17/2025"/>
    <d v="2025-02-17T00:00:00"/>
    <s v="12/30/2024"/>
    <d v="2024-12-30T00:00:00"/>
    <s v="1005 Lyons Junction"/>
    <n v="29"/>
    <n v="54"/>
    <s v="Discontinued"/>
    <n v="261"/>
    <n v="171"/>
    <x v="0"/>
    <x v="5"/>
    <n v="39"/>
    <s v="High Risk"/>
  </r>
  <r>
    <s v="52-402-9245"/>
    <x v="50"/>
    <x v="2"/>
    <s v="37-519-7762"/>
    <s v="Plajo"/>
    <n v="89"/>
    <n v="40"/>
    <n v="64"/>
    <s v="$4.00 "/>
    <n v="4"/>
    <s v="10/16/2024"/>
    <d v="2024-10-16T00:00:00"/>
    <d v="2025-12-02T00:00:00"/>
    <d v="2025-12-02T00:00:00"/>
    <s v="9/19/2024"/>
    <d v="2024-09-19T00:00:00"/>
    <s v="185 Stone Corner Parkway"/>
    <n v="93"/>
    <n v="48"/>
    <s v="Active"/>
    <n v="372"/>
    <n v="356"/>
    <x v="1"/>
    <x v="7"/>
    <n v="-27"/>
    <s v="Invalid Data"/>
  </r>
  <r>
    <s v="17-647-0503"/>
    <x v="73"/>
    <x v="6"/>
    <s v="69-416-9493"/>
    <s v="Katz"/>
    <n v="96"/>
    <n v="12"/>
    <n v="8"/>
    <s v="$8.00 "/>
    <n v="8"/>
    <d v="2024-11-05T00:00:00"/>
    <d v="2024-11-05T00:00:00"/>
    <s v="5/24/2024"/>
    <d v="2024-05-24T00:00:00"/>
    <s v="8/20/2024"/>
    <d v="2024-08-20T00:00:00"/>
    <s v="0 Village Green Street"/>
    <n v="97"/>
    <n v="92"/>
    <s v="Active"/>
    <n v="776"/>
    <n v="768"/>
    <x v="1"/>
    <x v="5"/>
    <n v="-77"/>
    <s v="Invalid Data"/>
  </r>
  <r>
    <s v="67-984-5368"/>
    <x v="20"/>
    <x v="4"/>
    <s v="39-714-7313"/>
    <s v="Yakidoo"/>
    <n v="52"/>
    <n v="56"/>
    <n v="34"/>
    <s v="$12.00 "/>
    <n v="12"/>
    <s v="9/27/2024"/>
    <d v="2024-09-27T00:00:00"/>
    <d v="2024-04-10T00:00:00"/>
    <d v="2024-04-10T00:00:00"/>
    <s v="7/28/2024"/>
    <d v="2024-07-28T00:00:00"/>
    <s v="0 Fordem Place"/>
    <n v="31"/>
    <n v="69"/>
    <s v="Backordered"/>
    <n v="372"/>
    <n v="624"/>
    <x v="0"/>
    <x v="11"/>
    <n v="-61"/>
    <s v="Invalid Data"/>
  </r>
  <r>
    <s v="77-827-0820"/>
    <x v="90"/>
    <x v="3"/>
    <s v="46-590-7639"/>
    <s v="Youopia"/>
    <n v="97"/>
    <n v="20"/>
    <n v="8"/>
    <s v="$6.50 "/>
    <n v="6.5"/>
    <s v="6/16/2024"/>
    <d v="2024-06-16T00:00:00"/>
    <d v="2024-06-11T00:00:00"/>
    <d v="2024-06-11T00:00:00"/>
    <d v="2024-09-11T00:00:00"/>
    <d v="2024-09-11T00:00:00"/>
    <s v="8851 Superior Park"/>
    <n v="51"/>
    <n v="51"/>
    <s v="Active"/>
    <n v="331.5"/>
    <n v="630.5"/>
    <x v="1"/>
    <x v="12"/>
    <n v="87"/>
    <s v="High Risk"/>
  </r>
  <r>
    <s v="27-387-0428"/>
    <x v="105"/>
    <x v="6"/>
    <s v="62-312-2748"/>
    <s v="Camido"/>
    <n v="88"/>
    <n v="42"/>
    <n v="68"/>
    <s v="$20.00 "/>
    <n v="20"/>
    <s v="6/23/2024"/>
    <d v="2024-06-23T00:00:00"/>
    <s v="11/29/2024"/>
    <d v="2024-11-29T00:00:00"/>
    <d v="2024-09-04T00:00:00"/>
    <d v="2024-09-04T00:00:00"/>
    <s v="1715 Dottie Pass"/>
    <n v="92"/>
    <n v="29"/>
    <s v="Active"/>
    <n v="1840"/>
    <n v="1760"/>
    <x v="1"/>
    <x v="12"/>
    <n v="73"/>
    <s v="High Risk"/>
  </r>
  <r>
    <s v="79-350-5841"/>
    <x v="65"/>
    <x v="0"/>
    <s v="81-676-3345"/>
    <s v="Gabvine"/>
    <n v="33"/>
    <n v="44"/>
    <n v="89"/>
    <s v="$4.75 "/>
    <n v="4.75"/>
    <s v="3/15/2024"/>
    <d v="2024-03-15T00:00:00"/>
    <d v="2024-05-09T00:00:00"/>
    <d v="2024-05-09T00:00:00"/>
    <s v="4/17/2024"/>
    <d v="2024-04-17T00:00:00"/>
    <s v="75 Cascade Avenue"/>
    <n v="93"/>
    <n v="19"/>
    <s v="Discontinued"/>
    <n v="441.75"/>
    <n v="156.75"/>
    <x v="0"/>
    <x v="2"/>
    <n v="33"/>
    <s v="High Risk"/>
  </r>
  <r>
    <s v="44-128-2185"/>
    <x v="65"/>
    <x v="0"/>
    <s v="79-091-7381"/>
    <s v="Katz"/>
    <n v="98"/>
    <n v="20"/>
    <n v="81"/>
    <s v="$4.75 "/>
    <n v="4.75"/>
    <s v="8/14/2024"/>
    <d v="2024-08-14T00:00:00"/>
    <d v="2024-10-07T00:00:00"/>
    <d v="2024-10-07T00:00:00"/>
    <s v="12/30/2024"/>
    <d v="2024-12-30T00:00:00"/>
    <s v="012 Mockingbird Court"/>
    <n v="51"/>
    <n v="23"/>
    <s v="Backordered"/>
    <n v="242.25"/>
    <n v="465.5"/>
    <x v="1"/>
    <x v="0"/>
    <n v="138"/>
    <s v="Medium Risk"/>
  </r>
  <r>
    <s v="48-789-9187"/>
    <x v="76"/>
    <x v="2"/>
    <s v="95-944-5323"/>
    <s v="Browsetype"/>
    <n v="45"/>
    <n v="79"/>
    <n v="95"/>
    <s v="$4.00 "/>
    <n v="4"/>
    <d v="2024-06-12T00:00:00"/>
    <d v="2024-06-12T00:00:00"/>
    <s v="6/26/2024"/>
    <d v="2024-06-26T00:00:00"/>
    <s v="11/15/2024"/>
    <d v="2024-11-15T00:00:00"/>
    <s v="41 Stephen Crossing"/>
    <n v="84"/>
    <n v="62"/>
    <s v="Backordered"/>
    <n v="336"/>
    <n v="180"/>
    <x v="0"/>
    <x v="12"/>
    <n v="156"/>
    <s v="Medium Risk"/>
  </r>
  <r>
    <s v="21-809-7115"/>
    <x v="77"/>
    <x v="0"/>
    <s v="57-774-4116"/>
    <s v="Tagcat"/>
    <n v="80"/>
    <n v="86"/>
    <n v="50"/>
    <s v="$1.80 "/>
    <n v="1.8"/>
    <d v="2024-05-05T00:00:00"/>
    <d v="2024-05-05T00:00:00"/>
    <s v="7/22/2024"/>
    <d v="2024-07-22T00:00:00"/>
    <s v="2/24/2025"/>
    <d v="2025-02-24T00:00:00"/>
    <s v="3053 Sachs Center"/>
    <n v="46"/>
    <n v="69"/>
    <s v="Discontinued"/>
    <n v="82.8"/>
    <n v="144"/>
    <x v="0"/>
    <x v="8"/>
    <n v="295"/>
    <s v="Low Risk"/>
  </r>
  <r>
    <s v="19-323-0506"/>
    <x v="105"/>
    <x v="6"/>
    <s v="28-977-3789"/>
    <s v="Skidoo"/>
    <n v="68"/>
    <n v="43"/>
    <n v="96"/>
    <s v="$20.00 "/>
    <n v="20"/>
    <s v="11/17/2024"/>
    <d v="2024-11-17T00:00:00"/>
    <s v="4/28/2024"/>
    <d v="2024-04-28T00:00:00"/>
    <s v="10/15/2024"/>
    <d v="2024-10-15T00:00:00"/>
    <s v="5 Ohio Lane"/>
    <n v="75"/>
    <n v="35"/>
    <s v="Backordered"/>
    <n v="1500"/>
    <n v="1360"/>
    <x v="1"/>
    <x v="5"/>
    <n v="-33"/>
    <s v="Invalid Data"/>
  </r>
  <r>
    <s v="04-637-8815"/>
    <x v="106"/>
    <x v="2"/>
    <s v="60-959-6355"/>
    <s v="Zoonder"/>
    <n v="90"/>
    <n v="91"/>
    <n v="62"/>
    <s v="$5.00 "/>
    <n v="5"/>
    <s v="11/24/2024"/>
    <d v="2024-11-24T00:00:00"/>
    <s v="11/27/2024"/>
    <d v="2024-11-27T00:00:00"/>
    <s v="11/24/2024"/>
    <d v="2024-11-24T00:00:00"/>
    <s v="537 Maple Alley"/>
    <n v="34"/>
    <n v="72"/>
    <s v="Active"/>
    <n v="170"/>
    <n v="450"/>
    <x v="0"/>
    <x v="5"/>
    <n v="0"/>
    <s v="Critical"/>
  </r>
  <r>
    <s v="60-644-6596"/>
    <x v="17"/>
    <x v="6"/>
    <s v="32-745-8366"/>
    <s v="Rhynoodle"/>
    <n v="89"/>
    <n v="67"/>
    <n v="89"/>
    <s v="$12.00 "/>
    <n v="12"/>
    <s v="2/14/2025"/>
    <d v="2025-02-14T00:00:00"/>
    <d v="2025-05-01T00:00:00"/>
    <d v="2025-05-01T00:00:00"/>
    <d v="2024-10-11T00:00:00"/>
    <d v="2024-10-11T00:00:00"/>
    <s v="22 Hudson Pass"/>
    <n v="96"/>
    <n v="42"/>
    <s v="Discontinued"/>
    <n v="1152"/>
    <n v="1068"/>
    <x v="1"/>
    <x v="14"/>
    <n v="-126"/>
    <s v="Invalid Data"/>
  </r>
  <r>
    <s v="58-005-5343"/>
    <x v="26"/>
    <x v="2"/>
    <s v="83-401-2709"/>
    <s v="Youbridge"/>
    <n v="38"/>
    <n v="94"/>
    <n v="87"/>
    <s v="$1.80 "/>
    <n v="1.8"/>
    <s v="5/27/2024"/>
    <d v="2024-05-27T00:00:00"/>
    <d v="2024-03-05T00:00:00"/>
    <d v="2024-03-05T00:00:00"/>
    <s v="8/21/2024"/>
    <d v="2024-08-21T00:00:00"/>
    <s v="43211 Lakeland Place"/>
    <n v="89"/>
    <n v="100"/>
    <s v="Discontinued"/>
    <n v="160.20000000000002"/>
    <n v="68.400000000000006"/>
    <x v="0"/>
    <x v="8"/>
    <n v="86"/>
    <s v="High Risk"/>
  </r>
  <r>
    <s v="67-382-4435"/>
    <x v="18"/>
    <x v="2"/>
    <s v="49-901-0828"/>
    <s v="Fivespan"/>
    <n v="99"/>
    <n v="37"/>
    <n v="74"/>
    <s v="$2.10 "/>
    <n v="2.1"/>
    <s v="7/25/2024"/>
    <d v="2024-07-25T00:00:00"/>
    <s v="12/21/2024"/>
    <d v="2024-12-21T00:00:00"/>
    <d v="2024-02-03T00:00:00"/>
    <d v="2024-02-03T00:00:00"/>
    <s v="92 Bartelt Terrace"/>
    <n v="46"/>
    <n v="46"/>
    <s v="Active"/>
    <n v="96.600000000000009"/>
    <n v="207.9"/>
    <x v="1"/>
    <x v="10"/>
    <n v="-173"/>
    <s v="Invalid Data"/>
  </r>
  <r>
    <s v="09-335-7793"/>
    <x v="86"/>
    <x v="0"/>
    <s v="96-918-7047"/>
    <s v="Topicshots"/>
    <n v="66"/>
    <n v="19"/>
    <n v="20"/>
    <s v="$2.40 "/>
    <n v="2.4"/>
    <s v="9/18/2024"/>
    <d v="2024-09-18T00:00:00"/>
    <d v="2024-07-09T00:00:00"/>
    <d v="2024-07-09T00:00:00"/>
    <d v="2024-01-06T00:00:00"/>
    <d v="2024-01-06T00:00:00"/>
    <s v="5649 Vidon Plaza"/>
    <n v="30"/>
    <n v="49"/>
    <s v="Active"/>
    <n v="72"/>
    <n v="158.4"/>
    <x v="1"/>
    <x v="11"/>
    <n v="-256"/>
    <s v="Invalid Data"/>
  </r>
  <r>
    <s v="46-496-2930"/>
    <x v="75"/>
    <x v="2"/>
    <s v="29-295-9755"/>
    <s v="Eare"/>
    <n v="66"/>
    <n v="28"/>
    <n v="7"/>
    <s v="$6.00 "/>
    <n v="6"/>
    <s v="4/27/2024"/>
    <d v="2024-04-27T00:00:00"/>
    <s v="10/26/2024"/>
    <d v="2024-10-26T00:00:00"/>
    <s v="8/14/2024"/>
    <d v="2024-08-14T00:00:00"/>
    <s v="156 Golf Course Alley"/>
    <n v="85"/>
    <n v="6"/>
    <s v="Backordered"/>
    <n v="510"/>
    <n v="396"/>
    <x v="1"/>
    <x v="4"/>
    <n v="109"/>
    <s v="Medium Risk"/>
  </r>
  <r>
    <s v="35-353-4068"/>
    <x v="14"/>
    <x v="0"/>
    <s v="44-199-6832"/>
    <s v="Jetpulse"/>
    <n v="64"/>
    <n v="11"/>
    <n v="97"/>
    <s v="$1.50 "/>
    <n v="1.5"/>
    <s v="12/26/2024"/>
    <d v="2024-12-26T00:00:00"/>
    <s v="12/18/2024"/>
    <d v="2024-12-18T00:00:00"/>
    <d v="2024-05-07T00:00:00"/>
    <d v="2024-05-07T00:00:00"/>
    <s v="8583 Northwestern Terrace"/>
    <n v="33"/>
    <n v="83"/>
    <s v="Discontinued"/>
    <n v="49.5"/>
    <n v="96"/>
    <x v="1"/>
    <x v="6"/>
    <n v="-233"/>
    <s v="Invalid Data"/>
  </r>
  <r>
    <s v="45-050-4720"/>
    <x v="2"/>
    <x v="0"/>
    <s v="98-791-5014"/>
    <s v="Voonder"/>
    <n v="18"/>
    <n v="78"/>
    <n v="43"/>
    <s v="$6.00 "/>
    <n v="6"/>
    <d v="2025-04-01T00:00:00"/>
    <d v="2025-04-01T00:00:00"/>
    <d v="2024-05-07T00:00:00"/>
    <d v="2024-05-07T00:00:00"/>
    <s v="3/13/2024"/>
    <d v="2024-03-13T00:00:00"/>
    <s v="7 Ridge Oak Pass"/>
    <n v="85"/>
    <n v="97"/>
    <s v="Active"/>
    <n v="510"/>
    <n v="108"/>
    <x v="0"/>
    <x v="16"/>
    <n v="-384"/>
    <s v="Invalid Data"/>
  </r>
  <r>
    <s v="87-104-0187"/>
    <x v="92"/>
    <x v="0"/>
    <s v="41-881-1166"/>
    <s v="Rhyloo"/>
    <n v="86"/>
    <n v="100"/>
    <n v="78"/>
    <s v="$2.75 "/>
    <n v="2.75"/>
    <d v="2024-06-04T00:00:00"/>
    <d v="2024-06-04T00:00:00"/>
    <s v="5/28/2024"/>
    <d v="2024-05-28T00:00:00"/>
    <d v="2025-05-02T00:00:00"/>
    <d v="2025-05-02T00:00:00"/>
    <s v="0 Moose Lane"/>
    <n v="52"/>
    <n v="91"/>
    <s v="Backordered"/>
    <n v="143"/>
    <n v="236.5"/>
    <x v="0"/>
    <x v="12"/>
    <n v="332"/>
    <s v="Low Risk"/>
  </r>
  <r>
    <s v="85-806-8672"/>
    <x v="46"/>
    <x v="1"/>
    <s v="44-646-7502"/>
    <s v="Kare"/>
    <n v="35"/>
    <n v="88"/>
    <n v="87"/>
    <s v="$4.70 "/>
    <n v="4.7"/>
    <d v="2024-05-04T00:00:00"/>
    <d v="2024-05-04T00:00:00"/>
    <d v="2024-12-10T00:00:00"/>
    <d v="2024-12-10T00:00:00"/>
    <s v="11/21/2024"/>
    <d v="2024-11-21T00:00:00"/>
    <s v="24 South Trail"/>
    <n v="39"/>
    <n v="62"/>
    <s v="Active"/>
    <n v="183.3"/>
    <n v="164.5"/>
    <x v="0"/>
    <x v="8"/>
    <n v="201"/>
    <s v="Low Risk"/>
  </r>
  <r>
    <s v="54-281-3746"/>
    <x v="18"/>
    <x v="2"/>
    <s v="08-824-4585"/>
    <s v="Viva"/>
    <n v="26"/>
    <n v="70"/>
    <n v="52"/>
    <s v="$2.00 "/>
    <n v="2"/>
    <d v="2024-07-09T00:00:00"/>
    <d v="2024-07-09T00:00:00"/>
    <d v="2024-10-03T00:00:00"/>
    <d v="2024-10-03T00:00:00"/>
    <d v="2024-03-11T00:00:00"/>
    <d v="2024-03-11T00:00:00"/>
    <s v="00 Ridgeway Plaza"/>
    <n v="36"/>
    <n v="10"/>
    <s v="Discontinued"/>
    <n v="72"/>
    <n v="52"/>
    <x v="0"/>
    <x v="10"/>
    <n v="-120"/>
    <s v="Invalid Data"/>
  </r>
  <r>
    <s v="35-257-9312"/>
    <x v="20"/>
    <x v="4"/>
    <s v="35-927-4986"/>
    <s v="Photospace"/>
    <n v="80"/>
    <n v="100"/>
    <n v="48"/>
    <s v="$12.00 "/>
    <n v="12"/>
    <s v="8/18/2024"/>
    <d v="2024-08-18T00:00:00"/>
    <d v="2024-12-10T00:00:00"/>
    <d v="2024-12-10T00:00:00"/>
    <d v="2024-06-04T00:00:00"/>
    <d v="2024-06-04T00:00:00"/>
    <s v="9463 Northland Court"/>
    <n v="100"/>
    <n v="28"/>
    <s v="Backordered"/>
    <n v="1200"/>
    <n v="960"/>
    <x v="0"/>
    <x v="0"/>
    <n v="-75"/>
    <s v="Invalid Data"/>
  </r>
  <r>
    <s v="63-897-8088"/>
    <x v="32"/>
    <x v="2"/>
    <s v="82-313-4469"/>
    <s v="Skibox"/>
    <n v="63"/>
    <n v="56"/>
    <n v="33"/>
    <s v="$2.50 "/>
    <n v="2.5"/>
    <d v="2025-09-01T00:00:00"/>
    <d v="2025-09-01T00:00:00"/>
    <d v="2024-07-06T00:00:00"/>
    <d v="2024-07-06T00:00:00"/>
    <s v="10/16/2024"/>
    <d v="2024-10-16T00:00:00"/>
    <s v="7944 Elgar Alley"/>
    <n v="35"/>
    <n v="16"/>
    <s v="Backordered"/>
    <n v="87.5"/>
    <n v="157.5"/>
    <x v="1"/>
    <x v="20"/>
    <n v="-320"/>
    <s v="Invalid Data"/>
  </r>
  <r>
    <s v="24-986-5091"/>
    <x v="113"/>
    <x v="5"/>
    <s v="51-076-1164"/>
    <s v="Ozu"/>
    <n v="89"/>
    <n v="22"/>
    <n v="23"/>
    <s v="$5.50 "/>
    <n v="5.5"/>
    <d v="2024-12-05T00:00:00"/>
    <d v="2024-12-05T00:00:00"/>
    <s v="6/25/2024"/>
    <d v="2024-06-25T00:00:00"/>
    <s v="8/14/2024"/>
    <d v="2024-08-14T00:00:00"/>
    <s v="88 Lighthouse Bay Crossing"/>
    <n v="83"/>
    <n v="25"/>
    <s v="Discontinued"/>
    <n v="456.5"/>
    <n v="489.5"/>
    <x v="1"/>
    <x v="6"/>
    <n v="-113"/>
    <s v="Invalid Data"/>
  </r>
  <r>
    <s v="17-504-3699"/>
    <x v="116"/>
    <x v="2"/>
    <s v="81-276-8218"/>
    <s v="Jaxworks"/>
    <n v="80"/>
    <n v="60"/>
    <n v="71"/>
    <s v="$2.00 "/>
    <n v="2"/>
    <d v="2024-08-10T00:00:00"/>
    <d v="2024-08-10T00:00:00"/>
    <s v="6/15/2024"/>
    <d v="2024-06-15T00:00:00"/>
    <s v="8/17/2024"/>
    <d v="2024-08-17T00:00:00"/>
    <s v="18 Daystar Parkway"/>
    <n v="98"/>
    <n v="13"/>
    <s v="Active"/>
    <n v="196"/>
    <n v="160"/>
    <x v="1"/>
    <x v="0"/>
    <n v="7"/>
    <s v="Critical"/>
  </r>
  <r>
    <s v="23-395-3157"/>
    <x v="87"/>
    <x v="3"/>
    <s v="48-538-8538"/>
    <s v="Tagtune"/>
    <n v="41"/>
    <n v="66"/>
    <n v="50"/>
    <s v="$2.00 "/>
    <n v="2"/>
    <s v="2/18/2025"/>
    <d v="2025-02-18T00:00:00"/>
    <s v="7/30/2024"/>
    <d v="2024-07-30T00:00:00"/>
    <s v="3/16/2024"/>
    <d v="2024-03-16T00:00:00"/>
    <s v="74 Sugar Plaza"/>
    <n v="55"/>
    <n v="74"/>
    <s v="Backordered"/>
    <n v="110"/>
    <n v="82"/>
    <x v="0"/>
    <x v="14"/>
    <n v="-339"/>
    <s v="Invalid Data"/>
  </r>
  <r>
    <s v="28-107-4953"/>
    <x v="61"/>
    <x v="5"/>
    <s v="01-165-8830"/>
    <s v="Babbleblab"/>
    <n v="53"/>
    <n v="19"/>
    <n v="94"/>
    <s v="$5.00 "/>
    <n v="5"/>
    <s v="3/29/2024"/>
    <d v="2024-03-29T00:00:00"/>
    <d v="2024-12-11T00:00:00"/>
    <d v="2024-12-11T00:00:00"/>
    <s v="10/18/2024"/>
    <d v="2024-10-18T00:00:00"/>
    <s v="29755 Daystar Street"/>
    <n v="82"/>
    <n v="56"/>
    <s v="Discontinued"/>
    <n v="410"/>
    <n v="265"/>
    <x v="1"/>
    <x v="2"/>
    <n v="203"/>
    <s v="Low Risk"/>
  </r>
  <r>
    <s v="46-083-7058"/>
    <x v="30"/>
    <x v="6"/>
    <s v="26-730-0925"/>
    <s v="Devshare"/>
    <n v="61"/>
    <n v="91"/>
    <n v="40"/>
    <s v="$9.00 "/>
    <n v="9"/>
    <d v="2025-08-01T00:00:00"/>
    <d v="2025-08-01T00:00:00"/>
    <s v="8/27/2024"/>
    <d v="2024-08-27T00:00:00"/>
    <d v="2024-09-06T00:00:00"/>
    <d v="2024-09-06T00:00:00"/>
    <s v="21530 Prentice Place"/>
    <n v="34"/>
    <n v="76"/>
    <s v="Active"/>
    <n v="306"/>
    <n v="549"/>
    <x v="0"/>
    <x v="18"/>
    <n v="-329"/>
    <s v="Invalid Data"/>
  </r>
  <r>
    <s v="68-436-1268"/>
    <x v="9"/>
    <x v="4"/>
    <s v="10-694-6636"/>
    <s v="Aivee"/>
    <n v="70"/>
    <n v="92"/>
    <n v="74"/>
    <s v="$1.00 "/>
    <n v="1"/>
    <s v="11/30/2024"/>
    <d v="2024-11-30T00:00:00"/>
    <s v="8/17/2024"/>
    <d v="2024-08-17T00:00:00"/>
    <d v="2024-11-07T00:00:00"/>
    <d v="2024-11-07T00:00:00"/>
    <s v="1 Mockingbird Parkway"/>
    <n v="95"/>
    <n v="26"/>
    <s v="Backordered"/>
    <n v="95"/>
    <n v="70"/>
    <x v="0"/>
    <x v="5"/>
    <n v="-23"/>
    <s v="Invalid Data"/>
  </r>
  <r>
    <s v="93-198-5984"/>
    <x v="34"/>
    <x v="2"/>
    <s v="86-441-7850"/>
    <s v="Skalith"/>
    <n v="73"/>
    <n v="69"/>
    <n v="1"/>
    <s v="$5.00 "/>
    <n v="5"/>
    <d v="2024-05-11T00:00:00"/>
    <d v="2024-05-11T00:00:00"/>
    <s v="5/14/2024"/>
    <d v="2024-05-14T00:00:00"/>
    <s v="9/17/2024"/>
    <d v="2024-09-17T00:00:00"/>
    <s v="54706 Prairieview Point"/>
    <n v="50"/>
    <n v="67"/>
    <s v="Active"/>
    <n v="250"/>
    <n v="365"/>
    <x v="1"/>
    <x v="8"/>
    <n v="129"/>
    <s v="Medium Risk"/>
  </r>
  <r>
    <s v="24-571-1080"/>
    <x v="100"/>
    <x v="2"/>
    <s v="07-520-1107"/>
    <s v="Devshare"/>
    <n v="60"/>
    <n v="15"/>
    <n v="89"/>
    <s v="$4.00 "/>
    <n v="4"/>
    <d v="2024-07-06T00:00:00"/>
    <d v="2024-07-06T00:00:00"/>
    <s v="2/21/2025"/>
    <d v="2025-02-21T00:00:00"/>
    <d v="2024-11-04T00:00:00"/>
    <d v="2024-11-04T00:00:00"/>
    <s v="5325 Milwaukee Lane"/>
    <n v="21"/>
    <n v="29"/>
    <s v="Discontinued"/>
    <n v="84"/>
    <n v="240"/>
    <x v="1"/>
    <x v="10"/>
    <n v="121"/>
    <s v="Medium Risk"/>
  </r>
  <r>
    <s v="73-874-7534"/>
    <x v="75"/>
    <x v="2"/>
    <s v="12-566-2563"/>
    <s v="Twitterwire"/>
    <n v="88"/>
    <n v="24"/>
    <n v="44"/>
    <s v="$6.00 "/>
    <n v="6"/>
    <d v="2024-05-11T00:00:00"/>
    <d v="2024-05-11T00:00:00"/>
    <d v="2024-08-11T00:00:00"/>
    <d v="2024-08-11T00:00:00"/>
    <s v="12/18/2024"/>
    <d v="2024-12-18T00:00:00"/>
    <s v="901 Norway Maple Crossing"/>
    <n v="72"/>
    <n v="88"/>
    <s v="Backordered"/>
    <n v="432"/>
    <n v="528"/>
    <x v="1"/>
    <x v="8"/>
    <n v="221"/>
    <s v="Low Risk"/>
  </r>
  <r>
    <s v="07-337-9889"/>
    <x v="78"/>
    <x v="2"/>
    <s v="84-949-8378"/>
    <s v="Twitterwire"/>
    <n v="95"/>
    <n v="6"/>
    <n v="59"/>
    <s v="$2.50 "/>
    <n v="2.5"/>
    <s v="12/31/2024"/>
    <d v="2024-12-31T00:00:00"/>
    <s v="8/15/2024"/>
    <d v="2024-08-15T00:00:00"/>
    <s v="9/29/2024"/>
    <d v="2024-09-29T00:00:00"/>
    <s v="4 Loomis Way"/>
    <n v="49"/>
    <n v="77"/>
    <s v="Active"/>
    <n v="122.5"/>
    <n v="237.5"/>
    <x v="1"/>
    <x v="6"/>
    <n v="-93"/>
    <s v="Invalid Data"/>
  </r>
  <r>
    <s v="28-197-9246"/>
    <x v="86"/>
    <x v="0"/>
    <s v="31-281-2352"/>
    <s v="Riffwire"/>
    <n v="47"/>
    <n v="30"/>
    <n v="16"/>
    <s v="$2.50 "/>
    <n v="2.5"/>
    <d v="2024-10-03T00:00:00"/>
    <d v="2024-10-03T00:00:00"/>
    <d v="2024-11-07T00:00:00"/>
    <d v="2024-11-07T00:00:00"/>
    <s v="5/23/2024"/>
    <d v="2024-05-23T00:00:00"/>
    <s v="8499 Hanover Terrace"/>
    <n v="22"/>
    <n v="81"/>
    <s v="Active"/>
    <n v="55"/>
    <n v="117.5"/>
    <x v="1"/>
    <x v="7"/>
    <n v="-133"/>
    <s v="Invalid Data"/>
  </r>
  <r>
    <s v="83-400-9746"/>
    <x v="49"/>
    <x v="4"/>
    <s v="02-510-0629"/>
    <s v="Eidel"/>
    <n v="24"/>
    <n v="1"/>
    <n v="65"/>
    <s v="$7.00 "/>
    <n v="7"/>
    <s v="11/18/2024"/>
    <d v="2024-11-18T00:00:00"/>
    <d v="2024-12-07T00:00:00"/>
    <d v="2024-12-07T00:00:00"/>
    <s v="2/29/2024"/>
    <d v="2024-02-29T00:00:00"/>
    <s v="40 Merchant Terrace"/>
    <n v="58"/>
    <n v="61"/>
    <s v="Active"/>
    <n v="406"/>
    <n v="168"/>
    <x v="1"/>
    <x v="5"/>
    <n v="-263"/>
    <s v="Invalid Data"/>
  </r>
  <r>
    <s v="24-579-6500"/>
    <x v="95"/>
    <x v="6"/>
    <s v="60-309-5783"/>
    <s v="Zoovu"/>
    <n v="93"/>
    <n v="51"/>
    <n v="70"/>
    <s v="$10.00 "/>
    <n v="10"/>
    <s v="4/22/2024"/>
    <d v="2024-04-22T00:00:00"/>
    <d v="2024-12-06T00:00:00"/>
    <d v="2024-12-06T00:00:00"/>
    <d v="2024-04-09T00:00:00"/>
    <d v="2024-04-09T00:00:00"/>
    <s v="4 Stang Place"/>
    <n v="81"/>
    <n v="18"/>
    <s v="Active"/>
    <n v="810"/>
    <n v="930"/>
    <x v="1"/>
    <x v="4"/>
    <n v="-13"/>
    <s v="Invalid Data"/>
  </r>
  <r>
    <s v="64-418-8356"/>
    <x v="97"/>
    <x v="3"/>
    <s v="91-451-2016"/>
    <s v="Ooba"/>
    <n v="80"/>
    <n v="24"/>
    <n v="60"/>
    <s v="$2.50 "/>
    <n v="2.5"/>
    <s v="1/21/2025"/>
    <d v="2025-01-21T00:00:00"/>
    <s v="11/13/2024"/>
    <d v="2024-11-13T00:00:00"/>
    <s v="4/28/2024"/>
    <d v="2024-04-28T00:00:00"/>
    <s v="1 Green Hill"/>
    <n v="98"/>
    <n v="38"/>
    <s v="Active"/>
    <n v="245"/>
    <n v="200"/>
    <x v="1"/>
    <x v="13"/>
    <n v="-268"/>
    <s v="Invalid Data"/>
  </r>
  <r>
    <s v="15-884-7413"/>
    <x v="110"/>
    <x v="2"/>
    <s v="39-412-7454"/>
    <s v="Geba"/>
    <n v="77"/>
    <n v="58"/>
    <n v="13"/>
    <s v="$3.50 "/>
    <n v="3.5"/>
    <s v="6/22/2024"/>
    <d v="2024-06-22T00:00:00"/>
    <s v="5/23/2024"/>
    <d v="2024-05-23T00:00:00"/>
    <s v="4/16/2024"/>
    <d v="2024-04-16T00:00:00"/>
    <s v="6225 Westend Pass"/>
    <n v="63"/>
    <n v="28"/>
    <s v="Discontinued"/>
    <n v="220.5"/>
    <n v="269.5"/>
    <x v="1"/>
    <x v="12"/>
    <n v="-67"/>
    <s v="Invalid Data"/>
  </r>
  <r>
    <s v="79-494-2472"/>
    <x v="18"/>
    <x v="2"/>
    <s v="04-391-8892"/>
    <s v="Kanoodle"/>
    <n v="42"/>
    <n v="48"/>
    <n v="18"/>
    <s v="$2.00 "/>
    <n v="2"/>
    <d v="2025-09-01T00:00:00"/>
    <d v="2025-09-01T00:00:00"/>
    <s v="4/19/2024"/>
    <d v="2024-04-19T00:00:00"/>
    <s v="4/23/2024"/>
    <d v="2024-04-23T00:00:00"/>
    <s v="1615 Bellgrove Crossing"/>
    <n v="39"/>
    <n v="57"/>
    <s v="Active"/>
    <n v="78"/>
    <n v="84"/>
    <x v="0"/>
    <x v="20"/>
    <n v="-496"/>
    <s v="Invalid Data"/>
  </r>
  <r>
    <s v="36-177-0573"/>
    <x v="89"/>
    <x v="4"/>
    <s v="62-687-0951"/>
    <s v="Oyondu"/>
    <n v="92"/>
    <n v="1"/>
    <n v="23"/>
    <s v="$2.50 "/>
    <n v="2.5"/>
    <s v="8/27/2024"/>
    <d v="2024-08-27T00:00:00"/>
    <d v="2024-02-10T00:00:00"/>
    <d v="2024-02-10T00:00:00"/>
    <s v="4/13/2024"/>
    <d v="2024-04-13T00:00:00"/>
    <s v="35 Portage Road"/>
    <n v="78"/>
    <n v="36"/>
    <s v="Discontinued"/>
    <n v="195"/>
    <n v="230"/>
    <x v="1"/>
    <x v="0"/>
    <n v="-136"/>
    <s v="Invalid Data"/>
  </r>
  <r>
    <s v="79-920-2395"/>
    <x v="23"/>
    <x v="2"/>
    <s v="70-825-7341"/>
    <s v="Chatterpoint"/>
    <n v="81"/>
    <n v="23"/>
    <n v="17"/>
    <s v="$6.25 "/>
    <n v="6.25"/>
    <s v="5/26/2024"/>
    <d v="2024-05-26T00:00:00"/>
    <d v="2024-08-05T00:00:00"/>
    <d v="2024-08-05T00:00:00"/>
    <s v="7/16/2024"/>
    <d v="2024-07-16T00:00:00"/>
    <s v="911 Merry Junction"/>
    <n v="92"/>
    <n v="78"/>
    <s v="Active"/>
    <n v="575"/>
    <n v="506.25"/>
    <x v="1"/>
    <x v="8"/>
    <n v="51"/>
    <s v="High Risk"/>
  </r>
  <r>
    <s v="96-961-2193"/>
    <x v="65"/>
    <x v="0"/>
    <s v="71-467-4910"/>
    <s v="Babbleset"/>
    <n v="46"/>
    <n v="39"/>
    <n v="11"/>
    <s v="$4.75 "/>
    <n v="4.75"/>
    <d v="2024-10-10T00:00:00"/>
    <d v="2024-10-10T00:00:00"/>
    <s v="8/16/2024"/>
    <d v="2024-08-16T00:00:00"/>
    <d v="2024-10-11T00:00:00"/>
    <d v="2024-10-11T00:00:00"/>
    <s v="63578 Butternut Hill"/>
    <n v="36"/>
    <n v="54"/>
    <s v="Active"/>
    <n v="171"/>
    <n v="218.5"/>
    <x v="1"/>
    <x v="7"/>
    <n v="1"/>
    <s v="Critical"/>
  </r>
  <r>
    <s v="69-578-7930"/>
    <x v="104"/>
    <x v="0"/>
    <s v="37-728-5274"/>
    <s v="Flipbug"/>
    <n v="44"/>
    <n v="67"/>
    <n v="31"/>
    <s v="$2.50 "/>
    <n v="2.5"/>
    <s v="7/14/2024"/>
    <d v="2024-07-14T00:00:00"/>
    <s v="3/18/2024"/>
    <d v="2024-03-18T00:00:00"/>
    <d v="2024-05-06T00:00:00"/>
    <d v="2024-05-06T00:00:00"/>
    <s v="83291 Hansons Crossing"/>
    <n v="44"/>
    <n v="72"/>
    <s v="Discontinued"/>
    <n v="110"/>
    <n v="110"/>
    <x v="0"/>
    <x v="10"/>
    <n v="-69"/>
    <s v="Invalid Data"/>
  </r>
  <r>
    <s v="40-205-8252"/>
    <x v="38"/>
    <x v="5"/>
    <s v="68-493-0378"/>
    <s v="Innojam"/>
    <n v="38"/>
    <n v="37"/>
    <n v="27"/>
    <s v="$3.50 "/>
    <n v="3.5"/>
    <s v="6/14/2024"/>
    <d v="2024-06-14T00:00:00"/>
    <d v="2024-05-10T00:00:00"/>
    <d v="2024-05-10T00:00:00"/>
    <s v="7/14/2024"/>
    <d v="2024-07-14T00:00:00"/>
    <s v="883 Marcy Place"/>
    <n v="45"/>
    <n v="88"/>
    <s v="Backordered"/>
    <n v="157.5"/>
    <n v="133"/>
    <x v="1"/>
    <x v="12"/>
    <n v="30"/>
    <s v="Critical"/>
  </r>
  <r>
    <s v="18-107-7886"/>
    <x v="107"/>
    <x v="4"/>
    <s v="11-466-3182"/>
    <s v="Demivee"/>
    <n v="64"/>
    <n v="28"/>
    <n v="35"/>
    <s v="$2.00 "/>
    <n v="2"/>
    <d v="2024-05-11T00:00:00"/>
    <d v="2024-05-11T00:00:00"/>
    <d v="2024-07-11T00:00:00"/>
    <d v="2024-07-11T00:00:00"/>
    <s v="2/27/2024"/>
    <d v="2024-02-27T00:00:00"/>
    <s v="55309 6th Junction"/>
    <n v="74"/>
    <n v="50"/>
    <s v="Active"/>
    <n v="148"/>
    <n v="128"/>
    <x v="1"/>
    <x v="8"/>
    <n v="-74"/>
    <s v="Invalid Data"/>
  </r>
  <r>
    <s v="35-328-8392"/>
    <x v="3"/>
    <x v="0"/>
    <s v="52-340-4509"/>
    <s v="Ainyx"/>
    <n v="39"/>
    <n v="2"/>
    <n v="71"/>
    <s v="$1.45 "/>
    <n v="1.45"/>
    <s v="4/29/2024"/>
    <d v="2024-04-29T00:00:00"/>
    <s v="3/18/2024"/>
    <d v="2024-03-18T00:00:00"/>
    <s v="4/21/2024"/>
    <d v="2024-04-21T00:00:00"/>
    <s v="09 Londonderry Hill"/>
    <n v="20"/>
    <n v="70"/>
    <s v="Backordered"/>
    <n v="29"/>
    <n v="56.55"/>
    <x v="1"/>
    <x v="4"/>
    <n v="-8"/>
    <s v="Invalid Data"/>
  </r>
  <r>
    <s v="21-650-9319"/>
    <x v="42"/>
    <x v="5"/>
    <s v="73-445-3017"/>
    <s v="Jazzy"/>
    <n v="42"/>
    <n v="88"/>
    <n v="95"/>
    <s v="$2.50 "/>
    <n v="2.5"/>
    <s v="3/28/2024"/>
    <d v="2024-03-28T00:00:00"/>
    <s v="1/28/2025"/>
    <d v="2025-01-28T00:00:00"/>
    <s v="4/24/2024"/>
    <d v="2024-04-24T00:00:00"/>
    <s v="4 Hagan Court"/>
    <n v="67"/>
    <n v="94"/>
    <s v="Backordered"/>
    <n v="167.5"/>
    <n v="105"/>
    <x v="0"/>
    <x v="2"/>
    <n v="27"/>
    <s v="Critical"/>
  </r>
  <r>
    <s v="99-894-4351"/>
    <x v="10"/>
    <x v="0"/>
    <s v="45-602-6533"/>
    <s v="Devpoint"/>
    <n v="29"/>
    <n v="54"/>
    <n v="54"/>
    <s v="$2.00 "/>
    <n v="2"/>
    <s v="10/27/2024"/>
    <d v="2024-10-27T00:00:00"/>
    <s v="2/24/2025"/>
    <d v="2025-02-24T00:00:00"/>
    <s v="12/25/2024"/>
    <d v="2024-12-25T00:00:00"/>
    <s v="185 Saint Paul Road"/>
    <n v="58"/>
    <n v="63"/>
    <s v="Backordered"/>
    <n v="116"/>
    <n v="58"/>
    <x v="0"/>
    <x v="7"/>
    <n v="59"/>
    <s v="High Risk"/>
  </r>
  <r>
    <s v="63-168-6018"/>
    <x v="26"/>
    <x v="2"/>
    <s v="01-853-2191"/>
    <s v="Bubblemix"/>
    <n v="60"/>
    <n v="63"/>
    <n v="81"/>
    <s v="$1.80 "/>
    <n v="1.8"/>
    <s v="1/26/2025"/>
    <d v="2025-01-26T00:00:00"/>
    <d v="2024-03-10T00:00:00"/>
    <d v="2024-03-10T00:00:00"/>
    <d v="2024-01-05T00:00:00"/>
    <d v="2024-01-05T00:00:00"/>
    <s v="0847 Artisan Hill"/>
    <n v="74"/>
    <n v="31"/>
    <s v="Active"/>
    <n v="133.20000000000002"/>
    <n v="108"/>
    <x v="0"/>
    <x v="13"/>
    <n v="-387"/>
    <s v="Invalid Data"/>
  </r>
  <r>
    <s v="26-000-1012"/>
    <x v="20"/>
    <x v="4"/>
    <s v="60-284-1974"/>
    <s v="Quatz"/>
    <n v="65"/>
    <n v="54"/>
    <n v="29"/>
    <s v="$12.00 "/>
    <n v="12"/>
    <s v="11/30/2024"/>
    <d v="2024-11-30T00:00:00"/>
    <s v="11/29/2024"/>
    <d v="2024-11-29T00:00:00"/>
    <d v="2024-12-04T00:00:00"/>
    <d v="2024-12-04T00:00:00"/>
    <s v="3 Bayside Point"/>
    <n v="69"/>
    <n v="79"/>
    <s v="Backordered"/>
    <n v="828"/>
    <n v="780"/>
    <x v="1"/>
    <x v="5"/>
    <n v="4"/>
    <s v="Critical"/>
  </r>
  <r>
    <s v="13-900-9016"/>
    <x v="53"/>
    <x v="2"/>
    <s v="63-969-9608"/>
    <s v="Meetz"/>
    <n v="89"/>
    <n v="96"/>
    <n v="94"/>
    <s v="$4.50 "/>
    <n v="4.5"/>
    <d v="2024-10-06T00:00:00"/>
    <d v="2024-10-06T00:00:00"/>
    <d v="2025-06-01T00:00:00"/>
    <d v="2025-06-01T00:00:00"/>
    <s v="9/19/2024"/>
    <d v="2024-09-19T00:00:00"/>
    <s v="521 Burning Wood Trail"/>
    <n v="38"/>
    <n v="96"/>
    <s v="Discontinued"/>
    <n v="171"/>
    <n v="400.5"/>
    <x v="0"/>
    <x v="7"/>
    <n v="-17"/>
    <s v="Invalid Data"/>
  </r>
  <r>
    <s v="88-408-0310"/>
    <x v="6"/>
    <x v="3"/>
    <s v="91-002-3027"/>
    <s v="Flipopia"/>
    <n v="50"/>
    <n v="40"/>
    <n v="69"/>
    <s v="$2.50 "/>
    <n v="2.5"/>
    <s v="6/30/2024"/>
    <d v="2024-06-30T00:00:00"/>
    <s v="3/31/2024"/>
    <d v="2024-03-31T00:00:00"/>
    <s v="8/26/2024"/>
    <d v="2024-08-26T00:00:00"/>
    <s v="5 Mesta Center"/>
    <n v="28"/>
    <n v="98"/>
    <s v="Active"/>
    <n v="70"/>
    <n v="125"/>
    <x v="1"/>
    <x v="12"/>
    <n v="57"/>
    <s v="High Risk"/>
  </r>
  <r>
    <s v="73-997-6251"/>
    <x v="53"/>
    <x v="2"/>
    <s v="17-167-4304"/>
    <s v="Livetube"/>
    <n v="94"/>
    <n v="18"/>
    <n v="84"/>
    <s v="$4.50 "/>
    <n v="4.5"/>
    <d v="2025-04-01T00:00:00"/>
    <d v="2025-04-01T00:00:00"/>
    <s v="10/15/2024"/>
    <d v="2024-10-15T00:00:00"/>
    <s v="9/17/2024"/>
    <d v="2024-09-17T00:00:00"/>
    <s v="1666 Dayton Terrace"/>
    <n v="44"/>
    <n v="49"/>
    <s v="Discontinued"/>
    <n v="198"/>
    <n v="423"/>
    <x v="1"/>
    <x v="16"/>
    <n v="-196"/>
    <s v="Invalid Data"/>
  </r>
  <r>
    <s v="50-679-2072"/>
    <x v="79"/>
    <x v="3"/>
    <s v="81-588-5701"/>
    <s v="Thoughtmix"/>
    <n v="97"/>
    <n v="32"/>
    <n v="43"/>
    <s v="$2.30 "/>
    <n v="2.2999999999999998"/>
    <d v="2024-06-10T00:00:00"/>
    <d v="2024-06-10T00:00:00"/>
    <d v="2024-03-05T00:00:00"/>
    <d v="2024-03-05T00:00:00"/>
    <s v="5/30/2024"/>
    <d v="2024-05-30T00:00:00"/>
    <s v="20 Butterfield Lane"/>
    <n v="82"/>
    <n v="98"/>
    <s v="Active"/>
    <n v="188.6"/>
    <n v="223.1"/>
    <x v="1"/>
    <x v="12"/>
    <n v="-11"/>
    <s v="Invalid Data"/>
  </r>
  <r>
    <s v="89-673-1543"/>
    <x v="99"/>
    <x v="5"/>
    <s v="43-679-7350"/>
    <s v="Lajo"/>
    <n v="72"/>
    <n v="78"/>
    <n v="1"/>
    <s v="$4.00 "/>
    <n v="4"/>
    <d v="2024-10-11T00:00:00"/>
    <d v="2024-10-11T00:00:00"/>
    <s v="3/28/2024"/>
    <d v="2024-03-28T00:00:00"/>
    <d v="2025-03-01T00:00:00"/>
    <d v="2025-03-01T00:00:00"/>
    <s v="297 Petterle Way"/>
    <n v="85"/>
    <n v="30"/>
    <s v="Discontinued"/>
    <n v="340"/>
    <n v="288"/>
    <x v="0"/>
    <x v="7"/>
    <n v="141"/>
    <s v="Medium Risk"/>
  </r>
  <r>
    <s v="56-937-8675"/>
    <x v="58"/>
    <x v="4"/>
    <s v="37-996-3243"/>
    <s v="Trilith"/>
    <n v="62"/>
    <n v="91"/>
    <n v="14"/>
    <s v="$2.50 "/>
    <n v="2.5"/>
    <s v="9/21/2024"/>
    <d v="2024-09-21T00:00:00"/>
    <s v="5/31/2024"/>
    <d v="2024-05-31T00:00:00"/>
    <d v="2024-08-12T00:00:00"/>
    <d v="2024-08-12T00:00:00"/>
    <s v="668 Claremont Place"/>
    <n v="41"/>
    <n v="77"/>
    <s v="Discontinued"/>
    <n v="102.5"/>
    <n v="155"/>
    <x v="0"/>
    <x v="11"/>
    <n v="-40"/>
    <s v="Invalid Data"/>
  </r>
  <r>
    <s v="14-836-2894"/>
    <x v="110"/>
    <x v="2"/>
    <s v="82-157-4299"/>
    <s v="Jabbersphere"/>
    <n v="44"/>
    <n v="92"/>
    <n v="92"/>
    <s v="$3.50 "/>
    <n v="3.5"/>
    <d v="2024-08-03T00:00:00"/>
    <d v="2024-08-03T00:00:00"/>
    <d v="2025-11-01T00:00:00"/>
    <d v="2025-11-01T00:00:00"/>
    <s v="9/25/2024"/>
    <d v="2024-09-25T00:00:00"/>
    <s v="2 Hooker Terrace"/>
    <n v="41"/>
    <n v="61"/>
    <s v="Active"/>
    <n v="143.5"/>
    <n v="154"/>
    <x v="0"/>
    <x v="0"/>
    <n v="53"/>
    <s v="High Risk"/>
  </r>
  <r>
    <s v="87-903-3486"/>
    <x v="59"/>
    <x v="3"/>
    <s v="90-378-8463"/>
    <s v="Twitterbeat"/>
    <n v="21"/>
    <n v="25"/>
    <n v="39"/>
    <s v="$4.00 "/>
    <n v="4"/>
    <s v="7/30/2024"/>
    <d v="2024-07-30T00:00:00"/>
    <d v="2024-10-09T00:00:00"/>
    <d v="2024-10-09T00:00:00"/>
    <s v="2/29/2024"/>
    <d v="2024-02-29T00:00:00"/>
    <s v="99 Twin Pines Alley"/>
    <n v="79"/>
    <n v="30"/>
    <s v="Active"/>
    <n v="316"/>
    <n v="84"/>
    <x v="0"/>
    <x v="10"/>
    <n v="-152"/>
    <s v="Invalid Data"/>
  </r>
  <r>
    <s v="07-617-6934"/>
    <x v="111"/>
    <x v="0"/>
    <s v="48-700-8059"/>
    <s v="Feedfire"/>
    <n v="91"/>
    <n v="39"/>
    <n v="48"/>
    <s v="$5.00 "/>
    <n v="5"/>
    <s v="3/31/2024"/>
    <d v="2024-03-31T00:00:00"/>
    <s v="12/21/2024"/>
    <d v="2024-12-21T00:00:00"/>
    <s v="11/16/2024"/>
    <d v="2024-11-16T00:00:00"/>
    <s v="9262 Sullivan Crossing"/>
    <n v="48"/>
    <n v="18"/>
    <s v="Active"/>
    <n v="240"/>
    <n v="455"/>
    <x v="1"/>
    <x v="2"/>
    <n v="230"/>
    <s v="Low Risk"/>
  </r>
  <r>
    <s v="31-403-6234"/>
    <x v="82"/>
    <x v="6"/>
    <s v="00-258-2525"/>
    <s v="Thoughtbeat"/>
    <n v="87"/>
    <n v="24"/>
    <n v="66"/>
    <s v="$18.00 "/>
    <n v="18"/>
    <s v="5/20/2024"/>
    <d v="2024-05-20T00:00:00"/>
    <s v="11/24/2024"/>
    <d v="2024-11-24T00:00:00"/>
    <d v="2024-04-05T00:00:00"/>
    <d v="2024-04-05T00:00:00"/>
    <s v="35 Waxwing Center"/>
    <n v="22"/>
    <n v="34"/>
    <s v="Active"/>
    <n v="396"/>
    <n v="1566"/>
    <x v="1"/>
    <x v="8"/>
    <n v="-45"/>
    <s v="Invalid Data"/>
  </r>
  <r>
    <s v="29-092-3453"/>
    <x v="16"/>
    <x v="2"/>
    <s v="41-867-9911"/>
    <s v="Youbridge"/>
    <n v="61"/>
    <n v="17"/>
    <n v="69"/>
    <s v="$2.52 "/>
    <n v="2.52"/>
    <s v="5/22/2024"/>
    <d v="2024-05-22T00:00:00"/>
    <d v="2024-07-05T00:00:00"/>
    <d v="2024-07-05T00:00:00"/>
    <s v="6/17/2024"/>
    <d v="2024-06-17T00:00:00"/>
    <s v="676 Redwing Trail"/>
    <n v="31"/>
    <n v="29"/>
    <s v="Active"/>
    <n v="78.12"/>
    <n v="153.72"/>
    <x v="1"/>
    <x v="8"/>
    <n v="26"/>
    <s v="Critical"/>
  </r>
  <r>
    <s v="34-709-9237"/>
    <x v="45"/>
    <x v="2"/>
    <s v="66-680-8738"/>
    <s v="Gigaclub"/>
    <n v="61"/>
    <n v="81"/>
    <n v="99"/>
    <s v="$1.50 "/>
    <n v="1.5"/>
    <s v="10/27/2024"/>
    <d v="2024-10-27T00:00:00"/>
    <s v="3/13/2024"/>
    <d v="2024-03-13T00:00:00"/>
    <s v="4/24/2024"/>
    <d v="2024-04-24T00:00:00"/>
    <s v="1509 Hoard Circle"/>
    <n v="26"/>
    <n v="76"/>
    <s v="Discontinued"/>
    <n v="39"/>
    <n v="91.5"/>
    <x v="0"/>
    <x v="7"/>
    <n v="-186"/>
    <s v="Invalid Data"/>
  </r>
  <r>
    <s v="13-962-6263"/>
    <x v="116"/>
    <x v="2"/>
    <s v="26-061-5253"/>
    <s v="Trupe"/>
    <n v="49"/>
    <n v="1"/>
    <n v="28"/>
    <s v="$2.00 "/>
    <n v="2"/>
    <d v="2024-01-12T00:00:00"/>
    <d v="2024-01-12T00:00:00"/>
    <s v="12/23/2024"/>
    <d v="2024-12-23T00:00:00"/>
    <s v="11/18/2024"/>
    <d v="2024-11-18T00:00:00"/>
    <s v="7015 Ramsey Lane"/>
    <n v="97"/>
    <n v="95"/>
    <s v="Active"/>
    <n v="194"/>
    <n v="98"/>
    <x v="1"/>
    <x v="1"/>
    <n v="311"/>
    <s v="Low Risk"/>
  </r>
  <r>
    <s v="06-731-2162"/>
    <x v="35"/>
    <x v="2"/>
    <s v="17-546-8875"/>
    <s v="Meejo"/>
    <n v="87"/>
    <n v="1"/>
    <n v="98"/>
    <s v="$2.50 "/>
    <n v="2.5"/>
    <d v="2024-07-04T00:00:00"/>
    <d v="2024-07-04T00:00:00"/>
    <d v="2024-07-10T00:00:00"/>
    <d v="2024-07-10T00:00:00"/>
    <s v="7/19/2024"/>
    <d v="2024-07-19T00:00:00"/>
    <s v="30968 Anzinger Court"/>
    <n v="61"/>
    <n v="84"/>
    <s v="Discontinued"/>
    <n v="152.5"/>
    <n v="217.5"/>
    <x v="1"/>
    <x v="10"/>
    <n v="15"/>
    <s v="Critical"/>
  </r>
  <r>
    <s v="10-768-2443"/>
    <x v="38"/>
    <x v="5"/>
    <s v="44-451-2764"/>
    <s v="Katz"/>
    <n v="93"/>
    <n v="55"/>
    <n v="95"/>
    <s v="$3.25 "/>
    <n v="3.25"/>
    <d v="2025-11-02T00:00:00"/>
    <d v="2025-11-02T00:00:00"/>
    <d v="2024-05-03T00:00:00"/>
    <d v="2024-05-03T00:00:00"/>
    <s v="12/19/2024"/>
    <d v="2024-12-19T00:00:00"/>
    <s v="4 Orin Lane"/>
    <n v="56"/>
    <n v="72"/>
    <s v="Backordered"/>
    <n v="182"/>
    <n v="302.25"/>
    <x v="1"/>
    <x v="22"/>
    <n v="-318"/>
    <s v="Invalid Data"/>
  </r>
  <r>
    <s v="36-372-2295"/>
    <x v="96"/>
    <x v="0"/>
    <s v="85-823-7428"/>
    <s v="Skimia"/>
    <n v="55"/>
    <n v="13"/>
    <n v="71"/>
    <s v="$4.45 "/>
    <n v="4.45"/>
    <s v="4/26/2024"/>
    <d v="2024-04-26T00:00:00"/>
    <s v="10/22/2024"/>
    <d v="2024-10-22T00:00:00"/>
    <s v="4/14/2024"/>
    <d v="2024-04-14T00:00:00"/>
    <s v="98 Bartillon Trail"/>
    <n v="37"/>
    <n v="4"/>
    <s v="Backordered"/>
    <n v="164.65"/>
    <n v="244.75"/>
    <x v="1"/>
    <x v="4"/>
    <n v="-12"/>
    <s v="Invalid Data"/>
  </r>
  <r>
    <s v="34-538-1180"/>
    <x v="84"/>
    <x v="4"/>
    <s v="40-907-4937"/>
    <s v="Voonder"/>
    <n v="29"/>
    <n v="39"/>
    <n v="80"/>
    <s v="$4.00 "/>
    <n v="4"/>
    <s v="5/29/2024"/>
    <d v="2024-05-29T00:00:00"/>
    <d v="2024-03-11T00:00:00"/>
    <d v="2024-03-11T00:00:00"/>
    <d v="2024-06-04T00:00:00"/>
    <d v="2024-06-04T00:00:00"/>
    <s v="19 Aberg Trail"/>
    <n v="23"/>
    <n v="85"/>
    <s v="Backordered"/>
    <n v="92"/>
    <n v="116"/>
    <x v="0"/>
    <x v="8"/>
    <n v="6"/>
    <s v="Critical"/>
  </r>
  <r>
    <s v="98-148-0940"/>
    <x v="120"/>
    <x v="4"/>
    <s v="06-175-9657"/>
    <s v="Babblestorm"/>
    <n v="63"/>
    <n v="62"/>
    <n v="18"/>
    <s v="$0.20 "/>
    <n v="0.2"/>
    <s v="4/17/2024"/>
    <d v="2024-04-17T00:00:00"/>
    <d v="2024-02-04T00:00:00"/>
    <d v="2024-02-04T00:00:00"/>
    <d v="2024-05-11T00:00:00"/>
    <d v="2024-05-11T00:00:00"/>
    <s v="588 Waywood Trail"/>
    <n v="67"/>
    <n v="17"/>
    <s v="Active"/>
    <n v="13.4"/>
    <n v="12.600000000000001"/>
    <x v="1"/>
    <x v="4"/>
    <n v="24"/>
    <s v="Critical"/>
  </r>
  <r>
    <s v="38-390-2115"/>
    <x v="55"/>
    <x v="2"/>
    <s v="12-433-6490"/>
    <s v="Rhyzio"/>
    <n v="42"/>
    <n v="69"/>
    <n v="54"/>
    <s v="$1.20 "/>
    <n v="1.2"/>
    <s v="1/19/2025"/>
    <d v="2025-01-19T00:00:00"/>
    <d v="2024-06-03T00:00:00"/>
    <d v="2024-06-03T00:00:00"/>
    <d v="2024-01-03T00:00:00"/>
    <d v="2024-01-03T00:00:00"/>
    <s v="3 Del Mar Point"/>
    <n v="43"/>
    <n v="96"/>
    <s v="Active"/>
    <n v="51.6"/>
    <n v="50.4"/>
    <x v="0"/>
    <x v="13"/>
    <n v="-382"/>
    <s v="Invalid Data"/>
  </r>
  <r>
    <s v="02-974-8526"/>
    <x v="31"/>
    <x v="2"/>
    <s v="09-387-1119"/>
    <s v="Mudo"/>
    <n v="74"/>
    <n v="4"/>
    <n v="39"/>
    <s v="$2.00 "/>
    <n v="2"/>
    <s v="12/26/2024"/>
    <d v="2024-12-26T00:00:00"/>
    <d v="2024-05-04T00:00:00"/>
    <d v="2024-05-04T00:00:00"/>
    <d v="2024-07-08T00:00:00"/>
    <d v="2024-07-08T00:00:00"/>
    <s v="42 Green Ridge Terrace"/>
    <n v="97"/>
    <n v="24"/>
    <s v="Backordered"/>
    <n v="194"/>
    <n v="148"/>
    <x v="1"/>
    <x v="6"/>
    <n v="-171"/>
    <s v="Invalid Data"/>
  </r>
  <r>
    <s v="29-377-7040"/>
    <x v="33"/>
    <x v="0"/>
    <s v="59-979-6740"/>
    <s v="Brightdog"/>
    <n v="22"/>
    <n v="77"/>
    <n v="15"/>
    <s v="$3.00 "/>
    <n v="3"/>
    <d v="2024-11-04T00:00:00"/>
    <d v="2024-11-04T00:00:00"/>
    <s v="5/29/2024"/>
    <d v="2024-05-29T00:00:00"/>
    <s v="7/29/2024"/>
    <d v="2024-07-29T00:00:00"/>
    <s v="9431 Clarendon Pass"/>
    <n v="68"/>
    <n v="46"/>
    <s v="Active"/>
    <n v="204"/>
    <n v="66"/>
    <x v="0"/>
    <x v="5"/>
    <n v="-98"/>
    <s v="Invalid Data"/>
  </r>
  <r>
    <s v="84-327-7787"/>
    <x v="120"/>
    <x v="4"/>
    <s v="97-571-0561"/>
    <s v="Bubblemix"/>
    <n v="83"/>
    <n v="35"/>
    <n v="43"/>
    <s v="$0.20 "/>
    <n v="0.2"/>
    <s v="8/14/2024"/>
    <d v="2024-08-14T00:00:00"/>
    <s v="8/26/2024"/>
    <d v="2024-08-26T00:00:00"/>
    <d v="2024-06-09T00:00:00"/>
    <d v="2024-06-09T00:00:00"/>
    <s v="739 Rowland Way"/>
    <n v="94"/>
    <n v="68"/>
    <s v="Discontinued"/>
    <n v="18.8"/>
    <n v="16.600000000000001"/>
    <x v="1"/>
    <x v="0"/>
    <n v="-66"/>
    <s v="Invalid Data"/>
  </r>
  <r>
    <s v="82-231-4245"/>
    <x v="114"/>
    <x v="0"/>
    <s v="96-177-4040"/>
    <s v="Kayveo"/>
    <n v="32"/>
    <n v="91"/>
    <n v="80"/>
    <s v="$10.00 "/>
    <n v="10"/>
    <s v="10/18/2024"/>
    <d v="2024-10-18T00:00:00"/>
    <s v="8/28/2024"/>
    <d v="2024-08-28T00:00:00"/>
    <s v="1/16/2025"/>
    <d v="2025-01-16T00:00:00"/>
    <s v="77 Monument Court"/>
    <n v="69"/>
    <n v="80"/>
    <s v="Discontinued"/>
    <n v="690"/>
    <n v="320"/>
    <x v="0"/>
    <x v="7"/>
    <n v="90"/>
    <s v="High Risk"/>
  </r>
  <r>
    <s v="70-005-5970"/>
    <x v="110"/>
    <x v="2"/>
    <s v="18-490-4140"/>
    <s v="Skaboo"/>
    <n v="84"/>
    <n v="46"/>
    <n v="80"/>
    <s v="$3.50 "/>
    <n v="3.5"/>
    <s v="5/18/2024"/>
    <d v="2024-05-18T00:00:00"/>
    <d v="2024-02-10T00:00:00"/>
    <d v="2024-02-10T00:00:00"/>
    <s v="12/24/2024"/>
    <d v="2024-12-24T00:00:00"/>
    <s v="82955 Dayton Street"/>
    <n v="66"/>
    <n v="84"/>
    <s v="Discontinued"/>
    <n v="231"/>
    <n v="294"/>
    <x v="1"/>
    <x v="8"/>
    <n v="220"/>
    <s v="Low Risk"/>
  </r>
  <r>
    <s v="63-936-0145"/>
    <x v="4"/>
    <x v="2"/>
    <s v="69-415-3675"/>
    <s v="Thoughtbeat"/>
    <n v="22"/>
    <n v="56"/>
    <n v="72"/>
    <s v="$4.00 "/>
    <n v="4"/>
    <d v="2024-09-04T00:00:00"/>
    <d v="2024-09-04T00:00:00"/>
    <d v="2024-08-06T00:00:00"/>
    <d v="2024-08-06T00:00:00"/>
    <d v="2024-03-12T00:00:00"/>
    <d v="2024-03-12T00:00:00"/>
    <s v="95 Kingsford Terrace"/>
    <n v="70"/>
    <n v="39"/>
    <s v="Discontinued"/>
    <n v="280"/>
    <n v="88"/>
    <x v="0"/>
    <x v="11"/>
    <n v="-176"/>
    <s v="Invalid Data"/>
  </r>
  <r>
    <s v="08-196-2703"/>
    <x v="57"/>
    <x v="2"/>
    <s v="34-315-1199"/>
    <s v="Youbridge"/>
    <n v="100"/>
    <n v="52"/>
    <n v="2"/>
    <s v="$3.00 "/>
    <n v="3"/>
    <d v="2024-08-03T00:00:00"/>
    <d v="2024-08-03T00:00:00"/>
    <s v="11/29/2024"/>
    <d v="2024-11-29T00:00:00"/>
    <s v="10/17/2024"/>
    <d v="2024-10-17T00:00:00"/>
    <s v="56 Esker Park"/>
    <n v="86"/>
    <n v="70"/>
    <s v="Backordered"/>
    <n v="258"/>
    <n v="300"/>
    <x v="1"/>
    <x v="0"/>
    <n v="75"/>
    <s v="High Risk"/>
  </r>
  <r>
    <s v="22-778-3553"/>
    <x v="88"/>
    <x v="4"/>
    <s v="49-590-1752"/>
    <s v="Quaxo"/>
    <n v="36"/>
    <n v="77"/>
    <n v="49"/>
    <s v="$9.00 "/>
    <n v="9"/>
    <d v="2024-10-04T00:00:00"/>
    <d v="2024-10-04T00:00:00"/>
    <s v="10/24/2024"/>
    <d v="2024-10-24T00:00:00"/>
    <d v="2025-09-02T00:00:00"/>
    <d v="2025-09-02T00:00:00"/>
    <s v="0782 Dapin Avenue"/>
    <n v="30"/>
    <n v="84"/>
    <s v="Active"/>
    <n v="270"/>
    <n v="324"/>
    <x v="0"/>
    <x v="7"/>
    <n v="333"/>
    <s v="Low Risk"/>
  </r>
  <r>
    <s v="37-610-1999"/>
    <x v="105"/>
    <x v="6"/>
    <s v="19-985-9694"/>
    <s v="Wikizz"/>
    <n v="14"/>
    <n v="67"/>
    <n v="65"/>
    <s v="$20.00 "/>
    <n v="20"/>
    <s v="3/14/2024"/>
    <d v="2024-03-14T00:00:00"/>
    <s v="10/19/2024"/>
    <d v="2024-10-19T00:00:00"/>
    <s v="10/19/2024"/>
    <d v="2024-10-19T00:00:00"/>
    <s v="3 John Wall Point"/>
    <n v="71"/>
    <n v="94"/>
    <s v="Discontinued"/>
    <n v="1420"/>
    <n v="280"/>
    <x v="0"/>
    <x v="2"/>
    <n v="219"/>
    <s v="Low Risk"/>
  </r>
  <r>
    <s v="09-618-2842"/>
    <x v="10"/>
    <x v="0"/>
    <s v="68-415-1025"/>
    <s v="Yambee"/>
    <n v="38"/>
    <n v="82"/>
    <n v="17"/>
    <s v="$2.00 "/>
    <n v="2"/>
    <s v="12/29/2024"/>
    <d v="2024-12-29T00:00:00"/>
    <s v="3/21/2024"/>
    <d v="2024-03-21T00:00:00"/>
    <d v="2024-06-08T00:00:00"/>
    <d v="2024-06-08T00:00:00"/>
    <s v="642 Arizona Point"/>
    <n v="52"/>
    <n v="47"/>
    <s v="Discontinued"/>
    <n v="104"/>
    <n v="76"/>
    <x v="0"/>
    <x v="6"/>
    <n v="-204"/>
    <s v="Invalid Data"/>
  </r>
  <r>
    <s v="28-968-4195"/>
    <x v="51"/>
    <x v="2"/>
    <s v="17-562-1176"/>
    <s v="Blogtag"/>
    <n v="97"/>
    <n v="52"/>
    <n v="80"/>
    <s v="$3.00 "/>
    <n v="3"/>
    <s v="1/19/2025"/>
    <d v="2025-01-19T00:00:00"/>
    <s v="7/17/2024"/>
    <d v="2024-07-17T00:00:00"/>
    <s v="10/13/2024"/>
    <d v="2024-10-13T00:00:00"/>
    <s v="5 Loftsgordon Trail"/>
    <n v="22"/>
    <n v="90"/>
    <s v="Backordered"/>
    <n v="66"/>
    <n v="291"/>
    <x v="1"/>
    <x v="13"/>
    <n v="-98"/>
    <s v="Invalid Data"/>
  </r>
  <r>
    <s v="55-680-0982"/>
    <x v="85"/>
    <x v="1"/>
    <s v="57-412-5368"/>
    <s v="Jetpulse"/>
    <n v="64"/>
    <n v="66"/>
    <n v="28"/>
    <s v="$8.00 "/>
    <n v="8"/>
    <s v="5/28/2024"/>
    <d v="2024-05-28T00:00:00"/>
    <s v="1/14/2025"/>
    <d v="2025-01-14T00:00:00"/>
    <s v="8/19/2024"/>
    <d v="2024-08-19T00:00:00"/>
    <s v="0 Sutteridge Trail"/>
    <n v="25"/>
    <n v="52"/>
    <s v="Discontinued"/>
    <n v="200"/>
    <n v="512"/>
    <x v="0"/>
    <x v="8"/>
    <n v="83"/>
    <s v="High Risk"/>
  </r>
  <r>
    <s v="43-851-9440"/>
    <x v="98"/>
    <x v="2"/>
    <s v="67-674-0287"/>
    <s v="Camido"/>
    <n v="14"/>
    <n v="75"/>
    <n v="19"/>
    <s v="$1.90 "/>
    <n v="1.9"/>
    <s v="12/24/2024"/>
    <d v="2024-12-24T00:00:00"/>
    <d v="2024-11-05T00:00:00"/>
    <d v="2024-11-05T00:00:00"/>
    <d v="2024-04-03T00:00:00"/>
    <d v="2024-04-03T00:00:00"/>
    <s v="4033 Sloan Hill"/>
    <n v="100"/>
    <n v="84"/>
    <s v="Backordered"/>
    <n v="190"/>
    <n v="26.599999999999998"/>
    <x v="0"/>
    <x v="6"/>
    <n v="-265"/>
    <s v="Invalid Data"/>
  </r>
  <r>
    <s v="14-331-3739"/>
    <x v="80"/>
    <x v="3"/>
    <s v="87-159-6467"/>
    <s v="Voolith"/>
    <n v="24"/>
    <n v="89"/>
    <n v="27"/>
    <s v="$10.00 "/>
    <n v="10"/>
    <d v="2024-10-04T00:00:00"/>
    <d v="2024-10-04T00:00:00"/>
    <s v="10/15/2024"/>
    <d v="2024-10-15T00:00:00"/>
    <s v="3/28/2024"/>
    <d v="2024-03-28T00:00:00"/>
    <s v="8 Thackeray Drive"/>
    <n v="99"/>
    <n v="1"/>
    <s v="Discontinued"/>
    <n v="990"/>
    <n v="240"/>
    <x v="0"/>
    <x v="7"/>
    <n v="-190"/>
    <s v="Invalid Data"/>
  </r>
  <r>
    <s v="54-830-6971"/>
    <x v="70"/>
    <x v="6"/>
    <s v="94-006-6480"/>
    <s v="Dynava"/>
    <n v="100"/>
    <n v="61"/>
    <n v="21"/>
    <s v="$7.00 "/>
    <n v="7"/>
    <s v="9/21/2024"/>
    <d v="2024-09-21T00:00:00"/>
    <s v="12/25/2024"/>
    <d v="2024-12-25T00:00:00"/>
    <s v="5/18/2024"/>
    <d v="2024-05-18T00:00:00"/>
    <s v="674 Ryan Alley"/>
    <n v="85"/>
    <n v="79"/>
    <s v="Backordered"/>
    <n v="595"/>
    <n v="700"/>
    <x v="1"/>
    <x v="11"/>
    <n v="-126"/>
    <s v="Invalid Data"/>
  </r>
  <r>
    <s v="53-008-2419"/>
    <x v="65"/>
    <x v="0"/>
    <s v="86-841-6074"/>
    <s v="Skyba"/>
    <n v="62"/>
    <n v="36"/>
    <n v="96"/>
    <s v="$4.75 "/>
    <n v="4.75"/>
    <d v="2024-03-04T00:00:00"/>
    <d v="2024-03-04T00:00:00"/>
    <d v="2024-10-04T00:00:00"/>
    <d v="2024-10-04T00:00:00"/>
    <s v="5/27/2024"/>
    <d v="2024-05-27T00:00:00"/>
    <s v="63 Debra Park"/>
    <n v="31"/>
    <n v="25"/>
    <s v="Discontinued"/>
    <n v="147.25"/>
    <n v="294.5"/>
    <x v="1"/>
    <x v="2"/>
    <n v="84"/>
    <s v="High Risk"/>
  </r>
  <r>
    <s v="39-358-3340"/>
    <x v="96"/>
    <x v="0"/>
    <s v="86-841-4440"/>
    <s v="Yamia"/>
    <n v="71"/>
    <n v="60"/>
    <n v="62"/>
    <s v="$4.50 "/>
    <n v="4.5"/>
    <s v="8/27/2024"/>
    <d v="2024-08-27T00:00:00"/>
    <s v="3/25/2024"/>
    <d v="2024-03-25T00:00:00"/>
    <s v="3/14/2024"/>
    <d v="2024-03-14T00:00:00"/>
    <s v="308 Doe Crossing Pass"/>
    <n v="60"/>
    <n v="63"/>
    <s v="Discontinued"/>
    <n v="270"/>
    <n v="319.5"/>
    <x v="1"/>
    <x v="0"/>
    <n v="-166"/>
    <s v="Invalid Data"/>
  </r>
  <r>
    <s v="28-146-2641"/>
    <x v="20"/>
    <x v="4"/>
    <s v="82-995-0739"/>
    <s v="BlogXS"/>
    <n v="38"/>
    <n v="67"/>
    <n v="66"/>
    <s v="$12.00 "/>
    <n v="12"/>
    <d v="2024-01-04T00:00:00"/>
    <d v="2024-01-04T00:00:00"/>
    <s v="12/21/2024"/>
    <d v="2024-12-21T00:00:00"/>
    <d v="2024-08-04T00:00:00"/>
    <d v="2024-08-04T00:00:00"/>
    <s v="73 Graedel Street"/>
    <n v="35"/>
    <n v="24"/>
    <s v="Discontinued"/>
    <n v="420"/>
    <n v="456"/>
    <x v="0"/>
    <x v="1"/>
    <n v="213"/>
    <s v="Low Risk"/>
  </r>
  <r>
    <s v="83-556-0996"/>
    <x v="86"/>
    <x v="0"/>
    <s v="81-234-0741"/>
    <s v="Jabberstorm"/>
    <n v="88"/>
    <n v="34"/>
    <n v="94"/>
    <s v="$2.40 "/>
    <n v="2.4"/>
    <s v="12/27/2024"/>
    <d v="2024-12-27T00:00:00"/>
    <s v="2/20/2025"/>
    <d v="2025-02-20T00:00:00"/>
    <s v="10/30/2024"/>
    <d v="2024-10-30T00:00:00"/>
    <s v="53 Forest Run Plaza"/>
    <n v="95"/>
    <n v="63"/>
    <s v="Active"/>
    <n v="228"/>
    <n v="211.2"/>
    <x v="1"/>
    <x v="6"/>
    <n v="-58"/>
    <s v="Invalid Data"/>
  </r>
  <r>
    <s v="53-805-9523"/>
    <x v="40"/>
    <x v="5"/>
    <s v="99-864-0256"/>
    <s v="Rhyloo"/>
    <n v="40"/>
    <n v="30"/>
    <n v="65"/>
    <s v="$4.50 "/>
    <n v="4.5"/>
    <d v="2024-02-07T00:00:00"/>
    <d v="2024-02-07T00:00:00"/>
    <s v="3/19/2024"/>
    <d v="2024-03-19T00:00:00"/>
    <s v="5/14/2024"/>
    <d v="2024-05-14T00:00:00"/>
    <s v="94 Mallory Center"/>
    <n v="54"/>
    <n v="29"/>
    <s v="Active"/>
    <n v="243"/>
    <n v="180"/>
    <x v="1"/>
    <x v="9"/>
    <n v="97"/>
    <s v="Medium Risk"/>
  </r>
  <r>
    <s v="82-977-7752"/>
    <x v="16"/>
    <x v="2"/>
    <s v="57-473-8672"/>
    <s v="Shuffledrive"/>
    <n v="88"/>
    <n v="78"/>
    <n v="17"/>
    <s v="$2.50 "/>
    <n v="2.5"/>
    <d v="2024-06-09T00:00:00"/>
    <d v="2024-06-09T00:00:00"/>
    <s v="12/28/2024"/>
    <d v="2024-12-28T00:00:00"/>
    <d v="2024-04-11T00:00:00"/>
    <d v="2024-04-11T00:00:00"/>
    <s v="58 Corscot Terrace"/>
    <n v="58"/>
    <n v="21"/>
    <s v="Active"/>
    <n v="145"/>
    <n v="220"/>
    <x v="1"/>
    <x v="12"/>
    <n v="-59"/>
    <s v="Invalid Data"/>
  </r>
  <r>
    <s v="62-393-9939"/>
    <x v="88"/>
    <x v="4"/>
    <s v="93-877-9384"/>
    <s v="Gabcube"/>
    <n v="60"/>
    <n v="9"/>
    <n v="89"/>
    <s v="$9.00 "/>
    <n v="9"/>
    <d v="2024-01-06T00:00:00"/>
    <d v="2024-01-06T00:00:00"/>
    <d v="2024-02-06T00:00:00"/>
    <d v="2024-02-06T00:00:00"/>
    <d v="2024-05-10T00:00:00"/>
    <d v="2024-05-10T00:00:00"/>
    <s v="5 Oxford Pass"/>
    <n v="95"/>
    <n v="63"/>
    <s v="Active"/>
    <n v="855"/>
    <n v="540"/>
    <x v="1"/>
    <x v="1"/>
    <n v="125"/>
    <s v="Medium Risk"/>
  </r>
  <r>
    <s v="31-745-6850"/>
    <x v="19"/>
    <x v="2"/>
    <s v="96-215-2767"/>
    <s v="Lajo"/>
    <n v="94"/>
    <n v="90"/>
    <n v="12"/>
    <s v="$0.90 "/>
    <n v="0.9"/>
    <d v="2024-03-10T00:00:00"/>
    <d v="2024-03-10T00:00:00"/>
    <s v="10/24/2024"/>
    <d v="2024-10-24T00:00:00"/>
    <d v="2024-01-11T00:00:00"/>
    <d v="2024-01-11T00:00:00"/>
    <s v="081 Jana Lane"/>
    <n v="98"/>
    <n v="71"/>
    <s v="Active"/>
    <n v="88.2"/>
    <n v="84.600000000000009"/>
    <x v="1"/>
    <x v="2"/>
    <n v="-59"/>
    <s v="Invalid Data"/>
  </r>
  <r>
    <s v="86-692-2312"/>
    <x v="80"/>
    <x v="3"/>
    <s v="77-783-4107"/>
    <s v="Dazzlesphere"/>
    <n v="30"/>
    <n v="48"/>
    <n v="52"/>
    <s v="$10.00 "/>
    <n v="10"/>
    <d v="2024-11-06T00:00:00"/>
    <d v="2024-11-06T00:00:00"/>
    <d v="2024-07-12T00:00:00"/>
    <d v="2024-07-12T00:00:00"/>
    <s v="4/30/2024"/>
    <d v="2024-04-30T00:00:00"/>
    <s v="00616 Manitowish Parkway"/>
    <n v="22"/>
    <n v="78"/>
    <s v="Active"/>
    <n v="220"/>
    <n v="300"/>
    <x v="0"/>
    <x v="5"/>
    <n v="-190"/>
    <s v="Invalid Data"/>
  </r>
  <r>
    <s v="28-044-4102"/>
    <x v="108"/>
    <x v="2"/>
    <s v="93-358-1118"/>
    <s v="Yakijo"/>
    <n v="19"/>
    <n v="28"/>
    <n v="83"/>
    <s v="$4.50 "/>
    <n v="4.5"/>
    <s v="11/26/2024"/>
    <d v="2024-11-26T00:00:00"/>
    <d v="2024-01-03T00:00:00"/>
    <d v="2024-01-03T00:00:00"/>
    <s v="8/27/2024"/>
    <d v="2024-08-27T00:00:00"/>
    <s v="309 Burning Wood Center"/>
    <n v="91"/>
    <n v="73"/>
    <s v="Discontinued"/>
    <n v="409.5"/>
    <n v="85.5"/>
    <x v="0"/>
    <x v="5"/>
    <n v="-91"/>
    <s v="Invalid Dat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788EC9-4482-4D2D-A13A-F82B3C4C43AC}" name="tbl_reorder status %"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4:B17" firstHeaderRow="1" firstDataRow="1" firstDataCol="1"/>
  <pivotFields count="29">
    <pivotField dataField="1" showAll="0"/>
    <pivotField showAll="0"/>
    <pivotField showAll="0">
      <items count="8">
        <item x="5"/>
        <item x="1"/>
        <item x="4"/>
        <item x="2"/>
        <item x="0"/>
        <item x="3"/>
        <item x="6"/>
        <item t="default"/>
      </items>
    </pivotField>
    <pivotField showAll="0"/>
    <pivotField showAll="0"/>
    <pivotField showAll="0"/>
    <pivotField showAll="0"/>
    <pivotField showAll="0"/>
    <pivotField showAll="0"/>
    <pivotField numFmtId="164" showAll="0"/>
    <pivotField showAll="0"/>
    <pivotField numFmtId="14" showAll="0"/>
    <pivotField showAll="0"/>
    <pivotField numFmtId="14" showAll="0"/>
    <pivotField showAll="0"/>
    <pivotField numFmtId="14" showAll="0"/>
    <pivotField showAll="0"/>
    <pivotField showAll="0"/>
    <pivotField showAll="0"/>
    <pivotField showAll="0"/>
    <pivotField numFmtId="164" showAll="0"/>
    <pivotField numFmtId="164" showAll="0"/>
    <pivotField axis="axisRow" showAll="0">
      <items count="3">
        <item x="0"/>
        <item x="1"/>
        <item t="default"/>
      </items>
    </pivotField>
    <pivotField numFmtId="165" showAll="0">
      <items count="25">
        <item x="1"/>
        <item x="9"/>
        <item x="2"/>
        <item x="4"/>
        <item x="8"/>
        <item x="12"/>
        <item x="10"/>
        <item x="0"/>
        <item x="11"/>
        <item x="7"/>
        <item x="5"/>
        <item x="6"/>
        <item x="13"/>
        <item x="14"/>
        <item x="3"/>
        <item x="16"/>
        <item x="21"/>
        <item x="15"/>
        <item x="19"/>
        <item x="18"/>
        <item x="20"/>
        <item x="17"/>
        <item x="22"/>
        <item x="23"/>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22"/>
  </rowFields>
  <rowItems count="3">
    <i>
      <x/>
    </i>
    <i>
      <x v="1"/>
    </i>
    <i t="grand">
      <x/>
    </i>
  </rowItems>
  <colItems count="1">
    <i/>
  </colItems>
  <dataFields count="1">
    <dataField name="Count of Produc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91495C-2FE5-4F93-BEBB-387E517604F5}" name="tbl_key_metric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E4" firstHeaderRow="0" firstDataRow="1" firstDataCol="0"/>
  <pivotFields count="29">
    <pivotField dataField="1" showAll="0"/>
    <pivotField showAll="0"/>
    <pivotField showAll="0">
      <items count="8">
        <item x="5"/>
        <item x="1"/>
        <item x="4"/>
        <item x="2"/>
        <item x="0"/>
        <item x="3"/>
        <item x="6"/>
        <item t="default"/>
      </items>
    </pivotField>
    <pivotField showAll="0"/>
    <pivotField showAll="0"/>
    <pivotField showAll="0"/>
    <pivotField showAll="0"/>
    <pivotField showAll="0"/>
    <pivotField showAll="0"/>
    <pivotField numFmtId="164" showAll="0"/>
    <pivotField showAll="0"/>
    <pivotField numFmtId="14" showAll="0"/>
    <pivotField showAll="0"/>
    <pivotField numFmtId="14" showAll="0"/>
    <pivotField showAll="0"/>
    <pivotField numFmtId="14" showAll="0"/>
    <pivotField showAll="0"/>
    <pivotField dataField="1" showAll="0"/>
    <pivotField dataField="1" showAll="0"/>
    <pivotField showAll="0"/>
    <pivotField dataField="1" numFmtId="164" showAll="0"/>
    <pivotField dataField="1" numFmtId="164" showAll="0"/>
    <pivotField showAll="0">
      <items count="3">
        <item x="0"/>
        <item h="1" x="1"/>
        <item t="default"/>
      </items>
    </pivotField>
    <pivotField numFmtId="165" showAll="0">
      <items count="25">
        <item x="1"/>
        <item x="9"/>
        <item x="2"/>
        <item x="4"/>
        <item x="8"/>
        <item x="12"/>
        <item x="10"/>
        <item x="0"/>
        <item x="11"/>
        <item x="7"/>
        <item x="5"/>
        <item x="6"/>
        <item x="13"/>
        <item x="14"/>
        <item x="3"/>
        <item x="16"/>
        <item x="21"/>
        <item x="15"/>
        <item x="19"/>
        <item x="18"/>
        <item x="20"/>
        <item x="17"/>
        <item x="22"/>
        <item x="23"/>
        <item t="default"/>
      </items>
    </pivotField>
    <pivotField showAll="0"/>
    <pivotField showAll="0"/>
    <pivotField showAll="0" defaultSubtotal="0"/>
    <pivotField showAll="0" defaultSubtotal="0"/>
    <pivotField showAll="0" defaultSubtotal="0">
      <items count="4">
        <item x="0"/>
        <item x="1"/>
        <item x="2"/>
        <item x="3"/>
      </items>
    </pivotField>
  </pivotFields>
  <rowItems count="1">
    <i/>
  </rowItems>
  <colFields count="1">
    <field x="-2"/>
  </colFields>
  <colItems count="5">
    <i>
      <x/>
    </i>
    <i i="1">
      <x v="1"/>
    </i>
    <i i="2">
      <x v="2"/>
    </i>
    <i i="3">
      <x v="3"/>
    </i>
    <i i="4">
      <x v="4"/>
    </i>
  </colItems>
  <dataFields count="5">
    <dataField name="Count of Product_ID" fld="0" subtotal="count" baseField="0" baseItem="0"/>
    <dataField name="Sum of REVENUE" fld="20" baseField="0" baseItem="0" numFmtId="167"/>
    <dataField name="Sum of INVENTORY_VALUE" fld="21" baseField="0" baseItem="0" numFmtId="167"/>
    <dataField name="Sum of Sales_Volume" fld="17" baseField="0" baseItem="0" numFmtId="168"/>
    <dataField name="Average of Inventory_Turnover_Rate" fld="18" subtotal="average" baseField="0" baseItem="1" numFmtId="2"/>
  </dataFields>
  <formats count="4">
    <format dxfId="54">
      <pivotArea outline="0" collapsedLevelsAreSubtotals="1" fieldPosition="0">
        <references count="1">
          <reference field="4294967294" count="1" selected="0">
            <x v="1"/>
          </reference>
        </references>
      </pivotArea>
    </format>
    <format dxfId="53">
      <pivotArea outline="0" collapsedLevelsAreSubtotals="1" fieldPosition="0">
        <references count="1">
          <reference field="4294967294" count="1" selected="0">
            <x v="4"/>
          </reference>
        </references>
      </pivotArea>
    </format>
    <format dxfId="52">
      <pivotArea outline="0" collapsedLevelsAreSubtotals="1" fieldPosition="0">
        <references count="1">
          <reference field="4294967294" count="1" selected="0">
            <x v="3"/>
          </reference>
        </references>
      </pivotArea>
    </format>
    <format dxfId="5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B5F6AC-8309-4DB4-B041-0465A94A2732}" name="tbl_Monthly _Trend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16" firstHeaderRow="1" firstDataRow="1" firstDataCol="1"/>
  <pivotFields count="29">
    <pivotField showAll="0"/>
    <pivotField showAll="0"/>
    <pivotField showAll="0">
      <items count="8">
        <item x="5"/>
        <item x="1"/>
        <item x="4"/>
        <item x="2"/>
        <item x="0"/>
        <item x="3"/>
        <item x="6"/>
        <item t="default"/>
      </items>
    </pivotField>
    <pivotField showAll="0"/>
    <pivotField showAll="0"/>
    <pivotField showAll="0"/>
    <pivotField showAll="0"/>
    <pivotField showAll="0"/>
    <pivotField showAll="0"/>
    <pivotField numFmtId="164" showAll="0"/>
    <pivotField showAll="0"/>
    <pivotField numFmtId="14" showAll="0"/>
    <pivotField showAll="0"/>
    <pivotField numFmtId="14" showAll="0"/>
    <pivotField showAll="0"/>
    <pivotField numFmtId="14" showAll="0"/>
    <pivotField showAll="0"/>
    <pivotField dataField="1" showAll="0"/>
    <pivotField showAll="0"/>
    <pivotField showAll="0"/>
    <pivotField numFmtId="164" showAll="0"/>
    <pivotField numFmtId="164" showAll="0"/>
    <pivotField showAll="0">
      <items count="3">
        <item x="0"/>
        <item h="1" x="1"/>
        <item t="default"/>
      </items>
    </pivotField>
    <pivotField axis="axisRow" numFmtId="165" showAll="0">
      <items count="25">
        <item x="1"/>
        <item x="9"/>
        <item x="2"/>
        <item x="4"/>
        <item x="8"/>
        <item x="12"/>
        <item x="10"/>
        <item x="0"/>
        <item x="11"/>
        <item x="7"/>
        <item x="5"/>
        <item x="6"/>
        <item x="13"/>
        <item x="14"/>
        <item x="3"/>
        <item x="16"/>
        <item x="21"/>
        <item x="15"/>
        <item x="19"/>
        <item x="18"/>
        <item x="20"/>
        <item x="17"/>
        <item x="22"/>
        <item x="23"/>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26"/>
    <field x="23"/>
  </rowFields>
  <rowItems count="13">
    <i>
      <x v="1"/>
    </i>
    <i>
      <x v="2"/>
    </i>
    <i>
      <x v="3"/>
    </i>
    <i>
      <x v="4"/>
    </i>
    <i>
      <x v="5"/>
    </i>
    <i>
      <x v="6"/>
    </i>
    <i>
      <x v="7"/>
    </i>
    <i>
      <x v="8"/>
    </i>
    <i>
      <x v="9"/>
    </i>
    <i>
      <x v="10"/>
    </i>
    <i>
      <x v="11"/>
    </i>
    <i>
      <x v="12"/>
    </i>
    <i t="grand">
      <x/>
    </i>
  </rowItems>
  <colItems count="1">
    <i/>
  </colItems>
  <dataFields count="1">
    <dataField name="Sum of Sales_Volume" fld="17"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67F2FC-5A00-49D2-A9AB-94990468247E}" name="tbl_Revenue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1" firstHeaderRow="1" firstDataRow="1" firstDataCol="1"/>
  <pivotFields count="29">
    <pivotField showAll="0"/>
    <pivotField showAll="0"/>
    <pivotField axis="axisRow" showAll="0" sortType="descending">
      <items count="8">
        <item x="5"/>
        <item x="1"/>
        <item x="4"/>
        <item x="2"/>
        <item x="0"/>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showAll="0"/>
    <pivotField numFmtId="14" showAll="0"/>
    <pivotField showAll="0"/>
    <pivotField numFmtId="14" showAll="0"/>
    <pivotField showAll="0"/>
    <pivotField numFmtId="14" showAll="0"/>
    <pivotField showAll="0"/>
    <pivotField showAll="0"/>
    <pivotField showAll="0"/>
    <pivotField showAll="0"/>
    <pivotField dataField="1" numFmtId="164" showAll="0"/>
    <pivotField numFmtId="164" showAll="0"/>
    <pivotField showAll="0"/>
    <pivotField numFmtId="165" showAll="0">
      <items count="25">
        <item x="1"/>
        <item x="9"/>
        <item x="2"/>
        <item x="4"/>
        <item x="8"/>
        <item x="12"/>
        <item x="10"/>
        <item x="0"/>
        <item x="11"/>
        <item x="7"/>
        <item x="5"/>
        <item x="6"/>
        <item x="13"/>
        <item x="14"/>
        <item x="3"/>
        <item x="16"/>
        <item x="21"/>
        <item x="15"/>
        <item x="19"/>
        <item x="18"/>
        <item x="20"/>
        <item x="17"/>
        <item x="22"/>
        <item x="23"/>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2"/>
  </rowFields>
  <rowItems count="8">
    <i>
      <x v="3"/>
    </i>
    <i>
      <x v="1"/>
    </i>
    <i>
      <x v="6"/>
    </i>
    <i>
      <x v="2"/>
    </i>
    <i>
      <x v="4"/>
    </i>
    <i>
      <x v="5"/>
    </i>
    <i>
      <x/>
    </i>
    <i t="grand">
      <x/>
    </i>
  </rowItems>
  <colItems count="1">
    <i/>
  </colItems>
  <dataFields count="1">
    <dataField name="Sum of REVENUE" fld="20"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41284A-1E50-46CB-A988-C19B8EA4A753}" name="tbl_Invt value by 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1" firstHeaderRow="1" firstDataRow="1" firstDataCol="1"/>
  <pivotFields count="29">
    <pivotField showAll="0"/>
    <pivotField showAll="0"/>
    <pivotField axis="axisRow" showAll="0" sortType="ascending">
      <items count="8">
        <item x="5"/>
        <item x="1"/>
        <item x="4"/>
        <item x="2"/>
        <item x="0"/>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showAll="0"/>
    <pivotField numFmtId="14" showAll="0"/>
    <pivotField showAll="0"/>
    <pivotField numFmtId="14" showAll="0"/>
    <pivotField showAll="0"/>
    <pivotField numFmtId="14" showAll="0"/>
    <pivotField showAll="0"/>
    <pivotField showAll="0"/>
    <pivotField showAll="0"/>
    <pivotField showAll="0"/>
    <pivotField numFmtId="164" showAll="0"/>
    <pivotField dataField="1" numFmtId="164" showAll="0"/>
    <pivotField showAll="0">
      <items count="3">
        <item x="0"/>
        <item h="1" x="1"/>
        <item t="default"/>
      </items>
    </pivotField>
    <pivotField numFmtId="165" showAll="0">
      <items count="25">
        <item x="1"/>
        <item x="9"/>
        <item x="2"/>
        <item x="4"/>
        <item x="8"/>
        <item x="12"/>
        <item x="10"/>
        <item x="0"/>
        <item x="11"/>
        <item x="7"/>
        <item x="5"/>
        <item x="6"/>
        <item x="13"/>
        <item x="14"/>
        <item x="3"/>
        <item x="16"/>
        <item x="21"/>
        <item x="15"/>
        <item x="19"/>
        <item x="18"/>
        <item x="20"/>
        <item x="17"/>
        <item x="22"/>
        <item x="23"/>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2"/>
  </rowFields>
  <rowItems count="8">
    <i>
      <x/>
    </i>
    <i>
      <x v="5"/>
    </i>
    <i>
      <x v="4"/>
    </i>
    <i>
      <x v="2"/>
    </i>
    <i>
      <x v="6"/>
    </i>
    <i>
      <x v="1"/>
    </i>
    <i>
      <x v="3"/>
    </i>
    <i t="grand">
      <x/>
    </i>
  </rowItems>
  <colItems count="1">
    <i/>
  </colItems>
  <dataFields count="1">
    <dataField name="Sum of INVENTORY_VALUE" fld="21"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789D67-9ADD-43E4-8B88-225A18697296}" name="tbl_Reorder status Dis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6" firstHeaderRow="1" firstDataRow="1" firstDataCol="1"/>
  <pivotFields count="29">
    <pivotField dataField="1" showAll="0"/>
    <pivotField showAll="0"/>
    <pivotField showAll="0">
      <items count="8">
        <item x="5"/>
        <item x="1"/>
        <item x="4"/>
        <item x="2"/>
        <item x="0"/>
        <item x="3"/>
        <item x="6"/>
        <item t="default"/>
      </items>
    </pivotField>
    <pivotField showAll="0"/>
    <pivotField showAll="0"/>
    <pivotField showAll="0"/>
    <pivotField showAll="0"/>
    <pivotField showAll="0"/>
    <pivotField showAll="0"/>
    <pivotField numFmtId="164" showAll="0"/>
    <pivotField showAll="0"/>
    <pivotField numFmtId="14" showAll="0"/>
    <pivotField showAll="0"/>
    <pivotField numFmtId="14" showAll="0"/>
    <pivotField showAll="0"/>
    <pivotField numFmtId="14" showAll="0"/>
    <pivotField showAll="0"/>
    <pivotField showAll="0"/>
    <pivotField showAll="0"/>
    <pivotField showAll="0"/>
    <pivotField numFmtId="164" showAll="0"/>
    <pivotField numFmtId="164" showAll="0"/>
    <pivotField axis="axisRow" showAll="0">
      <items count="3">
        <item x="0"/>
        <item x="1"/>
        <item t="default"/>
      </items>
    </pivotField>
    <pivotField numFmtId="165" showAll="0">
      <items count="25">
        <item x="1"/>
        <item x="9"/>
        <item x="2"/>
        <item x="4"/>
        <item x="8"/>
        <item x="12"/>
        <item x="10"/>
        <item x="0"/>
        <item x="11"/>
        <item x="7"/>
        <item x="5"/>
        <item x="6"/>
        <item x="13"/>
        <item x="14"/>
        <item x="3"/>
        <item x="16"/>
        <item x="21"/>
        <item x="15"/>
        <item x="19"/>
        <item x="18"/>
        <item x="20"/>
        <item x="17"/>
        <item x="22"/>
        <item x="23"/>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22"/>
  </rowFields>
  <rowItems count="3">
    <i>
      <x/>
    </i>
    <i>
      <x v="1"/>
    </i>
    <i t="grand">
      <x/>
    </i>
  </rowItems>
  <colItems count="1">
    <i/>
  </colItems>
  <dataFields count="1">
    <dataField name="Count of Product_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2" count="1" selected="0">
            <x v="0"/>
          </reference>
        </references>
      </pivotArea>
    </chartFormat>
    <chartFormat chart="0" format="2">
      <pivotArea type="data" outline="0" fieldPosition="0">
        <references count="2">
          <reference field="4294967294" count="1" selected="0">
            <x v="0"/>
          </reference>
          <reference field="22"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2" count="1" selected="0">
            <x v="0"/>
          </reference>
        </references>
      </pivotArea>
    </chartFormat>
    <chartFormat chart="5" format="8">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EF7D23-9FEF-4FAB-B7F9-C0E44D9A8617}" name="tbl_Top Product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14" firstHeaderRow="1" firstDataRow="1" firstDataCol="1"/>
  <pivotFields count="29">
    <pivotField showAll="0"/>
    <pivotField axis="axisRow" showAll="0" measureFilter="1" sortType="ascending">
      <items count="122">
        <item x="5"/>
        <item x="69"/>
        <item x="95"/>
        <item x="110"/>
        <item x="106"/>
        <item x="1"/>
        <item x="54"/>
        <item x="91"/>
        <item x="80"/>
        <item x="74"/>
        <item x="96"/>
        <item x="53"/>
        <item x="36"/>
        <item x="2"/>
        <item x="46"/>
        <item x="60"/>
        <item x="14"/>
        <item x="50"/>
        <item x="104"/>
        <item x="37"/>
        <item x="56"/>
        <item x="83"/>
        <item x="19"/>
        <item x="79"/>
        <item x="45"/>
        <item x="78"/>
        <item x="88"/>
        <item x="62"/>
        <item x="119"/>
        <item x="61"/>
        <item x="72"/>
        <item x="117"/>
        <item x="111"/>
        <item x="73"/>
        <item x="6"/>
        <item x="67"/>
        <item x="58"/>
        <item x="26"/>
        <item x="99"/>
        <item x="120"/>
        <item x="9"/>
        <item x="7"/>
        <item x="22"/>
        <item x="89"/>
        <item x="51"/>
        <item x="107"/>
        <item x="13"/>
        <item x="64"/>
        <item x="81"/>
        <item x="103"/>
        <item x="8"/>
        <item x="18"/>
        <item x="43"/>
        <item x="85"/>
        <item x="30"/>
        <item x="105"/>
        <item x="52"/>
        <item x="29"/>
        <item x="65"/>
        <item x="100"/>
        <item x="39"/>
        <item x="35"/>
        <item x="71"/>
        <item x="98"/>
        <item x="3"/>
        <item x="101"/>
        <item x="34"/>
        <item x="102"/>
        <item x="49"/>
        <item x="38"/>
        <item x="23"/>
        <item x="24"/>
        <item x="28"/>
        <item x="31"/>
        <item x="41"/>
        <item x="63"/>
        <item x="108"/>
        <item x="20"/>
        <item x="76"/>
        <item x="59"/>
        <item x="25"/>
        <item x="57"/>
        <item x="27"/>
        <item x="4"/>
        <item x="75"/>
        <item x="55"/>
        <item x="86"/>
        <item x="21"/>
        <item x="66"/>
        <item x="47"/>
        <item x="93"/>
        <item x="11"/>
        <item x="115"/>
        <item x="44"/>
        <item x="90"/>
        <item x="33"/>
        <item x="84"/>
        <item x="40"/>
        <item x="16"/>
        <item x="12"/>
        <item x="97"/>
        <item x="0"/>
        <item x="116"/>
        <item x="15"/>
        <item x="70"/>
        <item x="112"/>
        <item x="17"/>
        <item x="82"/>
        <item x="113"/>
        <item x="87"/>
        <item x="94"/>
        <item x="68"/>
        <item x="42"/>
        <item x="77"/>
        <item x="10"/>
        <item x="48"/>
        <item x="118"/>
        <item x="92"/>
        <item x="114"/>
        <item x="109"/>
        <item x="32"/>
        <item t="default"/>
      </items>
      <autoSortScope>
        <pivotArea dataOnly="0" outline="0" fieldPosition="0">
          <references count="1">
            <reference field="4294967294" count="1" selected="0">
              <x v="0"/>
            </reference>
          </references>
        </pivotArea>
      </autoSortScope>
    </pivotField>
    <pivotField showAll="0">
      <items count="8">
        <item x="5"/>
        <item x="1"/>
        <item x="4"/>
        <item x="2"/>
        <item x="0"/>
        <item x="3"/>
        <item x="6"/>
        <item t="default"/>
      </items>
    </pivotField>
    <pivotField showAll="0"/>
    <pivotField showAll="0"/>
    <pivotField showAll="0"/>
    <pivotField showAll="0"/>
    <pivotField showAll="0"/>
    <pivotField showAll="0"/>
    <pivotField numFmtId="164" showAll="0"/>
    <pivotField showAll="0"/>
    <pivotField numFmtId="14" showAll="0"/>
    <pivotField showAll="0"/>
    <pivotField numFmtId="14" showAll="0"/>
    <pivotField showAll="0"/>
    <pivotField numFmtId="14" showAll="0"/>
    <pivotField showAll="0"/>
    <pivotField showAll="0"/>
    <pivotField showAll="0"/>
    <pivotField showAll="0"/>
    <pivotField dataField="1" numFmtId="164" showAll="0"/>
    <pivotField numFmtId="164" showAll="0"/>
    <pivotField showAll="0">
      <items count="3">
        <item x="0"/>
        <item h="1" x="1"/>
        <item t="default"/>
      </items>
    </pivotField>
    <pivotField numFmtId="165" showAll="0">
      <items count="25">
        <item x="1"/>
        <item x="9"/>
        <item x="2"/>
        <item x="4"/>
        <item x="8"/>
        <item x="12"/>
        <item x="10"/>
        <item x="0"/>
        <item x="11"/>
        <item x="7"/>
        <item x="5"/>
        <item x="6"/>
        <item x="13"/>
        <item x="14"/>
        <item x="3"/>
        <item x="16"/>
        <item x="21"/>
        <item x="15"/>
        <item x="19"/>
        <item x="18"/>
        <item x="20"/>
        <item x="17"/>
        <item x="22"/>
        <item x="23"/>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1"/>
  </rowFields>
  <rowItems count="11">
    <i>
      <x v="107"/>
    </i>
    <i>
      <x v="92"/>
    </i>
    <i>
      <x v="50"/>
    </i>
    <i>
      <x v="54"/>
    </i>
    <i>
      <x v="12"/>
    </i>
    <i>
      <x v="57"/>
    </i>
    <i>
      <x v="9"/>
    </i>
    <i>
      <x v="55"/>
    </i>
    <i>
      <x v="115"/>
    </i>
    <i>
      <x v="5"/>
    </i>
    <i t="grand">
      <x/>
    </i>
  </rowItems>
  <colItems count="1">
    <i/>
  </colItems>
  <dataFields count="1">
    <dataField name="Sum of REVENUE" fld="20" baseField="0" baseItem="0" numFmtId="164"/>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15"/>
          </reference>
        </references>
      </pivotArea>
    </chartFormat>
    <chartFormat chart="0" format="2">
      <pivotArea type="data" outline="0" fieldPosition="0">
        <references count="2">
          <reference field="4294967294" count="1" selected="0">
            <x v="0"/>
          </reference>
          <reference field="1" count="1" selected="0">
            <x v="55"/>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A37FE5-EAE7-4727-BC40-8DD48A2493CC}" name="tbl_Inventory Turnover rat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1" firstHeaderRow="1" firstDataRow="1" firstDataCol="1"/>
  <pivotFields count="29">
    <pivotField showAll="0"/>
    <pivotField showAll="0">
      <items count="122">
        <item x="5"/>
        <item x="69"/>
        <item x="95"/>
        <item x="110"/>
        <item x="106"/>
        <item x="1"/>
        <item x="54"/>
        <item x="91"/>
        <item x="80"/>
        <item x="74"/>
        <item x="96"/>
        <item x="53"/>
        <item x="36"/>
        <item x="2"/>
        <item x="46"/>
        <item x="60"/>
        <item x="14"/>
        <item x="50"/>
        <item x="104"/>
        <item x="37"/>
        <item x="56"/>
        <item x="83"/>
        <item x="19"/>
        <item x="79"/>
        <item x="45"/>
        <item x="78"/>
        <item x="88"/>
        <item x="62"/>
        <item x="119"/>
        <item x="61"/>
        <item x="72"/>
        <item x="117"/>
        <item x="111"/>
        <item x="73"/>
        <item x="6"/>
        <item x="67"/>
        <item x="58"/>
        <item x="26"/>
        <item x="99"/>
        <item x="120"/>
        <item x="9"/>
        <item x="7"/>
        <item x="22"/>
        <item x="89"/>
        <item x="51"/>
        <item x="107"/>
        <item x="13"/>
        <item x="64"/>
        <item x="81"/>
        <item x="103"/>
        <item x="8"/>
        <item x="18"/>
        <item x="43"/>
        <item x="85"/>
        <item x="30"/>
        <item x="105"/>
        <item x="52"/>
        <item x="29"/>
        <item x="65"/>
        <item x="100"/>
        <item x="39"/>
        <item x="35"/>
        <item x="71"/>
        <item x="98"/>
        <item x="3"/>
        <item x="101"/>
        <item x="34"/>
        <item x="102"/>
        <item x="49"/>
        <item x="38"/>
        <item x="23"/>
        <item x="24"/>
        <item x="28"/>
        <item x="31"/>
        <item x="41"/>
        <item x="63"/>
        <item x="108"/>
        <item x="20"/>
        <item x="76"/>
        <item x="59"/>
        <item x="25"/>
        <item x="57"/>
        <item x="27"/>
        <item x="4"/>
        <item x="75"/>
        <item x="55"/>
        <item x="86"/>
        <item x="21"/>
        <item x="66"/>
        <item x="47"/>
        <item x="93"/>
        <item x="11"/>
        <item x="115"/>
        <item x="44"/>
        <item x="90"/>
        <item x="33"/>
        <item x="84"/>
        <item x="40"/>
        <item x="16"/>
        <item x="12"/>
        <item x="97"/>
        <item x="0"/>
        <item x="116"/>
        <item x="15"/>
        <item x="70"/>
        <item x="112"/>
        <item x="17"/>
        <item x="82"/>
        <item x="113"/>
        <item x="87"/>
        <item x="94"/>
        <item x="68"/>
        <item x="42"/>
        <item x="77"/>
        <item x="10"/>
        <item x="48"/>
        <item x="118"/>
        <item x="92"/>
        <item x="114"/>
        <item x="109"/>
        <item x="32"/>
        <item t="default"/>
      </items>
    </pivotField>
    <pivotField axis="axisRow" showAll="0" sortType="descending">
      <items count="8">
        <item x="5"/>
        <item x="1"/>
        <item x="4"/>
        <item x="2"/>
        <item x="0"/>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showAll="0"/>
    <pivotField numFmtId="14" showAll="0"/>
    <pivotField showAll="0"/>
    <pivotField numFmtId="14" showAll="0"/>
    <pivotField showAll="0"/>
    <pivotField numFmtId="14" showAll="0"/>
    <pivotField showAll="0"/>
    <pivotField showAll="0"/>
    <pivotField dataField="1" showAll="0"/>
    <pivotField showAll="0"/>
    <pivotField numFmtId="164" showAll="0"/>
    <pivotField numFmtId="164" showAll="0"/>
    <pivotField showAll="0">
      <items count="3">
        <item x="0"/>
        <item h="1" x="1"/>
        <item t="default"/>
      </items>
    </pivotField>
    <pivotField numFmtId="165" showAll="0">
      <items count="25">
        <item x="1"/>
        <item x="9"/>
        <item x="2"/>
        <item x="4"/>
        <item x="8"/>
        <item x="12"/>
        <item x="10"/>
        <item x="0"/>
        <item x="11"/>
        <item x="7"/>
        <item x="5"/>
        <item x="6"/>
        <item x="13"/>
        <item x="14"/>
        <item x="3"/>
        <item x="16"/>
        <item x="21"/>
        <item x="15"/>
        <item x="19"/>
        <item x="18"/>
        <item x="20"/>
        <item x="17"/>
        <item x="22"/>
        <item x="23"/>
        <item t="default"/>
      </items>
    </pivotField>
    <pivotField showAll="0"/>
    <pivotField showAll="0"/>
    <pivotField showAll="0" defaultSubtotal="0"/>
    <pivotField showAll="0" defaultSubtotal="0"/>
    <pivotField showAll="0" defaultSubtotal="0">
      <items count="4">
        <item x="0"/>
        <item x="1"/>
        <item x="2"/>
        <item x="3"/>
      </items>
    </pivotField>
  </pivotFields>
  <rowFields count="1">
    <field x="2"/>
  </rowFields>
  <rowItems count="8">
    <i>
      <x v="6"/>
    </i>
    <i>
      <x v="2"/>
    </i>
    <i>
      <x v="1"/>
    </i>
    <i>
      <x/>
    </i>
    <i>
      <x v="3"/>
    </i>
    <i>
      <x v="4"/>
    </i>
    <i>
      <x v="5"/>
    </i>
    <i t="grand">
      <x/>
    </i>
  </rowItems>
  <colItems count="1">
    <i/>
  </colItems>
  <dataFields count="1">
    <dataField name="Average of Inventory_Turnover_Rate" fld="18" subtotal="average" baseField="2" baseItem="0"/>
  </dataFields>
  <formats count="1">
    <format dxfId="50">
      <pivotArea collapsedLevelsAreSubtotals="1" fieldPosition="0">
        <references count="1">
          <reference field="2" count="0"/>
        </references>
      </pivotArea>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agory" xr10:uid="{D635B7D9-ADB3-416D-9F90-74D10EE4F3D9}" sourceName="Catagory">
  <pivotTables>
    <pivotTable tabId="14" name="tbl_key_metrics"/>
    <pivotTable tabId="11" name="tbl_Inventory Turnover rate"/>
    <pivotTable tabId="8" name="tbl_Invt value by category"/>
    <pivotTable tabId="14" name="tbl_reorder status %"/>
    <pivotTable tabId="7" name="tbl_Monthly _Trends"/>
    <pivotTable tabId="9" name="tbl_Reorder status Dist"/>
    <pivotTable tabId="10" name="tbl_Top Products"/>
    <pivotTable tabId="16" name="tbl_Revenue by category"/>
  </pivotTables>
  <data>
    <tabular pivotCacheId="1229716450">
      <items count="7">
        <i x="5" s="1"/>
        <i x="1" s="1"/>
        <i x="4" s="1"/>
        <i x="2" s="1"/>
        <i x="0" s="1"/>
        <i x="3"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ORDER_STATUS" xr10:uid="{52417782-9910-4E4F-A63A-7F2A91C477EC}" sourceName="REORDER_STATUS">
  <pivotTables>
    <pivotTable tabId="9" name="tbl_Reorder status Dist"/>
    <pivotTable tabId="14" name="tbl_reorder status %"/>
  </pivotTables>
  <data>
    <tabular pivotCacheId="122971645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agory 1" xr10:uid="{5365C040-8403-429A-8C2C-81A19E59FEEB}" cache="Slicer_Catagory" caption="Catagory" style="SlicerStyleLight6" rowHeight="180000"/>
  <slicer name="REORDER_STATUS 1" xr10:uid="{7F1CC6E5-2AA4-4AC8-8AE7-36BC7D07350D}" cache="Slicer_REORDER_STATUS" caption="Status" style="SlicerStyleLight2"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6E2C29-04B4-4761-A202-E762C917B542}" name="tbl_GroceryInventory" displayName="tbl_GroceryInventory" ref="A1:Z991" totalsRowShown="0" headerRowDxfId="65">
  <tableColumns count="26">
    <tableColumn id="1" xr3:uid="{05A89A7C-C3FD-4D93-A308-C4D62AA88598}" name="Product_ID"/>
    <tableColumn id="2" xr3:uid="{7702AF0B-91FC-45B0-B738-875E551D38E6}" name="Product_Name"/>
    <tableColumn id="3" xr3:uid="{EEB10B9D-2412-4703-87A5-D3D66F45EC7D}" name="Catagory"/>
    <tableColumn id="4" xr3:uid="{3B2AF9F3-E599-4E17-91B9-0E787523DA6B}" name="Supplier_ID"/>
    <tableColumn id="5" xr3:uid="{8B232C41-030B-44D5-967A-FA88CDE9C098}" name="Supplier_Name"/>
    <tableColumn id="6" xr3:uid="{A99403D8-179E-4759-BD4E-13523691F249}" name="Stock_Quantity"/>
    <tableColumn id="7" xr3:uid="{87D23C75-259B-462A-AE0B-167BA9EF5EDC}" name="Reorder_Level"/>
    <tableColumn id="8" xr3:uid="{27A504D9-B47E-4D7E-BDE5-348DD36281A4}" name="Reorder_Quantity"/>
    <tableColumn id="9" xr3:uid="{8AC48959-48CD-48BC-9527-50A7CD5EEEA0}" name="Unit_Price"/>
    <tableColumn id="10" xr3:uid="{6B233CF0-520B-4DE9-A446-19FF5E51CA19}" name="Cleaned_Unit_price" dataDxfId="64" dataCellStyle="Currency">
      <calculatedColumnFormula>VALUE(SUBSTITUTE(I2,"$",""))</calculatedColumnFormula>
    </tableColumn>
    <tableColumn id="11" xr3:uid="{D7256DA1-A3A6-44E4-A1D5-29826BD108EB}" name="Date_Received" dataDxfId="63"/>
    <tableColumn id="12" xr3:uid="{6DEF1F64-1153-4B24-951C-8AE0AC589C40}" name="Cleaned_Date_Received" dataDxfId="62">
      <calculatedColumnFormula>IF(
ISNUMBER(K2),
K2,
DATE(
RIGHT(K2,4),
LEFT(K2,FIND("/",K2)-1),
MID(K2,FIND("/",K2)+1,FIND("/",K2,FIND("/",K2)+1)-FIND("/",K2)-1)
)
)</calculatedColumnFormula>
    </tableColumn>
    <tableColumn id="13" xr3:uid="{FF21185A-A203-4463-93FF-C29071B8EEDC}" name="Last_Order_Date" dataDxfId="61"/>
    <tableColumn id="14" xr3:uid="{09522B35-9CF4-4C14-A254-F1617F8308CB}" name="Cleaned_Last_Order_date" dataDxfId="60">
      <calculatedColumnFormula>IF(
ISNUMBER(M2),
M2,
DATE(
RIGHT(M2,4),
LEFT(M2,FIND("/",M2)-1),
MID(M2,FIND("/",M2)+1,FIND("/",M2,FIND("/",M2)+1)-FIND("/",M2)-1)
)
)</calculatedColumnFormula>
    </tableColumn>
    <tableColumn id="15" xr3:uid="{C5D82E1F-7AD0-42B0-933C-C1AEFBA3CCA7}" name="Expiration_Date" dataDxfId="59"/>
    <tableColumn id="16" xr3:uid="{F97F284D-074B-46C0-A4BC-0FDC11B26F64}" name="Cleaned_Expiration_Date" dataDxfId="58">
      <calculatedColumnFormula>IF(
ISNUMBER(O2),
O2,
DATE(
RIGHT(O2,4),
LEFT(O2,FIND("/",O2)-1),
MID(O2,FIND("/",O2)+1,FIND("/",O2,FIND("/",O2)+1)-FIND("/",O2)-1)
)
)</calculatedColumnFormula>
    </tableColumn>
    <tableColumn id="17" xr3:uid="{9AFADC7B-4CF1-42BF-BA3E-13D0068633DB}" name="Warehouse_Location"/>
    <tableColumn id="18" xr3:uid="{28985CC2-2347-4462-B5B3-6D1404216BC5}" name="Sales_Volume"/>
    <tableColumn id="19" xr3:uid="{5CC9C5FB-2981-468D-8489-3CBED431F681}" name="Inventory_Turnover_Rate"/>
    <tableColumn id="20" xr3:uid="{F630EDDD-BE23-4D20-B6BC-A0A50628D91A}" name="Status"/>
    <tableColumn id="21" xr3:uid="{F451B03B-E699-4810-9924-9BA3AC2F8731}" name="REVENUE" dataDxfId="57"/>
    <tableColumn id="22" xr3:uid="{11D51BF5-3225-421E-AD82-3EFC865F2ADA}" name="INVENTORY_VALUE" dataDxfId="56">
      <calculatedColumnFormula>F2*J2</calculatedColumnFormula>
    </tableColumn>
    <tableColumn id="23" xr3:uid="{958E081B-8840-4F79-9CE7-792D7AB9FEF4}" name="REORDER_STATUS">
      <calculatedColumnFormula>IF(F2&lt;=G2,"Reorder Required","Sufficient Stock")</calculatedColumnFormula>
    </tableColumn>
    <tableColumn id="24" xr3:uid="{AB346D22-D56F-45F9-9A95-2445DF1242D1}" name="Month_Year" dataDxfId="55">
      <calculatedColumnFormula>DATE(YEAR(L2),MONTH(L2),1)</calculatedColumnFormula>
    </tableColumn>
    <tableColumn id="25" xr3:uid="{13258BCE-C5A3-4194-A28A-C5A4167ADC2F}" name="Shelf_Life_Days">
      <calculatedColumnFormula>P2-L2</calculatedColumnFormula>
    </tableColumn>
    <tableColumn id="26" xr3:uid="{49687FEA-2ED7-4905-A536-596B2AB90955}" name="Expiry_Risk">
      <calculatedColumnFormula>IF(Y2&lt;0,"Invalid Data",
IF(Y2&lt;=30,"Critical",
IF(Y2&lt;=90,"High Risk",
IF(Y2&lt;=180,"Medium Risk",
IF(Y2&lt;=365,"Low Risk",
"Safe")))))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onth_Year" xr10:uid="{614E1CDD-B0C1-4D59-B841-84A90629BC5B}" sourceName="Month_Year">
  <pivotTables>
    <pivotTable tabId="7" name="tbl_Monthly _Trends"/>
    <pivotTable tabId="11" name="tbl_Inventory Turnover rate"/>
    <pivotTable tabId="8" name="tbl_Invt value by category"/>
    <pivotTable tabId="14" name="tbl_key_metrics"/>
    <pivotTable tabId="14" name="tbl_reorder status %"/>
    <pivotTable tabId="9" name="tbl_Reorder status Dist"/>
    <pivotTable tabId="10" name="tbl_Top Products"/>
  </pivotTables>
  <state minimalRefreshVersion="6" lastRefreshVersion="6" pivotCacheId="1229716450"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_Year 1" xr10:uid="{765A3835-32EE-428D-9EDF-ED67E6496AAC}" cache="NativeTimeline_Month_Year" caption="Year" showSelectionLabel="0" showTimeLevel="0" level="0" selectionLevel="0" scrollPosition="2024-01-01T00:00:00" style="TimeSlicerStyleDark1"/>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06865-1C13-42C1-90FD-F28366FAB108}">
  <dimension ref="A1:P991"/>
  <sheetViews>
    <sheetView topLeftCell="G1" zoomScale="82" workbookViewId="0">
      <selection activeCell="S13" sqref="S13"/>
    </sheetView>
  </sheetViews>
  <sheetFormatPr defaultRowHeight="14.6" x14ac:dyDescent="0.4"/>
  <cols>
    <col min="1" max="1" width="11.23046875" bestFit="1" customWidth="1"/>
    <col min="2" max="2" width="17.53515625" bestFit="1" customWidth="1"/>
    <col min="3" max="3" width="16.84375" bestFit="1" customWidth="1"/>
    <col min="4" max="4" width="11.23046875" bestFit="1" customWidth="1"/>
    <col min="5" max="5" width="13.53515625" bestFit="1" customWidth="1"/>
    <col min="6" max="6" width="13.61328125" bestFit="1" customWidth="1"/>
    <col min="7" max="7" width="12.69140625" bestFit="1" customWidth="1"/>
    <col min="8" max="8" width="15.765625" bestFit="1" customWidth="1"/>
    <col min="9" max="9" width="9.3828125" bestFit="1" customWidth="1"/>
    <col min="10" max="10" width="13.15234375" bestFit="1" customWidth="1"/>
    <col min="11" max="11" width="14.765625" bestFit="1" customWidth="1"/>
    <col min="12" max="12" width="14.07421875" bestFit="1" customWidth="1"/>
    <col min="13" max="13" width="27.53515625" bestFit="1" customWidth="1"/>
    <col min="14" max="14" width="12.3046875" bestFit="1" customWidth="1"/>
    <col min="15" max="15" width="22.3046875" bestFit="1" customWidth="1"/>
    <col min="16" max="16" width="11.69140625" bestFit="1" customWidth="1"/>
  </cols>
  <sheetData>
    <row r="1" spans="1:16" x14ac:dyDescent="0.4">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4">
      <c r="A2" t="s">
        <v>16</v>
      </c>
      <c r="B2" t="s">
        <v>17</v>
      </c>
      <c r="C2" t="s">
        <v>18</v>
      </c>
      <c r="D2" t="s">
        <v>19</v>
      </c>
      <c r="E2" t="s">
        <v>20</v>
      </c>
      <c r="F2">
        <v>22</v>
      </c>
      <c r="G2">
        <v>72</v>
      </c>
      <c r="H2">
        <v>70</v>
      </c>
      <c r="I2" t="s">
        <v>21</v>
      </c>
      <c r="J2" t="s">
        <v>22</v>
      </c>
      <c r="K2" t="s">
        <v>23</v>
      </c>
      <c r="L2" t="s">
        <v>24</v>
      </c>
      <c r="M2" t="s">
        <v>25</v>
      </c>
      <c r="N2">
        <v>32</v>
      </c>
      <c r="O2">
        <v>19</v>
      </c>
      <c r="P2" t="s">
        <v>26</v>
      </c>
    </row>
    <row r="3" spans="1:16" x14ac:dyDescent="0.4">
      <c r="A3" t="s">
        <v>27</v>
      </c>
      <c r="B3" t="s">
        <v>28</v>
      </c>
      <c r="C3" t="s">
        <v>29</v>
      </c>
      <c r="D3" t="s">
        <v>30</v>
      </c>
      <c r="E3" t="s">
        <v>31</v>
      </c>
      <c r="F3">
        <v>45</v>
      </c>
      <c r="G3">
        <v>77</v>
      </c>
      <c r="H3">
        <v>2</v>
      </c>
      <c r="I3" t="s">
        <v>32</v>
      </c>
      <c r="J3" s="1">
        <v>45302</v>
      </c>
      <c r="K3" t="s">
        <v>33</v>
      </c>
      <c r="L3" s="1">
        <v>45509</v>
      </c>
      <c r="M3" t="s">
        <v>34</v>
      </c>
      <c r="N3">
        <v>85</v>
      </c>
      <c r="O3">
        <v>1</v>
      </c>
      <c r="P3" t="s">
        <v>26</v>
      </c>
    </row>
    <row r="4" spans="1:16" x14ac:dyDescent="0.4">
      <c r="A4" t="s">
        <v>35</v>
      </c>
      <c r="B4" t="s">
        <v>36</v>
      </c>
      <c r="C4" t="s">
        <v>18</v>
      </c>
      <c r="D4" t="s">
        <v>37</v>
      </c>
      <c r="E4" t="s">
        <v>38</v>
      </c>
      <c r="F4">
        <v>30</v>
      </c>
      <c r="G4">
        <v>38</v>
      </c>
      <c r="H4">
        <v>83</v>
      </c>
      <c r="I4" t="s">
        <v>39</v>
      </c>
      <c r="J4" s="1">
        <v>45359</v>
      </c>
      <c r="K4" s="1">
        <v>45571</v>
      </c>
      <c r="L4" t="s">
        <v>40</v>
      </c>
      <c r="M4" t="s">
        <v>41</v>
      </c>
      <c r="N4">
        <v>31</v>
      </c>
      <c r="O4">
        <v>34</v>
      </c>
      <c r="P4" t="s">
        <v>42</v>
      </c>
    </row>
    <row r="5" spans="1:16" x14ac:dyDescent="0.4">
      <c r="A5" t="s">
        <v>43</v>
      </c>
      <c r="B5" t="s">
        <v>44</v>
      </c>
      <c r="C5" t="s">
        <v>18</v>
      </c>
      <c r="D5" t="s">
        <v>45</v>
      </c>
      <c r="E5" t="s">
        <v>46</v>
      </c>
      <c r="F5">
        <v>12</v>
      </c>
      <c r="G5">
        <v>59</v>
      </c>
      <c r="H5">
        <v>62</v>
      </c>
      <c r="I5" t="s">
        <v>47</v>
      </c>
      <c r="J5" s="1">
        <v>45516</v>
      </c>
      <c r="K5" t="s">
        <v>48</v>
      </c>
      <c r="L5" t="s">
        <v>49</v>
      </c>
      <c r="M5" t="s">
        <v>50</v>
      </c>
      <c r="N5">
        <v>95</v>
      </c>
      <c r="O5">
        <v>99</v>
      </c>
      <c r="P5" t="s">
        <v>51</v>
      </c>
    </row>
    <row r="6" spans="1:16" x14ac:dyDescent="0.4">
      <c r="A6" t="s">
        <v>52</v>
      </c>
      <c r="B6" t="s">
        <v>53</v>
      </c>
      <c r="C6" t="s">
        <v>54</v>
      </c>
      <c r="D6" t="s">
        <v>55</v>
      </c>
      <c r="E6" t="s">
        <v>56</v>
      </c>
      <c r="F6">
        <v>37</v>
      </c>
      <c r="G6">
        <v>30</v>
      </c>
      <c r="H6">
        <v>74</v>
      </c>
      <c r="I6" t="s">
        <v>57</v>
      </c>
      <c r="J6" s="1">
        <v>45358</v>
      </c>
      <c r="K6" s="1">
        <v>45606</v>
      </c>
      <c r="L6" s="1">
        <v>45422</v>
      </c>
      <c r="M6" t="s">
        <v>58</v>
      </c>
      <c r="N6">
        <v>62</v>
      </c>
      <c r="O6">
        <v>25</v>
      </c>
      <c r="P6" t="s">
        <v>42</v>
      </c>
    </row>
    <row r="7" spans="1:16" x14ac:dyDescent="0.4">
      <c r="A7" t="s">
        <v>59</v>
      </c>
      <c r="B7" t="s">
        <v>60</v>
      </c>
      <c r="C7" t="s">
        <v>18</v>
      </c>
      <c r="D7" t="s">
        <v>61</v>
      </c>
      <c r="E7" t="s">
        <v>62</v>
      </c>
      <c r="F7">
        <v>55</v>
      </c>
      <c r="G7">
        <v>33</v>
      </c>
      <c r="H7">
        <v>14</v>
      </c>
      <c r="I7" t="s">
        <v>63</v>
      </c>
      <c r="J7" s="1">
        <v>45363</v>
      </c>
      <c r="K7" t="s">
        <v>64</v>
      </c>
      <c r="L7" s="1">
        <v>45421</v>
      </c>
      <c r="M7" t="s">
        <v>65</v>
      </c>
      <c r="N7">
        <v>34</v>
      </c>
      <c r="O7">
        <v>62</v>
      </c>
      <c r="P7" t="s">
        <v>26</v>
      </c>
    </row>
    <row r="8" spans="1:16" x14ac:dyDescent="0.4">
      <c r="A8" t="s">
        <v>66</v>
      </c>
      <c r="B8" t="s">
        <v>67</v>
      </c>
      <c r="C8" t="s">
        <v>68</v>
      </c>
      <c r="D8" t="s">
        <v>69</v>
      </c>
      <c r="E8" t="s">
        <v>70</v>
      </c>
      <c r="F8">
        <v>96</v>
      </c>
      <c r="G8">
        <v>52</v>
      </c>
      <c r="H8">
        <v>16</v>
      </c>
      <c r="I8" t="s">
        <v>71</v>
      </c>
      <c r="J8" t="s">
        <v>72</v>
      </c>
      <c r="K8" s="1">
        <v>45478</v>
      </c>
      <c r="L8" t="s">
        <v>73</v>
      </c>
      <c r="M8" t="s">
        <v>74</v>
      </c>
      <c r="N8">
        <v>67</v>
      </c>
      <c r="O8">
        <v>13</v>
      </c>
      <c r="P8" t="s">
        <v>51</v>
      </c>
    </row>
    <row r="9" spans="1:16" x14ac:dyDescent="0.4">
      <c r="A9" t="s">
        <v>75</v>
      </c>
      <c r="B9" t="s">
        <v>76</v>
      </c>
      <c r="C9" t="s">
        <v>77</v>
      </c>
      <c r="D9" t="s">
        <v>78</v>
      </c>
      <c r="E9" t="s">
        <v>79</v>
      </c>
      <c r="F9">
        <v>44</v>
      </c>
      <c r="G9">
        <v>90</v>
      </c>
      <c r="H9">
        <v>17</v>
      </c>
      <c r="I9" t="s">
        <v>71</v>
      </c>
      <c r="J9" s="1">
        <v>45718</v>
      </c>
      <c r="K9" s="1">
        <v>45539</v>
      </c>
      <c r="L9" s="1">
        <v>45779</v>
      </c>
      <c r="M9" t="s">
        <v>80</v>
      </c>
      <c r="N9">
        <v>21</v>
      </c>
      <c r="O9">
        <v>91</v>
      </c>
      <c r="P9" t="s">
        <v>26</v>
      </c>
    </row>
    <row r="10" spans="1:16" x14ac:dyDescent="0.4">
      <c r="A10" t="s">
        <v>81</v>
      </c>
      <c r="B10" t="s">
        <v>82</v>
      </c>
      <c r="C10" t="s">
        <v>77</v>
      </c>
      <c r="D10" t="s">
        <v>83</v>
      </c>
      <c r="E10" t="s">
        <v>84</v>
      </c>
      <c r="F10">
        <v>91</v>
      </c>
      <c r="G10">
        <v>84</v>
      </c>
      <c r="H10">
        <v>11</v>
      </c>
      <c r="I10" t="s">
        <v>85</v>
      </c>
      <c r="J10" s="1">
        <v>45394</v>
      </c>
      <c r="K10" s="1">
        <v>45328</v>
      </c>
      <c r="L10" s="1">
        <v>45870</v>
      </c>
      <c r="M10" t="s">
        <v>86</v>
      </c>
      <c r="N10">
        <v>56</v>
      </c>
      <c r="O10">
        <v>90</v>
      </c>
      <c r="P10" t="s">
        <v>51</v>
      </c>
    </row>
    <row r="11" spans="1:16" x14ac:dyDescent="0.4">
      <c r="A11" t="s">
        <v>87</v>
      </c>
      <c r="B11" t="s">
        <v>88</v>
      </c>
      <c r="C11" t="s">
        <v>77</v>
      </c>
      <c r="D11" t="s">
        <v>89</v>
      </c>
      <c r="E11" t="s">
        <v>90</v>
      </c>
      <c r="F11">
        <v>43</v>
      </c>
      <c r="G11">
        <v>10</v>
      </c>
      <c r="H11">
        <v>15</v>
      </c>
      <c r="I11" t="s">
        <v>91</v>
      </c>
      <c r="J11" t="s">
        <v>92</v>
      </c>
      <c r="K11" t="s">
        <v>93</v>
      </c>
      <c r="L11" s="1">
        <v>45511</v>
      </c>
      <c r="M11" t="s">
        <v>94</v>
      </c>
      <c r="N11">
        <v>27</v>
      </c>
      <c r="O11">
        <v>69</v>
      </c>
      <c r="P11" t="s">
        <v>51</v>
      </c>
    </row>
    <row r="12" spans="1:16" x14ac:dyDescent="0.4">
      <c r="A12" t="s">
        <v>95</v>
      </c>
      <c r="B12" t="s">
        <v>44</v>
      </c>
      <c r="C12" t="s">
        <v>18</v>
      </c>
      <c r="D12" t="s">
        <v>96</v>
      </c>
      <c r="E12" t="s">
        <v>97</v>
      </c>
      <c r="F12">
        <v>62</v>
      </c>
      <c r="G12">
        <v>81</v>
      </c>
      <c r="H12">
        <v>91</v>
      </c>
      <c r="I12" t="s">
        <v>98</v>
      </c>
      <c r="J12" t="s">
        <v>99</v>
      </c>
      <c r="K12" t="s">
        <v>100</v>
      </c>
      <c r="L12" s="1">
        <v>45839</v>
      </c>
      <c r="M12" t="s">
        <v>101</v>
      </c>
      <c r="N12">
        <v>100</v>
      </c>
      <c r="O12">
        <v>42</v>
      </c>
      <c r="P12" t="s">
        <v>26</v>
      </c>
    </row>
    <row r="13" spans="1:16" x14ac:dyDescent="0.4">
      <c r="A13" t="s">
        <v>102</v>
      </c>
      <c r="B13" t="s">
        <v>103</v>
      </c>
      <c r="C13" t="s">
        <v>18</v>
      </c>
      <c r="D13" t="s">
        <v>104</v>
      </c>
      <c r="E13" t="s">
        <v>105</v>
      </c>
      <c r="F13">
        <v>91</v>
      </c>
      <c r="G13">
        <v>98</v>
      </c>
      <c r="H13">
        <v>6</v>
      </c>
      <c r="I13" t="s">
        <v>106</v>
      </c>
      <c r="J13" t="s">
        <v>107</v>
      </c>
      <c r="K13" s="1">
        <v>45608</v>
      </c>
      <c r="L13" t="s">
        <v>108</v>
      </c>
      <c r="M13" t="s">
        <v>109</v>
      </c>
      <c r="N13">
        <v>100</v>
      </c>
      <c r="O13">
        <v>20</v>
      </c>
      <c r="P13" t="s">
        <v>42</v>
      </c>
    </row>
    <row r="14" spans="1:16" x14ac:dyDescent="0.4">
      <c r="A14" t="s">
        <v>110</v>
      </c>
      <c r="B14" t="s">
        <v>111</v>
      </c>
      <c r="C14" t="s">
        <v>112</v>
      </c>
      <c r="D14" t="s">
        <v>113</v>
      </c>
      <c r="E14" t="s">
        <v>114</v>
      </c>
      <c r="F14">
        <v>26</v>
      </c>
      <c r="G14">
        <v>79</v>
      </c>
      <c r="H14">
        <v>31</v>
      </c>
      <c r="I14" t="s">
        <v>85</v>
      </c>
      <c r="J14" t="s">
        <v>115</v>
      </c>
      <c r="K14" s="1">
        <v>45902</v>
      </c>
      <c r="L14" t="s">
        <v>116</v>
      </c>
      <c r="M14" t="s">
        <v>117</v>
      </c>
      <c r="N14">
        <v>47</v>
      </c>
      <c r="O14">
        <v>41</v>
      </c>
      <c r="P14" t="s">
        <v>26</v>
      </c>
    </row>
    <row r="15" spans="1:16" x14ac:dyDescent="0.4">
      <c r="A15" t="s">
        <v>118</v>
      </c>
      <c r="B15" t="s">
        <v>53</v>
      </c>
      <c r="C15" t="s">
        <v>54</v>
      </c>
      <c r="D15" t="s">
        <v>119</v>
      </c>
      <c r="E15" t="s">
        <v>120</v>
      </c>
      <c r="F15">
        <v>95</v>
      </c>
      <c r="G15">
        <v>50</v>
      </c>
      <c r="H15">
        <v>76</v>
      </c>
      <c r="I15" t="s">
        <v>57</v>
      </c>
      <c r="J15" s="1">
        <v>45416</v>
      </c>
      <c r="K15" t="s">
        <v>121</v>
      </c>
      <c r="L15" s="1">
        <v>45448</v>
      </c>
      <c r="M15" t="s">
        <v>122</v>
      </c>
      <c r="N15">
        <v>69</v>
      </c>
      <c r="O15">
        <v>5</v>
      </c>
      <c r="P15" t="s">
        <v>51</v>
      </c>
    </row>
    <row r="16" spans="1:16" x14ac:dyDescent="0.4">
      <c r="A16" t="s">
        <v>123</v>
      </c>
      <c r="B16" t="s">
        <v>124</v>
      </c>
      <c r="C16" t="s">
        <v>54</v>
      </c>
      <c r="D16" t="s">
        <v>125</v>
      </c>
      <c r="E16" t="s">
        <v>126</v>
      </c>
      <c r="F16">
        <v>54</v>
      </c>
      <c r="G16">
        <v>26</v>
      </c>
      <c r="H16">
        <v>16</v>
      </c>
      <c r="I16" t="s">
        <v>39</v>
      </c>
      <c r="J16" s="1">
        <v>45599</v>
      </c>
      <c r="K16" t="s">
        <v>127</v>
      </c>
      <c r="L16" t="s">
        <v>128</v>
      </c>
      <c r="M16" t="s">
        <v>129</v>
      </c>
      <c r="N16">
        <v>63</v>
      </c>
      <c r="O16">
        <v>97</v>
      </c>
      <c r="P16" t="s">
        <v>51</v>
      </c>
    </row>
    <row r="17" spans="1:16" x14ac:dyDescent="0.4">
      <c r="A17" t="s">
        <v>130</v>
      </c>
      <c r="B17" t="s">
        <v>131</v>
      </c>
      <c r="C17" t="s">
        <v>77</v>
      </c>
      <c r="D17" t="s">
        <v>132</v>
      </c>
      <c r="E17" t="s">
        <v>133</v>
      </c>
      <c r="F17">
        <v>94</v>
      </c>
      <c r="G17">
        <v>13</v>
      </c>
      <c r="H17">
        <v>15</v>
      </c>
      <c r="I17" t="s">
        <v>134</v>
      </c>
      <c r="J17" t="s">
        <v>135</v>
      </c>
      <c r="K17" s="1">
        <v>45326</v>
      </c>
      <c r="L17" s="1">
        <v>45422</v>
      </c>
      <c r="M17" t="s">
        <v>136</v>
      </c>
      <c r="N17">
        <v>20</v>
      </c>
      <c r="O17">
        <v>24</v>
      </c>
      <c r="P17" t="s">
        <v>42</v>
      </c>
    </row>
    <row r="18" spans="1:16" x14ac:dyDescent="0.4">
      <c r="A18" t="s">
        <v>137</v>
      </c>
      <c r="B18" t="s">
        <v>138</v>
      </c>
      <c r="C18" t="s">
        <v>18</v>
      </c>
      <c r="D18" t="s">
        <v>139</v>
      </c>
      <c r="E18" t="s">
        <v>140</v>
      </c>
      <c r="F18">
        <v>27</v>
      </c>
      <c r="G18">
        <v>93</v>
      </c>
      <c r="H18">
        <v>88</v>
      </c>
      <c r="I18" t="s">
        <v>47</v>
      </c>
      <c r="J18" t="s">
        <v>141</v>
      </c>
      <c r="K18" s="1">
        <v>45538</v>
      </c>
      <c r="L18" s="1">
        <v>45416</v>
      </c>
      <c r="M18" t="s">
        <v>142</v>
      </c>
      <c r="N18">
        <v>66</v>
      </c>
      <c r="O18">
        <v>13</v>
      </c>
      <c r="P18" t="s">
        <v>51</v>
      </c>
    </row>
    <row r="19" spans="1:16" x14ac:dyDescent="0.4">
      <c r="A19" t="s">
        <v>143</v>
      </c>
      <c r="B19" t="s">
        <v>144</v>
      </c>
      <c r="C19" t="s">
        <v>77</v>
      </c>
      <c r="D19" t="s">
        <v>145</v>
      </c>
      <c r="E19" t="s">
        <v>146</v>
      </c>
      <c r="F19">
        <v>49</v>
      </c>
      <c r="G19">
        <v>49</v>
      </c>
      <c r="H19">
        <v>26</v>
      </c>
      <c r="I19" t="s">
        <v>147</v>
      </c>
      <c r="J19" s="1">
        <v>45574</v>
      </c>
      <c r="K19" t="s">
        <v>148</v>
      </c>
      <c r="L19" s="1">
        <v>45298</v>
      </c>
      <c r="M19" t="s">
        <v>149</v>
      </c>
      <c r="N19">
        <v>78</v>
      </c>
      <c r="O19">
        <v>61</v>
      </c>
      <c r="P19" t="s">
        <v>26</v>
      </c>
    </row>
    <row r="20" spans="1:16" x14ac:dyDescent="0.4">
      <c r="A20" t="s">
        <v>150</v>
      </c>
      <c r="B20" t="s">
        <v>28</v>
      </c>
      <c r="C20" t="s">
        <v>29</v>
      </c>
      <c r="D20" t="s">
        <v>151</v>
      </c>
      <c r="E20" t="s">
        <v>152</v>
      </c>
      <c r="F20">
        <v>55</v>
      </c>
      <c r="G20">
        <v>93</v>
      </c>
      <c r="H20">
        <v>84</v>
      </c>
      <c r="I20" t="s">
        <v>32</v>
      </c>
      <c r="J20" t="s">
        <v>33</v>
      </c>
      <c r="K20" s="1">
        <v>45515</v>
      </c>
      <c r="L20" s="1">
        <v>45417</v>
      </c>
      <c r="M20" t="s">
        <v>153</v>
      </c>
      <c r="N20">
        <v>46</v>
      </c>
      <c r="O20">
        <v>84</v>
      </c>
      <c r="P20" t="s">
        <v>51</v>
      </c>
    </row>
    <row r="21" spans="1:16" x14ac:dyDescent="0.4">
      <c r="A21" t="s">
        <v>154</v>
      </c>
      <c r="B21" t="s">
        <v>103</v>
      </c>
      <c r="C21" t="s">
        <v>18</v>
      </c>
      <c r="D21" t="s">
        <v>155</v>
      </c>
      <c r="E21" t="s">
        <v>156</v>
      </c>
      <c r="F21">
        <v>65</v>
      </c>
      <c r="G21">
        <v>61</v>
      </c>
      <c r="H21">
        <v>82</v>
      </c>
      <c r="I21" t="s">
        <v>106</v>
      </c>
      <c r="J21" t="s">
        <v>157</v>
      </c>
      <c r="K21" s="1">
        <v>45871</v>
      </c>
      <c r="L21" t="s">
        <v>158</v>
      </c>
      <c r="M21" t="s">
        <v>159</v>
      </c>
      <c r="N21">
        <v>29</v>
      </c>
      <c r="O21">
        <v>11</v>
      </c>
      <c r="P21" t="s">
        <v>42</v>
      </c>
    </row>
    <row r="22" spans="1:16" x14ac:dyDescent="0.4">
      <c r="A22" t="s">
        <v>160</v>
      </c>
      <c r="B22" t="s">
        <v>161</v>
      </c>
      <c r="C22" t="s">
        <v>54</v>
      </c>
      <c r="D22" t="s">
        <v>162</v>
      </c>
      <c r="E22" t="s">
        <v>163</v>
      </c>
      <c r="F22">
        <v>72</v>
      </c>
      <c r="G22">
        <v>70</v>
      </c>
      <c r="H22">
        <v>99</v>
      </c>
      <c r="I22" t="s">
        <v>71</v>
      </c>
      <c r="J22" s="1">
        <v>45483</v>
      </c>
      <c r="K22" t="s">
        <v>164</v>
      </c>
      <c r="L22" t="s">
        <v>165</v>
      </c>
      <c r="M22" t="s">
        <v>166</v>
      </c>
      <c r="N22">
        <v>82</v>
      </c>
      <c r="O22">
        <v>32</v>
      </c>
      <c r="P22" t="s">
        <v>26</v>
      </c>
    </row>
    <row r="23" spans="1:16" x14ac:dyDescent="0.4">
      <c r="A23" t="s">
        <v>167</v>
      </c>
      <c r="B23" t="s">
        <v>168</v>
      </c>
      <c r="C23" t="s">
        <v>169</v>
      </c>
      <c r="D23" t="s">
        <v>170</v>
      </c>
      <c r="E23" t="s">
        <v>171</v>
      </c>
      <c r="F23">
        <v>49</v>
      </c>
      <c r="G23">
        <v>73</v>
      </c>
      <c r="H23">
        <v>48</v>
      </c>
      <c r="I23" t="s">
        <v>172</v>
      </c>
      <c r="J23" t="s">
        <v>173</v>
      </c>
      <c r="K23" s="1">
        <v>45301</v>
      </c>
      <c r="L23" s="1">
        <v>45360</v>
      </c>
      <c r="M23" t="s">
        <v>174</v>
      </c>
      <c r="N23">
        <v>52</v>
      </c>
      <c r="O23">
        <v>62</v>
      </c>
      <c r="P23" t="s">
        <v>51</v>
      </c>
    </row>
    <row r="24" spans="1:16" x14ac:dyDescent="0.4">
      <c r="A24" t="s">
        <v>175</v>
      </c>
      <c r="B24" t="s">
        <v>176</v>
      </c>
      <c r="C24" t="s">
        <v>54</v>
      </c>
      <c r="D24" t="s">
        <v>177</v>
      </c>
      <c r="E24" t="s">
        <v>178</v>
      </c>
      <c r="F24">
        <v>81</v>
      </c>
      <c r="G24">
        <v>99</v>
      </c>
      <c r="H24">
        <v>28</v>
      </c>
      <c r="I24" t="s">
        <v>106</v>
      </c>
      <c r="J24" t="s">
        <v>179</v>
      </c>
      <c r="K24" t="s">
        <v>180</v>
      </c>
      <c r="L24" t="s">
        <v>181</v>
      </c>
      <c r="M24" t="s">
        <v>182</v>
      </c>
      <c r="N24">
        <v>20</v>
      </c>
      <c r="O24">
        <v>85</v>
      </c>
      <c r="P24" t="s">
        <v>26</v>
      </c>
    </row>
    <row r="25" spans="1:16" x14ac:dyDescent="0.4">
      <c r="A25" t="s">
        <v>183</v>
      </c>
      <c r="B25" t="s">
        <v>184</v>
      </c>
      <c r="C25" t="s">
        <v>54</v>
      </c>
      <c r="D25" t="s">
        <v>185</v>
      </c>
      <c r="E25" t="s">
        <v>186</v>
      </c>
      <c r="F25">
        <v>88</v>
      </c>
      <c r="G25">
        <v>46</v>
      </c>
      <c r="H25">
        <v>55</v>
      </c>
      <c r="I25" t="s">
        <v>91</v>
      </c>
      <c r="J25" s="1">
        <v>45539</v>
      </c>
      <c r="K25" s="1">
        <v>45446</v>
      </c>
      <c r="L25" s="1">
        <v>45634</v>
      </c>
      <c r="M25" t="s">
        <v>187</v>
      </c>
      <c r="N25">
        <v>73</v>
      </c>
      <c r="O25">
        <v>63</v>
      </c>
      <c r="P25" t="s">
        <v>51</v>
      </c>
    </row>
    <row r="26" spans="1:16" x14ac:dyDescent="0.4">
      <c r="A26" t="s">
        <v>188</v>
      </c>
      <c r="B26" t="s">
        <v>189</v>
      </c>
      <c r="C26" t="s">
        <v>77</v>
      </c>
      <c r="D26" t="s">
        <v>190</v>
      </c>
      <c r="E26" t="s">
        <v>191</v>
      </c>
      <c r="F26">
        <v>63</v>
      </c>
      <c r="G26">
        <v>4</v>
      </c>
      <c r="H26">
        <v>85</v>
      </c>
      <c r="I26" t="s">
        <v>172</v>
      </c>
      <c r="J26" t="s">
        <v>192</v>
      </c>
      <c r="K26" t="s">
        <v>193</v>
      </c>
      <c r="L26" t="s">
        <v>179</v>
      </c>
      <c r="M26" t="s">
        <v>194</v>
      </c>
      <c r="N26">
        <v>59</v>
      </c>
      <c r="O26">
        <v>71</v>
      </c>
      <c r="P26" t="s">
        <v>51</v>
      </c>
    </row>
    <row r="27" spans="1:16" x14ac:dyDescent="0.4">
      <c r="A27" t="s">
        <v>195</v>
      </c>
      <c r="B27" t="s">
        <v>196</v>
      </c>
      <c r="C27" t="s">
        <v>18</v>
      </c>
      <c r="D27" t="s">
        <v>197</v>
      </c>
      <c r="E27" t="s">
        <v>198</v>
      </c>
      <c r="F27">
        <v>31</v>
      </c>
      <c r="G27">
        <v>43</v>
      </c>
      <c r="H27">
        <v>80</v>
      </c>
      <c r="I27" t="s">
        <v>47</v>
      </c>
      <c r="J27" t="s">
        <v>164</v>
      </c>
      <c r="K27" t="s">
        <v>199</v>
      </c>
      <c r="L27" t="s">
        <v>200</v>
      </c>
      <c r="M27" t="s">
        <v>201</v>
      </c>
      <c r="N27">
        <v>46</v>
      </c>
      <c r="O27">
        <v>78</v>
      </c>
      <c r="P27" t="s">
        <v>42</v>
      </c>
    </row>
    <row r="28" spans="1:16" x14ac:dyDescent="0.4">
      <c r="A28" t="s">
        <v>202</v>
      </c>
      <c r="B28" t="s">
        <v>203</v>
      </c>
      <c r="C28" t="s">
        <v>77</v>
      </c>
      <c r="D28" t="s">
        <v>204</v>
      </c>
      <c r="E28" t="s">
        <v>205</v>
      </c>
      <c r="F28">
        <v>97</v>
      </c>
      <c r="G28">
        <v>88</v>
      </c>
      <c r="H28">
        <v>81</v>
      </c>
      <c r="I28" t="s">
        <v>206</v>
      </c>
      <c r="J28" s="1">
        <v>45423</v>
      </c>
      <c r="K28" s="1">
        <v>45480</v>
      </c>
      <c r="L28" t="s">
        <v>207</v>
      </c>
      <c r="M28" t="s">
        <v>208</v>
      </c>
      <c r="N28">
        <v>97</v>
      </c>
      <c r="O28">
        <v>18</v>
      </c>
      <c r="P28" t="s">
        <v>26</v>
      </c>
    </row>
    <row r="29" spans="1:16" x14ac:dyDescent="0.4">
      <c r="A29" t="s">
        <v>209</v>
      </c>
      <c r="B29" t="s">
        <v>210</v>
      </c>
      <c r="C29" t="s">
        <v>54</v>
      </c>
      <c r="D29" t="s">
        <v>211</v>
      </c>
      <c r="E29" t="s">
        <v>212</v>
      </c>
      <c r="F29">
        <v>72</v>
      </c>
      <c r="G29">
        <v>87</v>
      </c>
      <c r="H29">
        <v>39</v>
      </c>
      <c r="I29" t="s">
        <v>39</v>
      </c>
      <c r="J29" t="s">
        <v>213</v>
      </c>
      <c r="K29" t="s">
        <v>214</v>
      </c>
      <c r="L29" t="s">
        <v>215</v>
      </c>
      <c r="M29" t="s">
        <v>216</v>
      </c>
      <c r="N29">
        <v>94</v>
      </c>
      <c r="O29">
        <v>57</v>
      </c>
      <c r="P29" t="s">
        <v>51</v>
      </c>
    </row>
    <row r="30" spans="1:16" x14ac:dyDescent="0.4">
      <c r="A30" t="s">
        <v>217</v>
      </c>
      <c r="B30" t="s">
        <v>218</v>
      </c>
      <c r="C30" t="s">
        <v>112</v>
      </c>
      <c r="D30" t="s">
        <v>219</v>
      </c>
      <c r="E30" t="s">
        <v>178</v>
      </c>
      <c r="F30">
        <v>16</v>
      </c>
      <c r="G30">
        <v>9</v>
      </c>
      <c r="H30">
        <v>32</v>
      </c>
      <c r="I30" t="s">
        <v>220</v>
      </c>
      <c r="J30" t="s">
        <v>221</v>
      </c>
      <c r="K30" t="s">
        <v>222</v>
      </c>
      <c r="L30" s="1">
        <v>45840</v>
      </c>
      <c r="M30" t="s">
        <v>223</v>
      </c>
      <c r="N30">
        <v>50</v>
      </c>
      <c r="O30">
        <v>98</v>
      </c>
      <c r="P30" t="s">
        <v>42</v>
      </c>
    </row>
    <row r="31" spans="1:16" x14ac:dyDescent="0.4">
      <c r="A31" t="s">
        <v>224</v>
      </c>
      <c r="B31" t="s">
        <v>225</v>
      </c>
      <c r="C31" t="s">
        <v>54</v>
      </c>
      <c r="D31" t="s">
        <v>226</v>
      </c>
      <c r="E31" t="s">
        <v>227</v>
      </c>
      <c r="F31">
        <v>77</v>
      </c>
      <c r="G31">
        <v>20</v>
      </c>
      <c r="H31">
        <v>5</v>
      </c>
      <c r="I31" t="s">
        <v>21</v>
      </c>
      <c r="J31" t="s">
        <v>228</v>
      </c>
      <c r="K31" t="s">
        <v>229</v>
      </c>
      <c r="L31" t="s">
        <v>230</v>
      </c>
      <c r="M31" t="s">
        <v>231</v>
      </c>
      <c r="N31">
        <v>61</v>
      </c>
      <c r="O31">
        <v>62</v>
      </c>
      <c r="P31" t="s">
        <v>26</v>
      </c>
    </row>
    <row r="32" spans="1:16" x14ac:dyDescent="0.4">
      <c r="A32" t="s">
        <v>232</v>
      </c>
      <c r="B32" t="s">
        <v>233</v>
      </c>
      <c r="C32" t="s">
        <v>54</v>
      </c>
      <c r="D32" t="s">
        <v>234</v>
      </c>
      <c r="E32" t="s">
        <v>235</v>
      </c>
      <c r="F32">
        <v>19</v>
      </c>
      <c r="G32">
        <v>36</v>
      </c>
      <c r="H32">
        <v>72</v>
      </c>
      <c r="I32" t="s">
        <v>63</v>
      </c>
      <c r="J32" s="1">
        <v>45356</v>
      </c>
      <c r="K32" t="s">
        <v>236</v>
      </c>
      <c r="L32" s="1">
        <v>45446</v>
      </c>
      <c r="M32" t="s">
        <v>237</v>
      </c>
      <c r="N32">
        <v>31</v>
      </c>
      <c r="O32">
        <v>81</v>
      </c>
      <c r="P32" t="s">
        <v>42</v>
      </c>
    </row>
    <row r="33" spans="1:16" x14ac:dyDescent="0.4">
      <c r="A33" t="s">
        <v>238</v>
      </c>
      <c r="B33" t="s">
        <v>239</v>
      </c>
      <c r="C33" t="s">
        <v>54</v>
      </c>
      <c r="D33" t="s">
        <v>240</v>
      </c>
      <c r="E33" t="s">
        <v>241</v>
      </c>
      <c r="F33">
        <v>18</v>
      </c>
      <c r="G33">
        <v>52</v>
      </c>
      <c r="H33">
        <v>22</v>
      </c>
      <c r="I33" t="s">
        <v>242</v>
      </c>
      <c r="J33" t="s">
        <v>243</v>
      </c>
      <c r="K33" t="s">
        <v>244</v>
      </c>
      <c r="L33" t="s">
        <v>245</v>
      </c>
      <c r="M33" t="s">
        <v>246</v>
      </c>
      <c r="N33">
        <v>42</v>
      </c>
      <c r="O33">
        <v>32</v>
      </c>
      <c r="P33" t="s">
        <v>42</v>
      </c>
    </row>
    <row r="34" spans="1:16" x14ac:dyDescent="0.4">
      <c r="A34" t="s">
        <v>247</v>
      </c>
      <c r="B34" t="s">
        <v>248</v>
      </c>
      <c r="C34" t="s">
        <v>68</v>
      </c>
      <c r="D34" t="s">
        <v>249</v>
      </c>
      <c r="E34" t="s">
        <v>250</v>
      </c>
      <c r="F34">
        <v>47</v>
      </c>
      <c r="G34">
        <v>48</v>
      </c>
      <c r="H34">
        <v>73</v>
      </c>
      <c r="I34" t="s">
        <v>39</v>
      </c>
      <c r="J34" t="s">
        <v>251</v>
      </c>
      <c r="K34" t="s">
        <v>252</v>
      </c>
      <c r="L34" s="1">
        <v>45415</v>
      </c>
      <c r="M34" t="s">
        <v>253</v>
      </c>
      <c r="N34">
        <v>42</v>
      </c>
      <c r="O34">
        <v>51</v>
      </c>
      <c r="P34" t="s">
        <v>26</v>
      </c>
    </row>
    <row r="35" spans="1:16" x14ac:dyDescent="0.4">
      <c r="A35" t="s">
        <v>254</v>
      </c>
      <c r="B35" t="s">
        <v>255</v>
      </c>
      <c r="C35" t="s">
        <v>29</v>
      </c>
      <c r="D35" t="s">
        <v>256</v>
      </c>
      <c r="E35" t="s">
        <v>257</v>
      </c>
      <c r="F35">
        <v>77</v>
      </c>
      <c r="G35">
        <v>45</v>
      </c>
      <c r="H35">
        <v>75</v>
      </c>
      <c r="I35" t="s">
        <v>258</v>
      </c>
      <c r="J35" s="1">
        <v>45423</v>
      </c>
      <c r="K35" t="s">
        <v>259</v>
      </c>
      <c r="L35" t="s">
        <v>260</v>
      </c>
      <c r="M35" t="s">
        <v>261</v>
      </c>
      <c r="N35">
        <v>25</v>
      </c>
      <c r="O35">
        <v>37</v>
      </c>
      <c r="P35" t="s">
        <v>26</v>
      </c>
    </row>
    <row r="36" spans="1:16" x14ac:dyDescent="0.4">
      <c r="A36" t="s">
        <v>262</v>
      </c>
      <c r="B36" t="s">
        <v>263</v>
      </c>
      <c r="C36" t="s">
        <v>169</v>
      </c>
      <c r="D36" t="s">
        <v>264</v>
      </c>
      <c r="E36" t="s">
        <v>265</v>
      </c>
      <c r="F36">
        <v>46</v>
      </c>
      <c r="G36">
        <v>28</v>
      </c>
      <c r="H36">
        <v>73</v>
      </c>
      <c r="I36" t="s">
        <v>266</v>
      </c>
      <c r="J36" t="s">
        <v>164</v>
      </c>
      <c r="K36" t="s">
        <v>267</v>
      </c>
      <c r="L36" t="s">
        <v>268</v>
      </c>
      <c r="M36" t="s">
        <v>269</v>
      </c>
      <c r="N36">
        <v>65</v>
      </c>
      <c r="O36">
        <v>57</v>
      </c>
      <c r="P36" t="s">
        <v>26</v>
      </c>
    </row>
    <row r="37" spans="1:16" x14ac:dyDescent="0.4">
      <c r="A37" t="s">
        <v>270</v>
      </c>
      <c r="B37" t="s">
        <v>271</v>
      </c>
      <c r="C37" t="s">
        <v>54</v>
      </c>
      <c r="D37" t="s">
        <v>272</v>
      </c>
      <c r="E37" t="s">
        <v>273</v>
      </c>
      <c r="F37">
        <v>39</v>
      </c>
      <c r="G37">
        <v>22</v>
      </c>
      <c r="H37">
        <v>73</v>
      </c>
      <c r="I37" t="s">
        <v>106</v>
      </c>
      <c r="J37" s="1">
        <v>45602</v>
      </c>
      <c r="K37" t="s">
        <v>274</v>
      </c>
      <c r="L37" t="s">
        <v>267</v>
      </c>
      <c r="M37" t="s">
        <v>275</v>
      </c>
      <c r="N37">
        <v>60</v>
      </c>
      <c r="O37">
        <v>2</v>
      </c>
      <c r="P37" t="s">
        <v>51</v>
      </c>
    </row>
    <row r="38" spans="1:16" x14ac:dyDescent="0.4">
      <c r="A38" t="s">
        <v>276</v>
      </c>
      <c r="B38" t="s">
        <v>17</v>
      </c>
      <c r="C38" t="s">
        <v>18</v>
      </c>
      <c r="D38" t="s">
        <v>277</v>
      </c>
      <c r="E38" t="s">
        <v>278</v>
      </c>
      <c r="F38">
        <v>75</v>
      </c>
      <c r="G38">
        <v>69</v>
      </c>
      <c r="H38">
        <v>100</v>
      </c>
      <c r="I38" t="s">
        <v>21</v>
      </c>
      <c r="J38" s="1">
        <v>45603</v>
      </c>
      <c r="K38" t="s">
        <v>279</v>
      </c>
      <c r="L38" t="s">
        <v>280</v>
      </c>
      <c r="M38" t="s">
        <v>281</v>
      </c>
      <c r="N38">
        <v>43</v>
      </c>
      <c r="O38">
        <v>18</v>
      </c>
      <c r="P38" t="s">
        <v>42</v>
      </c>
    </row>
    <row r="39" spans="1:16" x14ac:dyDescent="0.4">
      <c r="A39" t="s">
        <v>282</v>
      </c>
      <c r="B39" t="s">
        <v>239</v>
      </c>
      <c r="C39" t="s">
        <v>54</v>
      </c>
      <c r="D39" t="s">
        <v>283</v>
      </c>
      <c r="E39" t="s">
        <v>284</v>
      </c>
      <c r="F39">
        <v>48</v>
      </c>
      <c r="G39">
        <v>48</v>
      </c>
      <c r="H39">
        <v>39</v>
      </c>
      <c r="I39" t="s">
        <v>285</v>
      </c>
      <c r="J39" t="s">
        <v>215</v>
      </c>
      <c r="K39" t="s">
        <v>286</v>
      </c>
      <c r="L39" t="s">
        <v>287</v>
      </c>
      <c r="M39" t="s">
        <v>288</v>
      </c>
      <c r="N39">
        <v>51</v>
      </c>
      <c r="O39">
        <v>50</v>
      </c>
      <c r="P39" t="s">
        <v>26</v>
      </c>
    </row>
    <row r="40" spans="1:16" x14ac:dyDescent="0.4">
      <c r="A40" t="s">
        <v>289</v>
      </c>
      <c r="B40" t="s">
        <v>290</v>
      </c>
      <c r="C40" t="s">
        <v>54</v>
      </c>
      <c r="D40" t="s">
        <v>291</v>
      </c>
      <c r="E40" t="s">
        <v>292</v>
      </c>
      <c r="F40">
        <v>61</v>
      </c>
      <c r="G40">
        <v>90</v>
      </c>
      <c r="H40">
        <v>26</v>
      </c>
      <c r="I40" t="s">
        <v>71</v>
      </c>
      <c r="J40" t="s">
        <v>293</v>
      </c>
      <c r="K40" s="1">
        <v>45482</v>
      </c>
      <c r="L40" t="s">
        <v>24</v>
      </c>
      <c r="M40" t="s">
        <v>294</v>
      </c>
      <c r="N40">
        <v>79</v>
      </c>
      <c r="O40">
        <v>84</v>
      </c>
      <c r="P40" t="s">
        <v>26</v>
      </c>
    </row>
    <row r="41" spans="1:16" x14ac:dyDescent="0.4">
      <c r="A41" t="s">
        <v>295</v>
      </c>
      <c r="B41" t="s">
        <v>296</v>
      </c>
      <c r="C41" t="s">
        <v>18</v>
      </c>
      <c r="D41" t="s">
        <v>297</v>
      </c>
      <c r="E41" t="s">
        <v>298</v>
      </c>
      <c r="F41">
        <v>60</v>
      </c>
      <c r="G41">
        <v>90</v>
      </c>
      <c r="H41">
        <v>85</v>
      </c>
      <c r="I41" t="s">
        <v>85</v>
      </c>
      <c r="J41" t="s">
        <v>299</v>
      </c>
      <c r="K41" t="s">
        <v>300</v>
      </c>
      <c r="L41" t="s">
        <v>301</v>
      </c>
      <c r="M41" t="s">
        <v>302</v>
      </c>
      <c r="N41">
        <v>47</v>
      </c>
      <c r="O41">
        <v>9</v>
      </c>
      <c r="P41" t="s">
        <v>26</v>
      </c>
    </row>
    <row r="42" spans="1:16" x14ac:dyDescent="0.4">
      <c r="A42" t="s">
        <v>303</v>
      </c>
      <c r="B42" t="s">
        <v>304</v>
      </c>
      <c r="C42" t="s">
        <v>54</v>
      </c>
      <c r="D42" t="s">
        <v>305</v>
      </c>
      <c r="E42" t="s">
        <v>306</v>
      </c>
      <c r="F42">
        <v>24</v>
      </c>
      <c r="G42">
        <v>55</v>
      </c>
      <c r="H42">
        <v>51</v>
      </c>
      <c r="I42" t="s">
        <v>220</v>
      </c>
      <c r="J42" t="s">
        <v>307</v>
      </c>
      <c r="K42" t="s">
        <v>214</v>
      </c>
      <c r="L42" t="s">
        <v>308</v>
      </c>
      <c r="M42" t="s">
        <v>309</v>
      </c>
      <c r="N42">
        <v>39</v>
      </c>
      <c r="O42">
        <v>15</v>
      </c>
      <c r="P42" t="s">
        <v>26</v>
      </c>
    </row>
    <row r="43" spans="1:16" x14ac:dyDescent="0.4">
      <c r="A43" t="s">
        <v>310</v>
      </c>
      <c r="B43" t="s">
        <v>311</v>
      </c>
      <c r="C43" t="s">
        <v>54</v>
      </c>
      <c r="D43" t="s">
        <v>312</v>
      </c>
      <c r="E43" t="s">
        <v>313</v>
      </c>
      <c r="F43">
        <v>12</v>
      </c>
      <c r="G43">
        <v>7</v>
      </c>
      <c r="H43">
        <v>48</v>
      </c>
      <c r="I43" t="s">
        <v>314</v>
      </c>
      <c r="J43" t="s">
        <v>213</v>
      </c>
      <c r="K43" t="s">
        <v>315</v>
      </c>
      <c r="L43" s="1">
        <v>45418</v>
      </c>
      <c r="M43" t="s">
        <v>316</v>
      </c>
      <c r="N43">
        <v>66</v>
      </c>
      <c r="O43">
        <v>4</v>
      </c>
      <c r="P43" t="s">
        <v>26</v>
      </c>
    </row>
    <row r="44" spans="1:16" x14ac:dyDescent="0.4">
      <c r="A44" t="s">
        <v>317</v>
      </c>
      <c r="B44" t="s">
        <v>318</v>
      </c>
      <c r="C44" t="s">
        <v>29</v>
      </c>
      <c r="D44" t="s">
        <v>319</v>
      </c>
      <c r="E44" t="s">
        <v>205</v>
      </c>
      <c r="F44">
        <v>84</v>
      </c>
      <c r="G44">
        <v>13</v>
      </c>
      <c r="H44">
        <v>88</v>
      </c>
      <c r="I44" t="s">
        <v>320</v>
      </c>
      <c r="J44" t="s">
        <v>321</v>
      </c>
      <c r="K44" s="1">
        <v>45394</v>
      </c>
      <c r="L44" t="s">
        <v>322</v>
      </c>
      <c r="M44" t="s">
        <v>323</v>
      </c>
      <c r="N44">
        <v>25</v>
      </c>
      <c r="O44">
        <v>34</v>
      </c>
      <c r="P44" t="s">
        <v>42</v>
      </c>
    </row>
    <row r="45" spans="1:16" x14ac:dyDescent="0.4">
      <c r="A45" t="s">
        <v>324</v>
      </c>
      <c r="B45" t="s">
        <v>325</v>
      </c>
      <c r="C45" t="s">
        <v>77</v>
      </c>
      <c r="D45" t="s">
        <v>326</v>
      </c>
      <c r="E45" t="s">
        <v>327</v>
      </c>
      <c r="F45">
        <v>51</v>
      </c>
      <c r="G45">
        <v>100</v>
      </c>
      <c r="H45">
        <v>70</v>
      </c>
      <c r="I45" t="s">
        <v>85</v>
      </c>
      <c r="J45" t="s">
        <v>328</v>
      </c>
      <c r="K45" t="s">
        <v>329</v>
      </c>
      <c r="L45" t="s">
        <v>40</v>
      </c>
      <c r="M45" t="s">
        <v>330</v>
      </c>
      <c r="N45">
        <v>40</v>
      </c>
      <c r="O45">
        <v>21</v>
      </c>
      <c r="P45" t="s">
        <v>26</v>
      </c>
    </row>
    <row r="46" spans="1:16" x14ac:dyDescent="0.4">
      <c r="A46" t="s">
        <v>331</v>
      </c>
      <c r="B46" t="s">
        <v>332</v>
      </c>
      <c r="C46" t="s">
        <v>112</v>
      </c>
      <c r="D46" t="s">
        <v>333</v>
      </c>
      <c r="E46" t="s">
        <v>334</v>
      </c>
      <c r="F46">
        <v>65</v>
      </c>
      <c r="G46">
        <v>36</v>
      </c>
      <c r="H46">
        <v>37</v>
      </c>
      <c r="I46" t="s">
        <v>242</v>
      </c>
      <c r="J46" t="s">
        <v>335</v>
      </c>
      <c r="K46" s="1">
        <v>45632</v>
      </c>
      <c r="L46" t="s">
        <v>336</v>
      </c>
      <c r="M46" t="s">
        <v>337</v>
      </c>
      <c r="N46">
        <v>32</v>
      </c>
      <c r="O46">
        <v>70</v>
      </c>
      <c r="P46" t="s">
        <v>42</v>
      </c>
    </row>
    <row r="47" spans="1:16" x14ac:dyDescent="0.4">
      <c r="A47" t="s">
        <v>338</v>
      </c>
      <c r="B47" t="s">
        <v>44</v>
      </c>
      <c r="C47" t="s">
        <v>18</v>
      </c>
      <c r="D47" t="s">
        <v>339</v>
      </c>
      <c r="E47" t="s">
        <v>340</v>
      </c>
      <c r="F47">
        <v>67</v>
      </c>
      <c r="G47">
        <v>88</v>
      </c>
      <c r="H47">
        <v>32</v>
      </c>
      <c r="I47" t="s">
        <v>47</v>
      </c>
      <c r="J47" s="1">
        <v>45447</v>
      </c>
      <c r="K47" s="1">
        <v>45296</v>
      </c>
      <c r="L47" t="s">
        <v>341</v>
      </c>
      <c r="M47" t="s">
        <v>342</v>
      </c>
      <c r="N47">
        <v>66</v>
      </c>
      <c r="O47">
        <v>42</v>
      </c>
      <c r="P47" t="s">
        <v>26</v>
      </c>
    </row>
    <row r="48" spans="1:16" x14ac:dyDescent="0.4">
      <c r="A48" t="s">
        <v>343</v>
      </c>
      <c r="B48" t="s">
        <v>138</v>
      </c>
      <c r="C48" t="s">
        <v>18</v>
      </c>
      <c r="D48" t="s">
        <v>344</v>
      </c>
      <c r="E48" t="s">
        <v>345</v>
      </c>
      <c r="F48">
        <v>14</v>
      </c>
      <c r="G48">
        <v>74</v>
      </c>
      <c r="H48">
        <v>71</v>
      </c>
      <c r="I48" t="s">
        <v>47</v>
      </c>
      <c r="J48" t="s">
        <v>228</v>
      </c>
      <c r="K48" t="s">
        <v>346</v>
      </c>
      <c r="L48" t="s">
        <v>347</v>
      </c>
      <c r="M48" t="s">
        <v>348</v>
      </c>
      <c r="N48">
        <v>37</v>
      </c>
      <c r="O48">
        <v>22</v>
      </c>
      <c r="P48" t="s">
        <v>26</v>
      </c>
    </row>
    <row r="49" spans="1:16" x14ac:dyDescent="0.4">
      <c r="A49" t="s">
        <v>349</v>
      </c>
      <c r="B49" t="s">
        <v>350</v>
      </c>
      <c r="C49" t="s">
        <v>54</v>
      </c>
      <c r="D49" t="s">
        <v>351</v>
      </c>
      <c r="E49" t="s">
        <v>352</v>
      </c>
      <c r="F49">
        <v>45</v>
      </c>
      <c r="G49">
        <v>24</v>
      </c>
      <c r="H49">
        <v>61</v>
      </c>
      <c r="I49" t="s">
        <v>39</v>
      </c>
      <c r="J49" t="s">
        <v>299</v>
      </c>
      <c r="K49" s="1">
        <v>45840</v>
      </c>
      <c r="L49" t="s">
        <v>353</v>
      </c>
      <c r="M49" t="s">
        <v>354</v>
      </c>
      <c r="N49">
        <v>44</v>
      </c>
      <c r="O49">
        <v>34</v>
      </c>
      <c r="P49" t="s">
        <v>42</v>
      </c>
    </row>
    <row r="50" spans="1:16" x14ac:dyDescent="0.4">
      <c r="A50" t="s">
        <v>355</v>
      </c>
      <c r="B50" t="s">
        <v>304</v>
      </c>
      <c r="C50" t="s">
        <v>54</v>
      </c>
      <c r="D50" t="s">
        <v>356</v>
      </c>
      <c r="E50" t="s">
        <v>357</v>
      </c>
      <c r="F50">
        <v>92</v>
      </c>
      <c r="G50">
        <v>46</v>
      </c>
      <c r="H50">
        <v>13</v>
      </c>
      <c r="I50" t="s">
        <v>220</v>
      </c>
      <c r="J50" t="s">
        <v>358</v>
      </c>
      <c r="K50" t="s">
        <v>359</v>
      </c>
      <c r="L50" t="s">
        <v>360</v>
      </c>
      <c r="M50" t="s">
        <v>361</v>
      </c>
      <c r="N50">
        <v>24</v>
      </c>
      <c r="O50">
        <v>75</v>
      </c>
      <c r="P50" t="s">
        <v>26</v>
      </c>
    </row>
    <row r="51" spans="1:16" x14ac:dyDescent="0.4">
      <c r="A51" t="s">
        <v>362</v>
      </c>
      <c r="B51" t="s">
        <v>363</v>
      </c>
      <c r="C51" t="s">
        <v>112</v>
      </c>
      <c r="D51" t="s">
        <v>364</v>
      </c>
      <c r="E51" t="s">
        <v>365</v>
      </c>
      <c r="F51">
        <v>41</v>
      </c>
      <c r="G51">
        <v>84</v>
      </c>
      <c r="H51">
        <v>90</v>
      </c>
      <c r="I51" t="s">
        <v>57</v>
      </c>
      <c r="J51" t="s">
        <v>366</v>
      </c>
      <c r="K51" t="s">
        <v>367</v>
      </c>
      <c r="L51" s="1">
        <v>45637</v>
      </c>
      <c r="M51" t="s">
        <v>368</v>
      </c>
      <c r="N51">
        <v>42</v>
      </c>
      <c r="O51">
        <v>65</v>
      </c>
      <c r="P51" t="s">
        <v>51</v>
      </c>
    </row>
    <row r="52" spans="1:16" x14ac:dyDescent="0.4">
      <c r="A52" t="s">
        <v>369</v>
      </c>
      <c r="B52" t="s">
        <v>296</v>
      </c>
      <c r="C52" t="s">
        <v>18</v>
      </c>
      <c r="D52" t="s">
        <v>370</v>
      </c>
      <c r="E52" t="s">
        <v>371</v>
      </c>
      <c r="F52">
        <v>41</v>
      </c>
      <c r="G52">
        <v>36</v>
      </c>
      <c r="H52">
        <v>78</v>
      </c>
      <c r="I52" t="s">
        <v>21</v>
      </c>
      <c r="J52" s="1">
        <v>45389</v>
      </c>
      <c r="K52" s="1">
        <v>45392</v>
      </c>
      <c r="L52" t="s">
        <v>372</v>
      </c>
      <c r="M52" t="s">
        <v>373</v>
      </c>
      <c r="N52">
        <v>38</v>
      </c>
      <c r="O52">
        <v>75</v>
      </c>
      <c r="P52" t="s">
        <v>42</v>
      </c>
    </row>
    <row r="53" spans="1:16" x14ac:dyDescent="0.4">
      <c r="A53" t="s">
        <v>374</v>
      </c>
      <c r="B53" t="s">
        <v>375</v>
      </c>
      <c r="C53" t="s">
        <v>54</v>
      </c>
      <c r="D53" t="s">
        <v>376</v>
      </c>
      <c r="E53" t="s">
        <v>163</v>
      </c>
      <c r="F53">
        <v>85</v>
      </c>
      <c r="G53">
        <v>45</v>
      </c>
      <c r="H53">
        <v>71</v>
      </c>
      <c r="I53" t="s">
        <v>85</v>
      </c>
      <c r="J53" t="s">
        <v>300</v>
      </c>
      <c r="K53" t="s">
        <v>158</v>
      </c>
      <c r="L53" s="1">
        <v>45690</v>
      </c>
      <c r="M53" t="s">
        <v>377</v>
      </c>
      <c r="N53">
        <v>95</v>
      </c>
      <c r="O53">
        <v>72</v>
      </c>
      <c r="P53" t="s">
        <v>26</v>
      </c>
    </row>
    <row r="54" spans="1:16" x14ac:dyDescent="0.4">
      <c r="A54" t="s">
        <v>378</v>
      </c>
      <c r="B54" t="s">
        <v>239</v>
      </c>
      <c r="C54" t="s">
        <v>54</v>
      </c>
      <c r="D54" t="s">
        <v>379</v>
      </c>
      <c r="E54" t="s">
        <v>380</v>
      </c>
      <c r="F54">
        <v>44</v>
      </c>
      <c r="G54">
        <v>80</v>
      </c>
      <c r="H54">
        <v>84</v>
      </c>
      <c r="I54" t="s">
        <v>381</v>
      </c>
      <c r="J54" t="s">
        <v>382</v>
      </c>
      <c r="K54" t="s">
        <v>383</v>
      </c>
      <c r="L54" s="1">
        <v>45415</v>
      </c>
      <c r="M54" t="s">
        <v>384</v>
      </c>
      <c r="N54">
        <v>96</v>
      </c>
      <c r="O54">
        <v>68</v>
      </c>
      <c r="P54" t="s">
        <v>26</v>
      </c>
    </row>
    <row r="55" spans="1:16" x14ac:dyDescent="0.4">
      <c r="A55" t="s">
        <v>385</v>
      </c>
      <c r="B55" t="s">
        <v>386</v>
      </c>
      <c r="C55" t="s">
        <v>112</v>
      </c>
      <c r="D55" t="s">
        <v>387</v>
      </c>
      <c r="E55" t="s">
        <v>273</v>
      </c>
      <c r="F55">
        <v>92</v>
      </c>
      <c r="G55">
        <v>87</v>
      </c>
      <c r="H55">
        <v>84</v>
      </c>
      <c r="I55" t="s">
        <v>71</v>
      </c>
      <c r="J55" t="s">
        <v>107</v>
      </c>
      <c r="K55" t="s">
        <v>128</v>
      </c>
      <c r="L55" t="s">
        <v>388</v>
      </c>
      <c r="M55" t="s">
        <v>389</v>
      </c>
      <c r="N55">
        <v>61</v>
      </c>
      <c r="O55">
        <v>31</v>
      </c>
      <c r="P55" t="s">
        <v>42</v>
      </c>
    </row>
    <row r="56" spans="1:16" x14ac:dyDescent="0.4">
      <c r="A56" t="s">
        <v>390</v>
      </c>
      <c r="B56" t="s">
        <v>391</v>
      </c>
      <c r="C56" t="s">
        <v>29</v>
      </c>
      <c r="D56" t="s">
        <v>392</v>
      </c>
      <c r="E56" t="s">
        <v>393</v>
      </c>
      <c r="F56">
        <v>62</v>
      </c>
      <c r="G56">
        <v>89</v>
      </c>
      <c r="H56">
        <v>18</v>
      </c>
      <c r="I56" t="s">
        <v>172</v>
      </c>
      <c r="J56" s="1">
        <v>45629</v>
      </c>
      <c r="K56" s="1">
        <v>45993</v>
      </c>
      <c r="L56" t="s">
        <v>367</v>
      </c>
      <c r="M56" t="s">
        <v>394</v>
      </c>
      <c r="N56">
        <v>35</v>
      </c>
      <c r="O56">
        <v>36</v>
      </c>
      <c r="P56" t="s">
        <v>51</v>
      </c>
    </row>
    <row r="57" spans="1:16" x14ac:dyDescent="0.4">
      <c r="A57" t="s">
        <v>395</v>
      </c>
      <c r="B57" t="s">
        <v>290</v>
      </c>
      <c r="C57" t="s">
        <v>54</v>
      </c>
      <c r="D57" t="s">
        <v>396</v>
      </c>
      <c r="E57" t="s">
        <v>235</v>
      </c>
      <c r="F57">
        <v>26</v>
      </c>
      <c r="G57">
        <v>18</v>
      </c>
      <c r="H57">
        <v>62</v>
      </c>
      <c r="I57" t="s">
        <v>71</v>
      </c>
      <c r="J57" t="s">
        <v>358</v>
      </c>
      <c r="K57" t="s">
        <v>397</v>
      </c>
      <c r="L57" s="1">
        <v>45690</v>
      </c>
      <c r="M57" t="s">
        <v>398</v>
      </c>
      <c r="N57">
        <v>57</v>
      </c>
      <c r="O57">
        <v>86</v>
      </c>
      <c r="P57" t="s">
        <v>26</v>
      </c>
    </row>
    <row r="58" spans="1:16" x14ac:dyDescent="0.4">
      <c r="A58" t="s">
        <v>399</v>
      </c>
      <c r="B58" t="s">
        <v>363</v>
      </c>
      <c r="C58" t="s">
        <v>112</v>
      </c>
      <c r="D58" t="s">
        <v>400</v>
      </c>
      <c r="E58" t="s">
        <v>401</v>
      </c>
      <c r="F58">
        <v>59</v>
      </c>
      <c r="G58">
        <v>78</v>
      </c>
      <c r="H58">
        <v>6</v>
      </c>
      <c r="I58" t="s">
        <v>21</v>
      </c>
      <c r="J58" s="1">
        <v>45362</v>
      </c>
      <c r="K58" s="1">
        <v>45571</v>
      </c>
      <c r="L58" t="s">
        <v>402</v>
      </c>
      <c r="M58" t="s">
        <v>403</v>
      </c>
      <c r="N58">
        <v>32</v>
      </c>
      <c r="O58">
        <v>3</v>
      </c>
      <c r="P58" t="s">
        <v>51</v>
      </c>
    </row>
    <row r="59" spans="1:16" x14ac:dyDescent="0.4">
      <c r="A59" t="s">
        <v>404</v>
      </c>
      <c r="B59" t="s">
        <v>375</v>
      </c>
      <c r="C59" t="s">
        <v>54</v>
      </c>
      <c r="D59" t="s">
        <v>405</v>
      </c>
      <c r="E59" t="s">
        <v>406</v>
      </c>
      <c r="F59">
        <v>88</v>
      </c>
      <c r="G59">
        <v>37</v>
      </c>
      <c r="H59">
        <v>61</v>
      </c>
      <c r="I59" t="s">
        <v>407</v>
      </c>
      <c r="J59" s="1">
        <v>45718</v>
      </c>
      <c r="K59" t="s">
        <v>408</v>
      </c>
      <c r="L59" t="s">
        <v>409</v>
      </c>
      <c r="M59" t="s">
        <v>410</v>
      </c>
      <c r="N59">
        <v>63</v>
      </c>
      <c r="O59">
        <v>35</v>
      </c>
      <c r="P59" t="s">
        <v>26</v>
      </c>
    </row>
    <row r="60" spans="1:16" x14ac:dyDescent="0.4">
      <c r="A60" t="s">
        <v>411</v>
      </c>
      <c r="B60" t="s">
        <v>412</v>
      </c>
      <c r="C60" t="s">
        <v>169</v>
      </c>
      <c r="D60" t="s">
        <v>413</v>
      </c>
      <c r="E60" t="s">
        <v>414</v>
      </c>
      <c r="F60">
        <v>91</v>
      </c>
      <c r="G60">
        <v>59</v>
      </c>
      <c r="H60">
        <v>49</v>
      </c>
      <c r="I60" t="s">
        <v>39</v>
      </c>
      <c r="J60" t="s">
        <v>415</v>
      </c>
      <c r="K60" s="1">
        <v>45416</v>
      </c>
      <c r="L60" t="s">
        <v>207</v>
      </c>
      <c r="M60" t="s">
        <v>416</v>
      </c>
      <c r="N60">
        <v>30</v>
      </c>
      <c r="O60">
        <v>63</v>
      </c>
      <c r="P60" t="s">
        <v>51</v>
      </c>
    </row>
    <row r="61" spans="1:16" x14ac:dyDescent="0.4">
      <c r="A61" t="s">
        <v>417</v>
      </c>
      <c r="B61" t="s">
        <v>248</v>
      </c>
      <c r="C61" t="s">
        <v>68</v>
      </c>
      <c r="D61" t="s">
        <v>418</v>
      </c>
      <c r="E61" t="s">
        <v>419</v>
      </c>
      <c r="F61">
        <v>28</v>
      </c>
      <c r="G61">
        <v>17</v>
      </c>
      <c r="H61">
        <v>28</v>
      </c>
      <c r="I61" t="s">
        <v>39</v>
      </c>
      <c r="J61" t="s">
        <v>420</v>
      </c>
      <c r="K61" t="s">
        <v>421</v>
      </c>
      <c r="L61" t="s">
        <v>422</v>
      </c>
      <c r="M61" t="s">
        <v>423</v>
      </c>
      <c r="N61">
        <v>38</v>
      </c>
      <c r="O61">
        <v>25</v>
      </c>
      <c r="P61" t="s">
        <v>51</v>
      </c>
    </row>
    <row r="62" spans="1:16" x14ac:dyDescent="0.4">
      <c r="A62" t="s">
        <v>424</v>
      </c>
      <c r="B62" t="s">
        <v>425</v>
      </c>
      <c r="C62" t="s">
        <v>54</v>
      </c>
      <c r="D62" t="s">
        <v>426</v>
      </c>
      <c r="E62" t="s">
        <v>427</v>
      </c>
      <c r="F62">
        <v>51</v>
      </c>
      <c r="G62">
        <v>60</v>
      </c>
      <c r="H62">
        <v>98</v>
      </c>
      <c r="I62" t="s">
        <v>47</v>
      </c>
      <c r="J62" s="1">
        <v>45296</v>
      </c>
      <c r="K62" s="1">
        <v>45638</v>
      </c>
      <c r="L62" t="s">
        <v>428</v>
      </c>
      <c r="M62" t="s">
        <v>429</v>
      </c>
      <c r="N62">
        <v>44</v>
      </c>
      <c r="O62">
        <v>95</v>
      </c>
      <c r="P62" t="s">
        <v>26</v>
      </c>
    </row>
    <row r="63" spans="1:16" x14ac:dyDescent="0.4">
      <c r="A63" t="s">
        <v>430</v>
      </c>
      <c r="B63" t="s">
        <v>431</v>
      </c>
      <c r="C63" t="s">
        <v>29</v>
      </c>
      <c r="D63" t="s">
        <v>432</v>
      </c>
      <c r="E63" t="s">
        <v>433</v>
      </c>
      <c r="F63">
        <v>46</v>
      </c>
      <c r="G63">
        <v>27</v>
      </c>
      <c r="H63">
        <v>76</v>
      </c>
      <c r="I63" t="s">
        <v>220</v>
      </c>
      <c r="J63" t="s">
        <v>434</v>
      </c>
      <c r="K63" t="s">
        <v>435</v>
      </c>
      <c r="L63" t="s">
        <v>193</v>
      </c>
      <c r="M63" t="s">
        <v>436</v>
      </c>
      <c r="N63">
        <v>64</v>
      </c>
      <c r="O63">
        <v>96</v>
      </c>
      <c r="P63" t="s">
        <v>51</v>
      </c>
    </row>
    <row r="64" spans="1:16" x14ac:dyDescent="0.4">
      <c r="A64" t="s">
        <v>437</v>
      </c>
      <c r="B64" t="s">
        <v>225</v>
      </c>
      <c r="C64" t="s">
        <v>54</v>
      </c>
      <c r="D64" t="s">
        <v>438</v>
      </c>
      <c r="E64" t="s">
        <v>439</v>
      </c>
      <c r="F64">
        <v>82</v>
      </c>
      <c r="G64">
        <v>65</v>
      </c>
      <c r="H64">
        <v>69</v>
      </c>
      <c r="I64" t="s">
        <v>440</v>
      </c>
      <c r="J64" s="1">
        <v>45600</v>
      </c>
      <c r="K64" s="1">
        <v>45637</v>
      </c>
      <c r="L64" s="1">
        <v>45512</v>
      </c>
      <c r="M64" t="s">
        <v>441</v>
      </c>
      <c r="N64">
        <v>30</v>
      </c>
      <c r="O64">
        <v>78</v>
      </c>
      <c r="P64" t="s">
        <v>42</v>
      </c>
    </row>
    <row r="65" spans="1:16" x14ac:dyDescent="0.4">
      <c r="A65" t="s">
        <v>442</v>
      </c>
      <c r="B65" t="s">
        <v>248</v>
      </c>
      <c r="C65" t="s">
        <v>68</v>
      </c>
      <c r="D65" t="s">
        <v>443</v>
      </c>
      <c r="E65" t="s">
        <v>265</v>
      </c>
      <c r="F65">
        <v>100</v>
      </c>
      <c r="G65">
        <v>92</v>
      </c>
      <c r="H65">
        <v>26</v>
      </c>
      <c r="I65" t="s">
        <v>39</v>
      </c>
      <c r="J65" s="1">
        <v>45417</v>
      </c>
      <c r="K65" t="s">
        <v>444</v>
      </c>
      <c r="L65" t="s">
        <v>280</v>
      </c>
      <c r="M65" t="s">
        <v>445</v>
      </c>
      <c r="N65">
        <v>84</v>
      </c>
      <c r="O65">
        <v>9</v>
      </c>
      <c r="P65" t="s">
        <v>51</v>
      </c>
    </row>
    <row r="66" spans="1:16" x14ac:dyDescent="0.4">
      <c r="A66" t="s">
        <v>446</v>
      </c>
      <c r="B66" t="s">
        <v>447</v>
      </c>
      <c r="C66" t="s">
        <v>77</v>
      </c>
      <c r="D66" t="s">
        <v>448</v>
      </c>
      <c r="E66" t="s">
        <v>449</v>
      </c>
      <c r="F66">
        <v>51</v>
      </c>
      <c r="G66">
        <v>53</v>
      </c>
      <c r="H66">
        <v>88</v>
      </c>
      <c r="I66" t="s">
        <v>39</v>
      </c>
      <c r="J66" t="s">
        <v>450</v>
      </c>
      <c r="K66" t="s">
        <v>127</v>
      </c>
      <c r="L66" t="s">
        <v>451</v>
      </c>
      <c r="M66" t="s">
        <v>452</v>
      </c>
      <c r="N66">
        <v>54</v>
      </c>
      <c r="O66">
        <v>59</v>
      </c>
      <c r="P66" t="s">
        <v>26</v>
      </c>
    </row>
    <row r="67" spans="1:16" x14ac:dyDescent="0.4">
      <c r="A67" t="s">
        <v>453</v>
      </c>
      <c r="B67" t="s">
        <v>318</v>
      </c>
      <c r="C67" t="s">
        <v>29</v>
      </c>
      <c r="D67" t="s">
        <v>454</v>
      </c>
      <c r="E67" t="s">
        <v>284</v>
      </c>
      <c r="F67">
        <v>61</v>
      </c>
      <c r="G67">
        <v>43</v>
      </c>
      <c r="H67">
        <v>29</v>
      </c>
      <c r="I67" t="s">
        <v>320</v>
      </c>
      <c r="J67" s="1">
        <v>45718</v>
      </c>
      <c r="K67" t="s">
        <v>455</v>
      </c>
      <c r="L67" s="1">
        <v>45354</v>
      </c>
      <c r="M67" t="s">
        <v>456</v>
      </c>
      <c r="N67">
        <v>67</v>
      </c>
      <c r="O67">
        <v>6</v>
      </c>
      <c r="P67" t="s">
        <v>26</v>
      </c>
    </row>
    <row r="68" spans="1:16" x14ac:dyDescent="0.4">
      <c r="A68" t="s">
        <v>457</v>
      </c>
      <c r="B68" t="s">
        <v>458</v>
      </c>
      <c r="C68" t="s">
        <v>29</v>
      </c>
      <c r="D68" t="s">
        <v>459</v>
      </c>
      <c r="E68" t="s">
        <v>460</v>
      </c>
      <c r="F68">
        <v>99</v>
      </c>
      <c r="G68">
        <v>87</v>
      </c>
      <c r="H68">
        <v>10</v>
      </c>
      <c r="I68" t="s">
        <v>461</v>
      </c>
      <c r="J68" s="1">
        <v>45516</v>
      </c>
      <c r="K68" t="s">
        <v>462</v>
      </c>
      <c r="L68" t="s">
        <v>215</v>
      </c>
      <c r="M68" t="s">
        <v>463</v>
      </c>
      <c r="N68">
        <v>93</v>
      </c>
      <c r="O68">
        <v>70</v>
      </c>
      <c r="P68" t="s">
        <v>51</v>
      </c>
    </row>
    <row r="69" spans="1:16" x14ac:dyDescent="0.4">
      <c r="A69" t="s">
        <v>464</v>
      </c>
      <c r="B69" t="s">
        <v>233</v>
      </c>
      <c r="C69" t="s">
        <v>54</v>
      </c>
      <c r="D69" t="s">
        <v>465</v>
      </c>
      <c r="E69" t="s">
        <v>178</v>
      </c>
      <c r="F69">
        <v>13</v>
      </c>
      <c r="G69">
        <v>60</v>
      </c>
      <c r="H69">
        <v>100</v>
      </c>
      <c r="I69" t="s">
        <v>466</v>
      </c>
      <c r="J69" t="s">
        <v>116</v>
      </c>
      <c r="K69" t="s">
        <v>467</v>
      </c>
      <c r="L69" t="s">
        <v>213</v>
      </c>
      <c r="M69" t="s">
        <v>468</v>
      </c>
      <c r="N69">
        <v>44</v>
      </c>
      <c r="O69">
        <v>32</v>
      </c>
      <c r="P69" t="s">
        <v>42</v>
      </c>
    </row>
    <row r="70" spans="1:16" x14ac:dyDescent="0.4">
      <c r="A70" t="s">
        <v>469</v>
      </c>
      <c r="B70" t="s">
        <v>470</v>
      </c>
      <c r="C70" t="s">
        <v>77</v>
      </c>
      <c r="D70" t="s">
        <v>471</v>
      </c>
      <c r="E70" t="s">
        <v>472</v>
      </c>
      <c r="F70">
        <v>45</v>
      </c>
      <c r="G70">
        <v>63</v>
      </c>
      <c r="H70">
        <v>75</v>
      </c>
      <c r="I70" t="s">
        <v>134</v>
      </c>
      <c r="J70" t="s">
        <v>366</v>
      </c>
      <c r="K70" t="s">
        <v>473</v>
      </c>
      <c r="L70" s="1">
        <v>45902</v>
      </c>
      <c r="M70" t="s">
        <v>474</v>
      </c>
      <c r="N70">
        <v>83</v>
      </c>
      <c r="O70">
        <v>5</v>
      </c>
      <c r="P70" t="s">
        <v>26</v>
      </c>
    </row>
    <row r="71" spans="1:16" x14ac:dyDescent="0.4">
      <c r="A71" t="s">
        <v>475</v>
      </c>
      <c r="B71" t="s">
        <v>476</v>
      </c>
      <c r="C71" t="s">
        <v>54</v>
      </c>
      <c r="D71" t="s">
        <v>477</v>
      </c>
      <c r="E71" t="s">
        <v>478</v>
      </c>
      <c r="F71">
        <v>73</v>
      </c>
      <c r="G71">
        <v>87</v>
      </c>
      <c r="H71">
        <v>46</v>
      </c>
      <c r="I71" t="s">
        <v>57</v>
      </c>
      <c r="J71" t="s">
        <v>451</v>
      </c>
      <c r="K71" t="s">
        <v>479</v>
      </c>
      <c r="L71" s="1">
        <v>45601</v>
      </c>
      <c r="M71" t="s">
        <v>480</v>
      </c>
      <c r="N71">
        <v>47</v>
      </c>
      <c r="O71">
        <v>67</v>
      </c>
      <c r="P71" t="s">
        <v>26</v>
      </c>
    </row>
    <row r="72" spans="1:16" x14ac:dyDescent="0.4">
      <c r="A72" t="s">
        <v>481</v>
      </c>
      <c r="B72" t="s">
        <v>482</v>
      </c>
      <c r="C72" t="s">
        <v>54</v>
      </c>
      <c r="D72" t="s">
        <v>483</v>
      </c>
      <c r="E72" t="s">
        <v>484</v>
      </c>
      <c r="F72">
        <v>39</v>
      </c>
      <c r="G72">
        <v>21</v>
      </c>
      <c r="H72">
        <v>5</v>
      </c>
      <c r="I72" t="s">
        <v>85</v>
      </c>
      <c r="J72" t="s">
        <v>485</v>
      </c>
      <c r="K72" s="1">
        <v>45296</v>
      </c>
      <c r="L72" s="1">
        <v>45870</v>
      </c>
      <c r="M72" t="s">
        <v>486</v>
      </c>
      <c r="N72">
        <v>51</v>
      </c>
      <c r="O72">
        <v>98</v>
      </c>
      <c r="P72" t="s">
        <v>42</v>
      </c>
    </row>
    <row r="73" spans="1:16" x14ac:dyDescent="0.4">
      <c r="A73" t="s">
        <v>487</v>
      </c>
      <c r="B73" t="s">
        <v>168</v>
      </c>
      <c r="C73" t="s">
        <v>169</v>
      </c>
      <c r="D73" t="s">
        <v>488</v>
      </c>
      <c r="E73" t="s">
        <v>489</v>
      </c>
      <c r="F73">
        <v>29</v>
      </c>
      <c r="G73">
        <v>72</v>
      </c>
      <c r="H73">
        <v>96</v>
      </c>
      <c r="I73" t="s">
        <v>172</v>
      </c>
      <c r="J73" s="1">
        <v>45356</v>
      </c>
      <c r="K73" t="s">
        <v>402</v>
      </c>
      <c r="L73" s="1">
        <v>45901</v>
      </c>
      <c r="M73" t="s">
        <v>490</v>
      </c>
      <c r="N73">
        <v>85</v>
      </c>
      <c r="O73">
        <v>52</v>
      </c>
      <c r="P73" t="s">
        <v>51</v>
      </c>
    </row>
    <row r="74" spans="1:16" x14ac:dyDescent="0.4">
      <c r="A74" t="s">
        <v>491</v>
      </c>
      <c r="B74" t="s">
        <v>492</v>
      </c>
      <c r="C74" t="s">
        <v>77</v>
      </c>
      <c r="D74" t="s">
        <v>493</v>
      </c>
      <c r="E74" t="s">
        <v>494</v>
      </c>
      <c r="F74">
        <v>12</v>
      </c>
      <c r="G74">
        <v>60</v>
      </c>
      <c r="H74">
        <v>73</v>
      </c>
      <c r="I74" t="s">
        <v>57</v>
      </c>
      <c r="J74" s="1">
        <v>45718</v>
      </c>
      <c r="K74" t="s">
        <v>495</v>
      </c>
      <c r="L74" s="1">
        <v>45300</v>
      </c>
      <c r="M74" t="s">
        <v>496</v>
      </c>
      <c r="N74">
        <v>20</v>
      </c>
      <c r="O74">
        <v>35</v>
      </c>
      <c r="P74" t="s">
        <v>26</v>
      </c>
    </row>
    <row r="75" spans="1:16" x14ac:dyDescent="0.4">
      <c r="A75" t="s">
        <v>497</v>
      </c>
      <c r="B75" t="s">
        <v>498</v>
      </c>
      <c r="C75" t="s">
        <v>54</v>
      </c>
      <c r="D75" t="s">
        <v>499</v>
      </c>
      <c r="E75" t="s">
        <v>500</v>
      </c>
      <c r="F75">
        <v>96</v>
      </c>
      <c r="G75">
        <v>33</v>
      </c>
      <c r="H75">
        <v>72</v>
      </c>
      <c r="I75" t="s">
        <v>440</v>
      </c>
      <c r="J75" s="1">
        <v>45568</v>
      </c>
      <c r="K75" t="s">
        <v>347</v>
      </c>
      <c r="L75" s="1">
        <v>45633</v>
      </c>
      <c r="M75" t="s">
        <v>501</v>
      </c>
      <c r="N75">
        <v>74</v>
      </c>
      <c r="O75">
        <v>100</v>
      </c>
      <c r="P75" t="s">
        <v>51</v>
      </c>
    </row>
    <row r="76" spans="1:16" x14ac:dyDescent="0.4">
      <c r="A76" t="s">
        <v>502</v>
      </c>
      <c r="B76" t="s">
        <v>271</v>
      </c>
      <c r="C76" t="s">
        <v>54</v>
      </c>
      <c r="D76" t="s">
        <v>503</v>
      </c>
      <c r="E76" t="s">
        <v>504</v>
      </c>
      <c r="F76">
        <v>35</v>
      </c>
      <c r="G76">
        <v>92</v>
      </c>
      <c r="H76">
        <v>74</v>
      </c>
      <c r="I76" t="s">
        <v>106</v>
      </c>
      <c r="J76" t="s">
        <v>308</v>
      </c>
      <c r="K76" s="1">
        <v>45718</v>
      </c>
      <c r="L76" t="s">
        <v>93</v>
      </c>
      <c r="M76" t="s">
        <v>505</v>
      </c>
      <c r="N76">
        <v>76</v>
      </c>
      <c r="O76">
        <v>32</v>
      </c>
      <c r="P76" t="s">
        <v>51</v>
      </c>
    </row>
    <row r="77" spans="1:16" x14ac:dyDescent="0.4">
      <c r="A77" t="s">
        <v>506</v>
      </c>
      <c r="B77" t="s">
        <v>412</v>
      </c>
      <c r="C77" t="s">
        <v>169</v>
      </c>
      <c r="D77" t="s">
        <v>507</v>
      </c>
      <c r="E77" t="s">
        <v>508</v>
      </c>
      <c r="F77">
        <v>89</v>
      </c>
      <c r="G77">
        <v>34</v>
      </c>
      <c r="H77">
        <v>15</v>
      </c>
      <c r="I77" t="s">
        <v>39</v>
      </c>
      <c r="J77" t="s">
        <v>509</v>
      </c>
      <c r="K77" s="1">
        <v>45507</v>
      </c>
      <c r="L77" t="s">
        <v>301</v>
      </c>
      <c r="M77" t="s">
        <v>510</v>
      </c>
      <c r="N77">
        <v>60</v>
      </c>
      <c r="O77">
        <v>2</v>
      </c>
      <c r="P77" t="s">
        <v>26</v>
      </c>
    </row>
    <row r="78" spans="1:16" x14ac:dyDescent="0.4">
      <c r="A78" t="s">
        <v>511</v>
      </c>
      <c r="B78" t="s">
        <v>304</v>
      </c>
      <c r="C78" t="s">
        <v>54</v>
      </c>
      <c r="D78" t="s">
        <v>512</v>
      </c>
      <c r="E78" t="s">
        <v>513</v>
      </c>
      <c r="F78">
        <v>60</v>
      </c>
      <c r="G78">
        <v>36</v>
      </c>
      <c r="H78">
        <v>28</v>
      </c>
      <c r="I78" t="s">
        <v>21</v>
      </c>
      <c r="J78" t="s">
        <v>127</v>
      </c>
      <c r="K78" t="s">
        <v>514</v>
      </c>
      <c r="L78" t="s">
        <v>230</v>
      </c>
      <c r="M78" t="s">
        <v>515</v>
      </c>
      <c r="N78">
        <v>26</v>
      </c>
      <c r="O78">
        <v>29</v>
      </c>
      <c r="P78" t="s">
        <v>51</v>
      </c>
    </row>
    <row r="79" spans="1:16" x14ac:dyDescent="0.4">
      <c r="A79" t="s">
        <v>516</v>
      </c>
      <c r="B79" t="s">
        <v>517</v>
      </c>
      <c r="C79" t="s">
        <v>18</v>
      </c>
      <c r="D79" t="s">
        <v>518</v>
      </c>
      <c r="E79" t="s">
        <v>31</v>
      </c>
      <c r="F79">
        <v>20</v>
      </c>
      <c r="G79">
        <v>34</v>
      </c>
      <c r="H79">
        <v>74</v>
      </c>
      <c r="I79" t="s">
        <v>21</v>
      </c>
      <c r="J79" t="s">
        <v>121</v>
      </c>
      <c r="K79" t="s">
        <v>420</v>
      </c>
      <c r="L79" t="s">
        <v>353</v>
      </c>
      <c r="M79" t="s">
        <v>519</v>
      </c>
      <c r="N79">
        <v>50</v>
      </c>
      <c r="O79">
        <v>83</v>
      </c>
      <c r="P79" t="s">
        <v>26</v>
      </c>
    </row>
    <row r="80" spans="1:16" x14ac:dyDescent="0.4">
      <c r="A80" t="s">
        <v>520</v>
      </c>
      <c r="B80" t="s">
        <v>521</v>
      </c>
      <c r="C80" t="s">
        <v>54</v>
      </c>
      <c r="D80" t="s">
        <v>522</v>
      </c>
      <c r="E80" t="s">
        <v>500</v>
      </c>
      <c r="F80">
        <v>28</v>
      </c>
      <c r="G80">
        <v>40</v>
      </c>
      <c r="H80">
        <v>27</v>
      </c>
      <c r="I80" t="s">
        <v>523</v>
      </c>
      <c r="J80" t="s">
        <v>524</v>
      </c>
      <c r="K80" t="s">
        <v>525</v>
      </c>
      <c r="L80" t="s">
        <v>526</v>
      </c>
      <c r="M80" t="s">
        <v>527</v>
      </c>
      <c r="N80">
        <v>30</v>
      </c>
      <c r="O80">
        <v>56</v>
      </c>
      <c r="P80" t="s">
        <v>51</v>
      </c>
    </row>
    <row r="81" spans="1:16" x14ac:dyDescent="0.4">
      <c r="A81" t="s">
        <v>528</v>
      </c>
      <c r="B81" t="s">
        <v>67</v>
      </c>
      <c r="C81" t="s">
        <v>68</v>
      </c>
      <c r="D81" t="s">
        <v>529</v>
      </c>
      <c r="E81" t="s">
        <v>530</v>
      </c>
      <c r="F81">
        <v>20</v>
      </c>
      <c r="G81">
        <v>55</v>
      </c>
      <c r="H81">
        <v>15</v>
      </c>
      <c r="I81" t="s">
        <v>71</v>
      </c>
      <c r="J81" s="1">
        <v>45547</v>
      </c>
      <c r="K81" s="1">
        <v>45630</v>
      </c>
      <c r="L81" s="1">
        <v>45544</v>
      </c>
      <c r="M81" t="s">
        <v>531</v>
      </c>
      <c r="N81">
        <v>86</v>
      </c>
      <c r="O81">
        <v>61</v>
      </c>
      <c r="P81" t="s">
        <v>42</v>
      </c>
    </row>
    <row r="82" spans="1:16" x14ac:dyDescent="0.4">
      <c r="A82" t="s">
        <v>532</v>
      </c>
      <c r="B82" t="s">
        <v>533</v>
      </c>
      <c r="C82" t="s">
        <v>112</v>
      </c>
      <c r="D82" t="s">
        <v>534</v>
      </c>
      <c r="E82" t="s">
        <v>535</v>
      </c>
      <c r="F82">
        <v>38</v>
      </c>
      <c r="G82">
        <v>93</v>
      </c>
      <c r="H82">
        <v>61</v>
      </c>
      <c r="I82" t="s">
        <v>39</v>
      </c>
      <c r="J82" s="1">
        <v>45577</v>
      </c>
      <c r="K82" t="s">
        <v>536</v>
      </c>
      <c r="L82" t="s">
        <v>382</v>
      </c>
      <c r="M82" t="s">
        <v>537</v>
      </c>
      <c r="N82">
        <v>67</v>
      </c>
      <c r="O82">
        <v>100</v>
      </c>
      <c r="P82" t="s">
        <v>51</v>
      </c>
    </row>
    <row r="83" spans="1:16" x14ac:dyDescent="0.4">
      <c r="A83" t="s">
        <v>538</v>
      </c>
      <c r="B83" t="s">
        <v>539</v>
      </c>
      <c r="C83" t="s">
        <v>54</v>
      </c>
      <c r="D83" t="s">
        <v>540</v>
      </c>
      <c r="E83" t="s">
        <v>541</v>
      </c>
      <c r="F83">
        <v>99</v>
      </c>
      <c r="G83">
        <v>1</v>
      </c>
      <c r="H83">
        <v>4</v>
      </c>
      <c r="I83" t="s">
        <v>85</v>
      </c>
      <c r="J83" t="s">
        <v>115</v>
      </c>
      <c r="K83" t="s">
        <v>542</v>
      </c>
      <c r="L83" t="s">
        <v>259</v>
      </c>
      <c r="M83" t="s">
        <v>543</v>
      </c>
      <c r="N83">
        <v>50</v>
      </c>
      <c r="O83">
        <v>53</v>
      </c>
      <c r="P83" t="s">
        <v>42</v>
      </c>
    </row>
    <row r="84" spans="1:16" x14ac:dyDescent="0.4">
      <c r="A84" t="s">
        <v>544</v>
      </c>
      <c r="B84" t="s">
        <v>545</v>
      </c>
      <c r="C84" t="s">
        <v>77</v>
      </c>
      <c r="D84" t="s">
        <v>546</v>
      </c>
      <c r="E84" t="s">
        <v>547</v>
      </c>
      <c r="F84">
        <v>92</v>
      </c>
      <c r="G84">
        <v>52</v>
      </c>
      <c r="H84">
        <v>80</v>
      </c>
      <c r="I84" t="s">
        <v>71</v>
      </c>
      <c r="J84" s="1">
        <v>45357</v>
      </c>
      <c r="K84" t="s">
        <v>548</v>
      </c>
      <c r="L84" t="s">
        <v>549</v>
      </c>
      <c r="M84" t="s">
        <v>550</v>
      </c>
      <c r="N84">
        <v>72</v>
      </c>
      <c r="O84">
        <v>96</v>
      </c>
      <c r="P84" t="s">
        <v>26</v>
      </c>
    </row>
    <row r="85" spans="1:16" x14ac:dyDescent="0.4">
      <c r="A85" t="s">
        <v>551</v>
      </c>
      <c r="B85" t="s">
        <v>161</v>
      </c>
      <c r="C85" t="s">
        <v>54</v>
      </c>
      <c r="D85" t="s">
        <v>552</v>
      </c>
      <c r="E85" t="s">
        <v>553</v>
      </c>
      <c r="F85">
        <v>41</v>
      </c>
      <c r="G85">
        <v>29</v>
      </c>
      <c r="H85">
        <v>76</v>
      </c>
      <c r="I85" t="s">
        <v>554</v>
      </c>
      <c r="J85" t="s">
        <v>555</v>
      </c>
      <c r="K85" t="s">
        <v>556</v>
      </c>
      <c r="L85" s="1">
        <v>45301</v>
      </c>
      <c r="M85" t="s">
        <v>557</v>
      </c>
      <c r="N85">
        <v>59</v>
      </c>
      <c r="O85">
        <v>4</v>
      </c>
      <c r="P85" t="s">
        <v>26</v>
      </c>
    </row>
    <row r="86" spans="1:16" x14ac:dyDescent="0.4">
      <c r="A86" t="s">
        <v>558</v>
      </c>
      <c r="B86" t="s">
        <v>412</v>
      </c>
      <c r="C86" t="s">
        <v>169</v>
      </c>
      <c r="D86" t="s">
        <v>559</v>
      </c>
      <c r="E86" t="s">
        <v>560</v>
      </c>
      <c r="F86">
        <v>44</v>
      </c>
      <c r="G86">
        <v>67</v>
      </c>
      <c r="H86">
        <v>48</v>
      </c>
      <c r="I86" t="s">
        <v>39</v>
      </c>
      <c r="J86" s="1">
        <v>45421</v>
      </c>
      <c r="K86" t="s">
        <v>121</v>
      </c>
      <c r="L86" t="s">
        <v>561</v>
      </c>
      <c r="M86" t="s">
        <v>562</v>
      </c>
      <c r="N86">
        <v>90</v>
      </c>
      <c r="O86">
        <v>11</v>
      </c>
      <c r="P86" t="s">
        <v>51</v>
      </c>
    </row>
    <row r="87" spans="1:16" x14ac:dyDescent="0.4">
      <c r="A87" t="s">
        <v>563</v>
      </c>
      <c r="B87" t="s">
        <v>103</v>
      </c>
      <c r="C87" t="s">
        <v>18</v>
      </c>
      <c r="D87" t="s">
        <v>564</v>
      </c>
      <c r="E87" t="s">
        <v>565</v>
      </c>
      <c r="F87">
        <v>47</v>
      </c>
      <c r="G87">
        <v>7</v>
      </c>
      <c r="H87">
        <v>63</v>
      </c>
      <c r="I87" t="s">
        <v>106</v>
      </c>
      <c r="J87" t="s">
        <v>566</v>
      </c>
      <c r="K87" t="s">
        <v>567</v>
      </c>
      <c r="L87" t="s">
        <v>328</v>
      </c>
      <c r="M87" t="s">
        <v>568</v>
      </c>
      <c r="N87">
        <v>29</v>
      </c>
      <c r="O87">
        <v>20</v>
      </c>
      <c r="P87" t="s">
        <v>42</v>
      </c>
    </row>
    <row r="88" spans="1:16" x14ac:dyDescent="0.4">
      <c r="A88" t="s">
        <v>569</v>
      </c>
      <c r="B88" t="s">
        <v>138</v>
      </c>
      <c r="C88" t="s">
        <v>18</v>
      </c>
      <c r="D88" t="s">
        <v>570</v>
      </c>
      <c r="E88" t="s">
        <v>156</v>
      </c>
      <c r="F88">
        <v>21</v>
      </c>
      <c r="G88">
        <v>63</v>
      </c>
      <c r="H88">
        <v>65</v>
      </c>
      <c r="I88" t="s">
        <v>47</v>
      </c>
      <c r="J88" s="1">
        <v>45514</v>
      </c>
      <c r="K88" s="1">
        <v>45576</v>
      </c>
      <c r="L88" t="s">
        <v>199</v>
      </c>
      <c r="M88" t="s">
        <v>571</v>
      </c>
      <c r="N88">
        <v>38</v>
      </c>
      <c r="O88">
        <v>73</v>
      </c>
      <c r="P88" t="s">
        <v>26</v>
      </c>
    </row>
    <row r="89" spans="1:16" x14ac:dyDescent="0.4">
      <c r="A89" t="s">
        <v>572</v>
      </c>
      <c r="B89" t="s">
        <v>233</v>
      </c>
      <c r="C89" t="s">
        <v>54</v>
      </c>
      <c r="D89" t="s">
        <v>573</v>
      </c>
      <c r="E89" t="s">
        <v>574</v>
      </c>
      <c r="F89">
        <v>85</v>
      </c>
      <c r="G89">
        <v>33</v>
      </c>
      <c r="H89">
        <v>50</v>
      </c>
      <c r="I89" t="s">
        <v>466</v>
      </c>
      <c r="J89" s="1">
        <v>45446</v>
      </c>
      <c r="K89" t="s">
        <v>536</v>
      </c>
      <c r="L89" t="s">
        <v>299</v>
      </c>
      <c r="M89" t="s">
        <v>575</v>
      </c>
      <c r="N89">
        <v>64</v>
      </c>
      <c r="O89">
        <v>38</v>
      </c>
      <c r="P89" t="s">
        <v>26</v>
      </c>
    </row>
    <row r="90" spans="1:16" x14ac:dyDescent="0.4">
      <c r="A90" t="s">
        <v>576</v>
      </c>
      <c r="B90" t="s">
        <v>144</v>
      </c>
      <c r="C90" t="s">
        <v>77</v>
      </c>
      <c r="D90" t="s">
        <v>577</v>
      </c>
      <c r="E90" t="s">
        <v>578</v>
      </c>
      <c r="F90">
        <v>29</v>
      </c>
      <c r="G90">
        <v>4</v>
      </c>
      <c r="H90">
        <v>17</v>
      </c>
      <c r="I90" t="s">
        <v>147</v>
      </c>
      <c r="J90" t="s">
        <v>279</v>
      </c>
      <c r="K90" t="s">
        <v>408</v>
      </c>
      <c r="L90" t="s">
        <v>579</v>
      </c>
      <c r="M90" t="s">
        <v>580</v>
      </c>
      <c r="N90">
        <v>59</v>
      </c>
      <c r="O90">
        <v>52</v>
      </c>
      <c r="P90" t="s">
        <v>51</v>
      </c>
    </row>
    <row r="91" spans="1:16" x14ac:dyDescent="0.4">
      <c r="A91" t="s">
        <v>581</v>
      </c>
      <c r="B91" t="s">
        <v>582</v>
      </c>
      <c r="C91" t="s">
        <v>68</v>
      </c>
      <c r="D91" t="s">
        <v>583</v>
      </c>
      <c r="E91" t="s">
        <v>584</v>
      </c>
      <c r="F91">
        <v>64</v>
      </c>
      <c r="G91">
        <v>21</v>
      </c>
      <c r="H91">
        <v>13</v>
      </c>
      <c r="I91" t="s">
        <v>57</v>
      </c>
      <c r="J91" t="s">
        <v>585</v>
      </c>
      <c r="K91" s="1">
        <v>45606</v>
      </c>
      <c r="L91" t="s">
        <v>141</v>
      </c>
      <c r="M91" t="s">
        <v>586</v>
      </c>
      <c r="N91">
        <v>51</v>
      </c>
      <c r="O91">
        <v>26</v>
      </c>
      <c r="P91" t="s">
        <v>42</v>
      </c>
    </row>
    <row r="92" spans="1:16" x14ac:dyDescent="0.4">
      <c r="A92" t="s">
        <v>587</v>
      </c>
      <c r="B92" t="s">
        <v>588</v>
      </c>
      <c r="C92" t="s">
        <v>54</v>
      </c>
      <c r="D92" t="s">
        <v>589</v>
      </c>
      <c r="E92" t="s">
        <v>590</v>
      </c>
      <c r="F92">
        <v>66</v>
      </c>
      <c r="G92">
        <v>40</v>
      </c>
      <c r="H92">
        <v>96</v>
      </c>
      <c r="I92" t="s">
        <v>591</v>
      </c>
      <c r="J92" t="s">
        <v>592</v>
      </c>
      <c r="K92" t="s">
        <v>165</v>
      </c>
      <c r="L92" s="1">
        <v>45810</v>
      </c>
      <c r="M92" t="s">
        <v>593</v>
      </c>
      <c r="N92">
        <v>24</v>
      </c>
      <c r="O92">
        <v>61</v>
      </c>
      <c r="P92" t="s">
        <v>51</v>
      </c>
    </row>
    <row r="93" spans="1:16" x14ac:dyDescent="0.4">
      <c r="A93" t="s">
        <v>594</v>
      </c>
      <c r="B93" t="s">
        <v>595</v>
      </c>
      <c r="C93" t="s">
        <v>112</v>
      </c>
      <c r="D93" t="s">
        <v>596</v>
      </c>
      <c r="E93" t="s">
        <v>597</v>
      </c>
      <c r="F93">
        <v>75</v>
      </c>
      <c r="G93">
        <v>81</v>
      </c>
      <c r="H93">
        <v>17</v>
      </c>
      <c r="I93" t="s">
        <v>220</v>
      </c>
      <c r="J93" s="1">
        <v>45542</v>
      </c>
      <c r="K93" t="s">
        <v>598</v>
      </c>
      <c r="L93" t="s">
        <v>599</v>
      </c>
      <c r="M93" t="s">
        <v>600</v>
      </c>
      <c r="N93">
        <v>69</v>
      </c>
      <c r="O93">
        <v>38</v>
      </c>
      <c r="P93" t="s">
        <v>51</v>
      </c>
    </row>
    <row r="94" spans="1:16" x14ac:dyDescent="0.4">
      <c r="A94" t="s">
        <v>601</v>
      </c>
      <c r="B94" t="s">
        <v>602</v>
      </c>
      <c r="C94" t="s">
        <v>77</v>
      </c>
      <c r="D94" t="s">
        <v>603</v>
      </c>
      <c r="E94" t="s">
        <v>604</v>
      </c>
      <c r="F94">
        <v>53</v>
      </c>
      <c r="G94">
        <v>63</v>
      </c>
      <c r="H94">
        <v>2</v>
      </c>
      <c r="I94" t="s">
        <v>266</v>
      </c>
      <c r="J94" s="1">
        <v>45330</v>
      </c>
      <c r="K94" s="1">
        <v>45636</v>
      </c>
      <c r="L94" t="s">
        <v>300</v>
      </c>
      <c r="M94" t="s">
        <v>605</v>
      </c>
      <c r="N94">
        <v>56</v>
      </c>
      <c r="O94">
        <v>95</v>
      </c>
      <c r="P94" t="s">
        <v>51</v>
      </c>
    </row>
    <row r="95" spans="1:16" x14ac:dyDescent="0.4">
      <c r="A95" t="s">
        <v>606</v>
      </c>
      <c r="B95" t="s">
        <v>607</v>
      </c>
      <c r="C95" t="s">
        <v>68</v>
      </c>
      <c r="D95" t="s">
        <v>608</v>
      </c>
      <c r="E95" t="s">
        <v>105</v>
      </c>
      <c r="F95">
        <v>43</v>
      </c>
      <c r="G95">
        <v>63</v>
      </c>
      <c r="H95">
        <v>80</v>
      </c>
      <c r="I95" t="s">
        <v>466</v>
      </c>
      <c r="J95" t="s">
        <v>260</v>
      </c>
      <c r="K95" t="s">
        <v>609</v>
      </c>
      <c r="L95" s="1">
        <v>45963</v>
      </c>
      <c r="M95" t="s">
        <v>610</v>
      </c>
      <c r="N95">
        <v>33</v>
      </c>
      <c r="O95">
        <v>96</v>
      </c>
      <c r="P95" t="s">
        <v>26</v>
      </c>
    </row>
    <row r="96" spans="1:16" x14ac:dyDescent="0.4">
      <c r="A96" t="s">
        <v>611</v>
      </c>
      <c r="B96" t="s">
        <v>482</v>
      </c>
      <c r="C96" t="s">
        <v>54</v>
      </c>
      <c r="D96" t="s">
        <v>612</v>
      </c>
      <c r="E96" t="s">
        <v>613</v>
      </c>
      <c r="F96">
        <v>74</v>
      </c>
      <c r="G96">
        <v>30</v>
      </c>
      <c r="H96">
        <v>24</v>
      </c>
      <c r="I96" t="s">
        <v>85</v>
      </c>
      <c r="J96" s="1">
        <v>45543</v>
      </c>
      <c r="K96" t="s">
        <v>244</v>
      </c>
      <c r="L96" t="s">
        <v>609</v>
      </c>
      <c r="M96" t="s">
        <v>614</v>
      </c>
      <c r="N96">
        <v>82</v>
      </c>
      <c r="O96">
        <v>12</v>
      </c>
      <c r="P96" t="s">
        <v>51</v>
      </c>
    </row>
    <row r="97" spans="1:16" x14ac:dyDescent="0.4">
      <c r="A97" t="s">
        <v>615</v>
      </c>
      <c r="B97" t="s">
        <v>616</v>
      </c>
      <c r="C97" t="s">
        <v>54</v>
      </c>
      <c r="D97" t="s">
        <v>617</v>
      </c>
      <c r="E97" t="s">
        <v>371</v>
      </c>
      <c r="F97">
        <v>27</v>
      </c>
      <c r="G97">
        <v>22</v>
      </c>
      <c r="H97">
        <v>89</v>
      </c>
      <c r="I97" t="s">
        <v>134</v>
      </c>
      <c r="J97" s="1">
        <v>45296</v>
      </c>
      <c r="K97" t="s">
        <v>358</v>
      </c>
      <c r="L97" t="s">
        <v>618</v>
      </c>
      <c r="M97" t="s">
        <v>619</v>
      </c>
      <c r="N97">
        <v>91</v>
      </c>
      <c r="O97">
        <v>77</v>
      </c>
      <c r="P97" t="s">
        <v>26</v>
      </c>
    </row>
    <row r="98" spans="1:16" x14ac:dyDescent="0.4">
      <c r="A98" t="s">
        <v>620</v>
      </c>
      <c r="B98" t="s">
        <v>621</v>
      </c>
      <c r="C98" t="s">
        <v>18</v>
      </c>
      <c r="D98" t="s">
        <v>622</v>
      </c>
      <c r="E98" t="s">
        <v>623</v>
      </c>
      <c r="F98">
        <v>91</v>
      </c>
      <c r="G98">
        <v>73</v>
      </c>
      <c r="H98">
        <v>77</v>
      </c>
      <c r="I98" t="s">
        <v>624</v>
      </c>
      <c r="J98" s="1">
        <v>45659</v>
      </c>
      <c r="K98" t="s">
        <v>301</v>
      </c>
      <c r="L98" s="1">
        <v>45485</v>
      </c>
      <c r="M98" t="s">
        <v>625</v>
      </c>
      <c r="N98">
        <v>51</v>
      </c>
      <c r="O98">
        <v>49</v>
      </c>
      <c r="P98" t="s">
        <v>26</v>
      </c>
    </row>
    <row r="99" spans="1:16" x14ac:dyDescent="0.4">
      <c r="A99" t="s">
        <v>626</v>
      </c>
      <c r="B99" t="s">
        <v>627</v>
      </c>
      <c r="C99" t="s">
        <v>18</v>
      </c>
      <c r="D99" t="s">
        <v>628</v>
      </c>
      <c r="E99" t="s">
        <v>140</v>
      </c>
      <c r="F99">
        <v>52</v>
      </c>
      <c r="G99">
        <v>81</v>
      </c>
      <c r="H99">
        <v>53</v>
      </c>
      <c r="I99" t="s">
        <v>106</v>
      </c>
      <c r="J99" t="s">
        <v>629</v>
      </c>
      <c r="K99" t="s">
        <v>630</v>
      </c>
      <c r="L99" t="s">
        <v>214</v>
      </c>
      <c r="M99" t="s">
        <v>631</v>
      </c>
      <c r="N99">
        <v>95</v>
      </c>
      <c r="O99">
        <v>88</v>
      </c>
      <c r="P99" t="s">
        <v>42</v>
      </c>
    </row>
    <row r="100" spans="1:16" x14ac:dyDescent="0.4">
      <c r="A100" t="s">
        <v>632</v>
      </c>
      <c r="B100" t="s">
        <v>290</v>
      </c>
      <c r="C100" t="s">
        <v>54</v>
      </c>
      <c r="D100" t="s">
        <v>633</v>
      </c>
      <c r="E100" t="s">
        <v>634</v>
      </c>
      <c r="F100">
        <v>43</v>
      </c>
      <c r="G100">
        <v>66</v>
      </c>
      <c r="H100">
        <v>85</v>
      </c>
      <c r="I100" t="s">
        <v>71</v>
      </c>
      <c r="J100" t="s">
        <v>635</v>
      </c>
      <c r="K100" t="s">
        <v>636</v>
      </c>
      <c r="L100" t="s">
        <v>637</v>
      </c>
      <c r="M100" t="s">
        <v>638</v>
      </c>
      <c r="N100">
        <v>66</v>
      </c>
      <c r="O100">
        <v>65</v>
      </c>
      <c r="P100" t="s">
        <v>26</v>
      </c>
    </row>
    <row r="101" spans="1:16" x14ac:dyDescent="0.4">
      <c r="A101" t="s">
        <v>639</v>
      </c>
      <c r="B101" t="s">
        <v>332</v>
      </c>
      <c r="C101" t="s">
        <v>112</v>
      </c>
      <c r="D101" t="s">
        <v>640</v>
      </c>
      <c r="E101" t="s">
        <v>641</v>
      </c>
      <c r="F101">
        <v>56</v>
      </c>
      <c r="G101">
        <v>86</v>
      </c>
      <c r="H101">
        <v>23</v>
      </c>
      <c r="I101" t="s">
        <v>642</v>
      </c>
      <c r="J101" t="s">
        <v>643</v>
      </c>
      <c r="K101" t="s">
        <v>644</v>
      </c>
      <c r="L101" s="1">
        <v>45539</v>
      </c>
      <c r="M101" t="s">
        <v>645</v>
      </c>
      <c r="N101">
        <v>67</v>
      </c>
      <c r="O101">
        <v>56</v>
      </c>
      <c r="P101" t="s">
        <v>42</v>
      </c>
    </row>
    <row r="102" spans="1:16" x14ac:dyDescent="0.4">
      <c r="A102" t="s">
        <v>646</v>
      </c>
      <c r="B102" t="s">
        <v>447</v>
      </c>
      <c r="C102" t="s">
        <v>77</v>
      </c>
      <c r="D102" t="s">
        <v>647</v>
      </c>
      <c r="E102" t="s">
        <v>648</v>
      </c>
      <c r="F102">
        <v>66</v>
      </c>
      <c r="G102">
        <v>40</v>
      </c>
      <c r="H102">
        <v>8</v>
      </c>
      <c r="I102" t="s">
        <v>39</v>
      </c>
      <c r="J102" t="s">
        <v>630</v>
      </c>
      <c r="K102" t="s">
        <v>649</v>
      </c>
      <c r="L102" s="1">
        <v>45809</v>
      </c>
      <c r="M102" t="s">
        <v>650</v>
      </c>
      <c r="N102">
        <v>43</v>
      </c>
      <c r="O102">
        <v>49</v>
      </c>
      <c r="P102" t="s">
        <v>51</v>
      </c>
    </row>
    <row r="103" spans="1:16" x14ac:dyDescent="0.4">
      <c r="A103" t="s">
        <v>651</v>
      </c>
      <c r="B103" t="s">
        <v>138</v>
      </c>
      <c r="C103" t="s">
        <v>18</v>
      </c>
      <c r="D103" t="s">
        <v>652</v>
      </c>
      <c r="E103" t="s">
        <v>653</v>
      </c>
      <c r="F103">
        <v>84</v>
      </c>
      <c r="G103">
        <v>92</v>
      </c>
      <c r="H103">
        <v>18</v>
      </c>
      <c r="I103" t="s">
        <v>47</v>
      </c>
      <c r="J103" t="s">
        <v>654</v>
      </c>
      <c r="K103" t="s">
        <v>655</v>
      </c>
      <c r="L103" t="s">
        <v>656</v>
      </c>
      <c r="M103" t="s">
        <v>657</v>
      </c>
      <c r="N103">
        <v>92</v>
      </c>
      <c r="O103">
        <v>69</v>
      </c>
      <c r="P103" t="s">
        <v>51</v>
      </c>
    </row>
    <row r="104" spans="1:16" x14ac:dyDescent="0.4">
      <c r="A104" t="s">
        <v>658</v>
      </c>
      <c r="B104" t="s">
        <v>659</v>
      </c>
      <c r="C104" t="s">
        <v>77</v>
      </c>
      <c r="D104" t="s">
        <v>660</v>
      </c>
      <c r="E104" t="s">
        <v>265</v>
      </c>
      <c r="F104">
        <v>37</v>
      </c>
      <c r="G104">
        <v>5</v>
      </c>
      <c r="H104">
        <v>1</v>
      </c>
      <c r="I104" t="s">
        <v>220</v>
      </c>
      <c r="J104" s="1">
        <v>45689</v>
      </c>
      <c r="K104" t="s">
        <v>555</v>
      </c>
      <c r="L104" t="s">
        <v>367</v>
      </c>
      <c r="M104" t="s">
        <v>661</v>
      </c>
      <c r="N104">
        <v>68</v>
      </c>
      <c r="O104">
        <v>99</v>
      </c>
      <c r="P104" t="s">
        <v>51</v>
      </c>
    </row>
    <row r="105" spans="1:16" x14ac:dyDescent="0.4">
      <c r="A105" t="s">
        <v>662</v>
      </c>
      <c r="B105" t="s">
        <v>663</v>
      </c>
      <c r="C105" t="s">
        <v>77</v>
      </c>
      <c r="D105" t="s">
        <v>664</v>
      </c>
      <c r="E105" t="s">
        <v>665</v>
      </c>
      <c r="F105">
        <v>29</v>
      </c>
      <c r="G105">
        <v>36</v>
      </c>
      <c r="H105">
        <v>40</v>
      </c>
      <c r="I105" t="s">
        <v>57</v>
      </c>
      <c r="J105" s="1">
        <v>45515</v>
      </c>
      <c r="K105" t="s">
        <v>666</v>
      </c>
      <c r="L105" s="1">
        <v>45482</v>
      </c>
      <c r="M105" t="s">
        <v>667</v>
      </c>
      <c r="N105">
        <v>60</v>
      </c>
      <c r="O105">
        <v>96</v>
      </c>
      <c r="P105" t="s">
        <v>42</v>
      </c>
    </row>
    <row r="106" spans="1:16" x14ac:dyDescent="0.4">
      <c r="A106" t="s">
        <v>668</v>
      </c>
      <c r="B106" t="s">
        <v>669</v>
      </c>
      <c r="C106" t="s">
        <v>18</v>
      </c>
      <c r="D106" t="s">
        <v>670</v>
      </c>
      <c r="E106" t="s">
        <v>235</v>
      </c>
      <c r="F106">
        <v>13</v>
      </c>
      <c r="G106">
        <v>88</v>
      </c>
      <c r="H106">
        <v>7</v>
      </c>
      <c r="I106" t="s">
        <v>671</v>
      </c>
      <c r="J106" t="s">
        <v>358</v>
      </c>
      <c r="K106" t="s">
        <v>372</v>
      </c>
      <c r="L106" s="1">
        <v>45358</v>
      </c>
      <c r="M106" t="s">
        <v>672</v>
      </c>
      <c r="N106">
        <v>24</v>
      </c>
      <c r="O106">
        <v>21</v>
      </c>
      <c r="P106" t="s">
        <v>42</v>
      </c>
    </row>
    <row r="107" spans="1:16" x14ac:dyDescent="0.4">
      <c r="A107" t="s">
        <v>673</v>
      </c>
      <c r="B107" t="s">
        <v>311</v>
      </c>
      <c r="C107" t="s">
        <v>54</v>
      </c>
      <c r="D107" t="s">
        <v>674</v>
      </c>
      <c r="E107" t="s">
        <v>198</v>
      </c>
      <c r="F107">
        <v>63</v>
      </c>
      <c r="G107">
        <v>81</v>
      </c>
      <c r="H107">
        <v>94</v>
      </c>
      <c r="I107" t="s">
        <v>71</v>
      </c>
      <c r="J107" s="1">
        <v>45388</v>
      </c>
      <c r="K107" t="s">
        <v>635</v>
      </c>
      <c r="L107" t="s">
        <v>229</v>
      </c>
      <c r="M107" t="s">
        <v>675</v>
      </c>
      <c r="N107">
        <v>56</v>
      </c>
      <c r="O107">
        <v>2</v>
      </c>
      <c r="P107" t="s">
        <v>51</v>
      </c>
    </row>
    <row r="108" spans="1:16" x14ac:dyDescent="0.4">
      <c r="A108" t="s">
        <v>676</v>
      </c>
      <c r="B108" t="s">
        <v>677</v>
      </c>
      <c r="C108" t="s">
        <v>169</v>
      </c>
      <c r="D108" t="s">
        <v>678</v>
      </c>
      <c r="E108" t="s">
        <v>352</v>
      </c>
      <c r="F108">
        <v>95</v>
      </c>
      <c r="G108">
        <v>63</v>
      </c>
      <c r="H108">
        <v>73</v>
      </c>
      <c r="I108" t="s">
        <v>134</v>
      </c>
      <c r="J108" t="s">
        <v>341</v>
      </c>
      <c r="K108" s="1">
        <v>45418</v>
      </c>
      <c r="L108" s="1">
        <v>45507</v>
      </c>
      <c r="M108" t="s">
        <v>679</v>
      </c>
      <c r="N108">
        <v>61</v>
      </c>
      <c r="O108">
        <v>38</v>
      </c>
      <c r="P108" t="s">
        <v>42</v>
      </c>
    </row>
    <row r="109" spans="1:16" x14ac:dyDescent="0.4">
      <c r="A109" t="s">
        <v>680</v>
      </c>
      <c r="B109" t="s">
        <v>681</v>
      </c>
      <c r="C109" t="s">
        <v>54</v>
      </c>
      <c r="D109" t="s">
        <v>682</v>
      </c>
      <c r="E109" t="s">
        <v>683</v>
      </c>
      <c r="F109">
        <v>58</v>
      </c>
      <c r="G109">
        <v>5</v>
      </c>
      <c r="H109">
        <v>1</v>
      </c>
      <c r="I109" t="s">
        <v>106</v>
      </c>
      <c r="J109" s="1">
        <v>45332</v>
      </c>
      <c r="K109" t="s">
        <v>108</v>
      </c>
      <c r="L109" s="1">
        <v>45447</v>
      </c>
      <c r="M109" t="s">
        <v>684</v>
      </c>
      <c r="N109">
        <v>53</v>
      </c>
      <c r="O109">
        <v>80</v>
      </c>
      <c r="P109" t="s">
        <v>51</v>
      </c>
    </row>
    <row r="110" spans="1:16" x14ac:dyDescent="0.4">
      <c r="A110" t="s">
        <v>685</v>
      </c>
      <c r="B110" t="s">
        <v>582</v>
      </c>
      <c r="C110" t="s">
        <v>68</v>
      </c>
      <c r="D110" t="s">
        <v>686</v>
      </c>
      <c r="E110" t="s">
        <v>687</v>
      </c>
      <c r="F110">
        <v>57</v>
      </c>
      <c r="G110">
        <v>36</v>
      </c>
      <c r="H110">
        <v>53</v>
      </c>
      <c r="I110" t="s">
        <v>57</v>
      </c>
      <c r="J110" s="1">
        <v>45388</v>
      </c>
      <c r="K110" t="s">
        <v>688</v>
      </c>
      <c r="L110" t="s">
        <v>236</v>
      </c>
      <c r="M110" t="s">
        <v>689</v>
      </c>
      <c r="N110">
        <v>56</v>
      </c>
      <c r="O110">
        <v>32</v>
      </c>
      <c r="P110" t="s">
        <v>42</v>
      </c>
    </row>
    <row r="111" spans="1:16" x14ac:dyDescent="0.4">
      <c r="A111" t="s">
        <v>690</v>
      </c>
      <c r="B111" t="s">
        <v>412</v>
      </c>
      <c r="C111" t="s">
        <v>169</v>
      </c>
      <c r="D111" t="s">
        <v>691</v>
      </c>
      <c r="E111" t="s">
        <v>692</v>
      </c>
      <c r="F111">
        <v>33</v>
      </c>
      <c r="G111">
        <v>18</v>
      </c>
      <c r="H111">
        <v>92</v>
      </c>
      <c r="I111" t="s">
        <v>39</v>
      </c>
      <c r="J111" s="1">
        <v>45357</v>
      </c>
      <c r="K111" t="s">
        <v>428</v>
      </c>
      <c r="L111" t="s">
        <v>116</v>
      </c>
      <c r="M111" t="s">
        <v>693</v>
      </c>
      <c r="N111">
        <v>98</v>
      </c>
      <c r="O111">
        <v>56</v>
      </c>
      <c r="P111" t="s">
        <v>26</v>
      </c>
    </row>
    <row r="112" spans="1:16" x14ac:dyDescent="0.4">
      <c r="A112" t="s">
        <v>694</v>
      </c>
      <c r="B112" t="s">
        <v>28</v>
      </c>
      <c r="C112" t="s">
        <v>29</v>
      </c>
      <c r="D112" t="s">
        <v>695</v>
      </c>
      <c r="E112" t="s">
        <v>120</v>
      </c>
      <c r="F112">
        <v>62</v>
      </c>
      <c r="G112">
        <v>89</v>
      </c>
      <c r="H112">
        <v>6</v>
      </c>
      <c r="I112" t="s">
        <v>32</v>
      </c>
      <c r="J112" s="1">
        <v>45513</v>
      </c>
      <c r="K112" s="1">
        <v>45449</v>
      </c>
      <c r="L112" t="s">
        <v>479</v>
      </c>
      <c r="M112" t="s">
        <v>696</v>
      </c>
      <c r="N112">
        <v>23</v>
      </c>
      <c r="O112">
        <v>11</v>
      </c>
      <c r="P112" t="s">
        <v>26</v>
      </c>
    </row>
    <row r="113" spans="1:16" x14ac:dyDescent="0.4">
      <c r="A113" t="s">
        <v>697</v>
      </c>
      <c r="B113" t="s">
        <v>698</v>
      </c>
      <c r="C113" t="s">
        <v>54</v>
      </c>
      <c r="D113" t="s">
        <v>699</v>
      </c>
      <c r="E113" t="s">
        <v>198</v>
      </c>
      <c r="F113">
        <v>89</v>
      </c>
      <c r="G113">
        <v>57</v>
      </c>
      <c r="H113">
        <v>92</v>
      </c>
      <c r="I113" t="s">
        <v>220</v>
      </c>
      <c r="J113" t="s">
        <v>700</v>
      </c>
      <c r="K113" t="s">
        <v>128</v>
      </c>
      <c r="L113" t="s">
        <v>701</v>
      </c>
      <c r="M113" t="s">
        <v>702</v>
      </c>
      <c r="N113">
        <v>38</v>
      </c>
      <c r="O113">
        <v>16</v>
      </c>
      <c r="P113" t="s">
        <v>51</v>
      </c>
    </row>
    <row r="114" spans="1:16" x14ac:dyDescent="0.4">
      <c r="A114" t="s">
        <v>703</v>
      </c>
      <c r="B114" t="s">
        <v>704</v>
      </c>
      <c r="C114" t="s">
        <v>169</v>
      </c>
      <c r="D114" t="s">
        <v>705</v>
      </c>
      <c r="E114" t="s">
        <v>706</v>
      </c>
      <c r="F114">
        <v>23</v>
      </c>
      <c r="G114">
        <v>42</v>
      </c>
      <c r="H114">
        <v>87</v>
      </c>
      <c r="I114" t="s">
        <v>147</v>
      </c>
      <c r="J114" s="1">
        <v>45659</v>
      </c>
      <c r="K114" t="s">
        <v>536</v>
      </c>
      <c r="L114" t="s">
        <v>561</v>
      </c>
      <c r="M114" t="s">
        <v>707</v>
      </c>
      <c r="N114">
        <v>63</v>
      </c>
      <c r="O114">
        <v>5</v>
      </c>
      <c r="P114" t="s">
        <v>42</v>
      </c>
    </row>
    <row r="115" spans="1:16" x14ac:dyDescent="0.4">
      <c r="A115" t="s">
        <v>708</v>
      </c>
      <c r="B115" t="s">
        <v>709</v>
      </c>
      <c r="C115" t="s">
        <v>54</v>
      </c>
      <c r="D115" t="s">
        <v>710</v>
      </c>
      <c r="E115" t="s">
        <v>38</v>
      </c>
      <c r="F115">
        <v>56</v>
      </c>
      <c r="G115">
        <v>12</v>
      </c>
      <c r="H115">
        <v>59</v>
      </c>
      <c r="I115" t="s">
        <v>711</v>
      </c>
      <c r="J115" t="s">
        <v>712</v>
      </c>
      <c r="K115" t="s">
        <v>422</v>
      </c>
      <c r="L115" s="1">
        <v>45690</v>
      </c>
      <c r="M115" t="s">
        <v>713</v>
      </c>
      <c r="N115">
        <v>35</v>
      </c>
      <c r="O115">
        <v>16</v>
      </c>
      <c r="P115" t="s">
        <v>51</v>
      </c>
    </row>
    <row r="116" spans="1:16" x14ac:dyDescent="0.4">
      <c r="A116" t="s">
        <v>714</v>
      </c>
      <c r="B116" t="s">
        <v>36</v>
      </c>
      <c r="C116" t="s">
        <v>18</v>
      </c>
      <c r="D116" t="s">
        <v>715</v>
      </c>
      <c r="E116" t="s">
        <v>716</v>
      </c>
      <c r="F116">
        <v>86</v>
      </c>
      <c r="G116">
        <v>100</v>
      </c>
      <c r="H116">
        <v>74</v>
      </c>
      <c r="I116" t="s">
        <v>717</v>
      </c>
      <c r="J116" t="s">
        <v>718</v>
      </c>
      <c r="K116" t="s">
        <v>719</v>
      </c>
      <c r="L116" t="s">
        <v>200</v>
      </c>
      <c r="M116" t="s">
        <v>720</v>
      </c>
      <c r="N116">
        <v>80</v>
      </c>
      <c r="O116">
        <v>94</v>
      </c>
      <c r="P116" t="s">
        <v>51</v>
      </c>
    </row>
    <row r="117" spans="1:16" x14ac:dyDescent="0.4">
      <c r="A117" t="s">
        <v>721</v>
      </c>
      <c r="B117" t="s">
        <v>722</v>
      </c>
      <c r="C117" t="s">
        <v>54</v>
      </c>
      <c r="D117" t="s">
        <v>723</v>
      </c>
      <c r="E117" t="s">
        <v>724</v>
      </c>
      <c r="F117">
        <v>60</v>
      </c>
      <c r="G117">
        <v>61</v>
      </c>
      <c r="H117">
        <v>2</v>
      </c>
      <c r="I117" t="s">
        <v>39</v>
      </c>
      <c r="J117" t="s">
        <v>725</v>
      </c>
      <c r="K117" s="1">
        <v>45634</v>
      </c>
      <c r="L117" t="s">
        <v>422</v>
      </c>
      <c r="M117" t="s">
        <v>726</v>
      </c>
      <c r="N117">
        <v>96</v>
      </c>
      <c r="O117">
        <v>50</v>
      </c>
      <c r="P117" t="s">
        <v>51</v>
      </c>
    </row>
    <row r="118" spans="1:16" x14ac:dyDescent="0.4">
      <c r="A118" t="s">
        <v>727</v>
      </c>
      <c r="B118" t="s">
        <v>239</v>
      </c>
      <c r="C118" t="s">
        <v>54</v>
      </c>
      <c r="D118" t="s">
        <v>728</v>
      </c>
      <c r="E118" t="s">
        <v>729</v>
      </c>
      <c r="F118">
        <v>70</v>
      </c>
      <c r="G118">
        <v>30</v>
      </c>
      <c r="H118">
        <v>69</v>
      </c>
      <c r="I118" t="s">
        <v>242</v>
      </c>
      <c r="J118" t="s">
        <v>251</v>
      </c>
      <c r="K118" s="1">
        <v>45718</v>
      </c>
      <c r="L118" t="s">
        <v>730</v>
      </c>
      <c r="M118" t="s">
        <v>731</v>
      </c>
      <c r="N118">
        <v>44</v>
      </c>
      <c r="O118">
        <v>42</v>
      </c>
      <c r="P118" t="s">
        <v>26</v>
      </c>
    </row>
    <row r="119" spans="1:16" x14ac:dyDescent="0.4">
      <c r="A119" t="s">
        <v>732</v>
      </c>
      <c r="B119" t="s">
        <v>733</v>
      </c>
      <c r="C119" t="s">
        <v>54</v>
      </c>
      <c r="D119" t="s">
        <v>734</v>
      </c>
      <c r="E119" t="s">
        <v>735</v>
      </c>
      <c r="F119">
        <v>47</v>
      </c>
      <c r="G119">
        <v>72</v>
      </c>
      <c r="H119">
        <v>73</v>
      </c>
      <c r="I119" t="s">
        <v>57</v>
      </c>
      <c r="J119" t="s">
        <v>736</v>
      </c>
      <c r="K119" t="s">
        <v>666</v>
      </c>
      <c r="L119" t="s">
        <v>328</v>
      </c>
      <c r="M119" t="s">
        <v>737</v>
      </c>
      <c r="N119">
        <v>93</v>
      </c>
      <c r="O119">
        <v>27</v>
      </c>
      <c r="P119" t="s">
        <v>42</v>
      </c>
    </row>
    <row r="120" spans="1:16" x14ac:dyDescent="0.4">
      <c r="A120" t="s">
        <v>738</v>
      </c>
      <c r="B120" t="s">
        <v>517</v>
      </c>
      <c r="C120" t="s">
        <v>18</v>
      </c>
      <c r="D120" t="s">
        <v>739</v>
      </c>
      <c r="E120" t="s">
        <v>740</v>
      </c>
      <c r="F120">
        <v>95</v>
      </c>
      <c r="G120">
        <v>93</v>
      </c>
      <c r="H120">
        <v>16</v>
      </c>
      <c r="I120" t="s">
        <v>21</v>
      </c>
      <c r="J120" t="s">
        <v>402</v>
      </c>
      <c r="K120" s="1">
        <v>45452</v>
      </c>
      <c r="L120" t="s">
        <v>121</v>
      </c>
      <c r="M120" t="s">
        <v>741</v>
      </c>
      <c r="N120">
        <v>60</v>
      </c>
      <c r="O120">
        <v>19</v>
      </c>
      <c r="P120" t="s">
        <v>51</v>
      </c>
    </row>
    <row r="121" spans="1:16" x14ac:dyDescent="0.4">
      <c r="A121" t="s">
        <v>742</v>
      </c>
      <c r="B121" t="s">
        <v>53</v>
      </c>
      <c r="C121" t="s">
        <v>54</v>
      </c>
      <c r="D121" t="s">
        <v>743</v>
      </c>
      <c r="E121" t="s">
        <v>744</v>
      </c>
      <c r="F121">
        <v>20</v>
      </c>
      <c r="G121">
        <v>42</v>
      </c>
      <c r="H121">
        <v>21</v>
      </c>
      <c r="I121" t="s">
        <v>745</v>
      </c>
      <c r="J121" t="s">
        <v>367</v>
      </c>
      <c r="K121" t="s">
        <v>542</v>
      </c>
      <c r="L121" t="s">
        <v>599</v>
      </c>
      <c r="M121" t="s">
        <v>746</v>
      </c>
      <c r="N121">
        <v>61</v>
      </c>
      <c r="O121">
        <v>25</v>
      </c>
      <c r="P121" t="s">
        <v>26</v>
      </c>
    </row>
    <row r="122" spans="1:16" x14ac:dyDescent="0.4">
      <c r="A122" t="s">
        <v>747</v>
      </c>
      <c r="B122" t="s">
        <v>17</v>
      </c>
      <c r="C122" t="s">
        <v>18</v>
      </c>
      <c r="D122" t="s">
        <v>748</v>
      </c>
      <c r="E122" t="s">
        <v>749</v>
      </c>
      <c r="F122">
        <v>19</v>
      </c>
      <c r="G122">
        <v>17</v>
      </c>
      <c r="H122">
        <v>14</v>
      </c>
      <c r="I122" t="s">
        <v>750</v>
      </c>
      <c r="J122" t="s">
        <v>382</v>
      </c>
      <c r="K122" t="s">
        <v>23</v>
      </c>
      <c r="L122" s="1">
        <v>45568</v>
      </c>
      <c r="M122" t="s">
        <v>751</v>
      </c>
      <c r="N122">
        <v>58</v>
      </c>
      <c r="O122">
        <v>23</v>
      </c>
      <c r="P122" t="s">
        <v>51</v>
      </c>
    </row>
    <row r="123" spans="1:16" x14ac:dyDescent="0.4">
      <c r="A123" t="s">
        <v>752</v>
      </c>
      <c r="B123" t="s">
        <v>28</v>
      </c>
      <c r="C123" t="s">
        <v>29</v>
      </c>
      <c r="D123" t="s">
        <v>753</v>
      </c>
      <c r="E123" t="s">
        <v>623</v>
      </c>
      <c r="F123">
        <v>74</v>
      </c>
      <c r="G123">
        <v>72</v>
      </c>
      <c r="H123">
        <v>18</v>
      </c>
      <c r="I123" t="s">
        <v>754</v>
      </c>
      <c r="J123" t="s">
        <v>755</v>
      </c>
      <c r="K123" t="s">
        <v>135</v>
      </c>
      <c r="L123" s="1">
        <v>45779</v>
      </c>
      <c r="M123" t="s">
        <v>756</v>
      </c>
      <c r="N123">
        <v>83</v>
      </c>
      <c r="O123">
        <v>54</v>
      </c>
      <c r="P123" t="s">
        <v>51</v>
      </c>
    </row>
    <row r="124" spans="1:16" x14ac:dyDescent="0.4">
      <c r="A124" t="s">
        <v>757</v>
      </c>
      <c r="B124" t="s">
        <v>225</v>
      </c>
      <c r="C124" t="s">
        <v>54</v>
      </c>
      <c r="D124" t="s">
        <v>758</v>
      </c>
      <c r="E124" t="s">
        <v>759</v>
      </c>
      <c r="F124">
        <v>61</v>
      </c>
      <c r="G124">
        <v>50</v>
      </c>
      <c r="H124">
        <v>9</v>
      </c>
      <c r="I124" t="s">
        <v>21</v>
      </c>
      <c r="J124" s="1">
        <v>45514</v>
      </c>
      <c r="K124" t="s">
        <v>555</v>
      </c>
      <c r="L124" t="s">
        <v>279</v>
      </c>
      <c r="M124" t="s">
        <v>760</v>
      </c>
      <c r="N124">
        <v>24</v>
      </c>
      <c r="O124">
        <v>92</v>
      </c>
      <c r="P124" t="s">
        <v>51</v>
      </c>
    </row>
    <row r="125" spans="1:16" x14ac:dyDescent="0.4">
      <c r="A125" t="s">
        <v>761</v>
      </c>
      <c r="B125" t="s">
        <v>363</v>
      </c>
      <c r="C125" t="s">
        <v>112</v>
      </c>
      <c r="D125" t="s">
        <v>762</v>
      </c>
      <c r="E125" t="s">
        <v>763</v>
      </c>
      <c r="F125">
        <v>34</v>
      </c>
      <c r="G125">
        <v>42</v>
      </c>
      <c r="H125">
        <v>86</v>
      </c>
      <c r="I125" t="s">
        <v>57</v>
      </c>
      <c r="J125" t="s">
        <v>347</v>
      </c>
      <c r="K125" s="1">
        <v>45483</v>
      </c>
      <c r="L125" s="1">
        <v>45295</v>
      </c>
      <c r="M125" t="s">
        <v>764</v>
      </c>
      <c r="N125">
        <v>28</v>
      </c>
      <c r="O125">
        <v>23</v>
      </c>
      <c r="P125" t="s">
        <v>26</v>
      </c>
    </row>
    <row r="126" spans="1:16" x14ac:dyDescent="0.4">
      <c r="A126" t="s">
        <v>765</v>
      </c>
      <c r="B126" t="s">
        <v>225</v>
      </c>
      <c r="C126" t="s">
        <v>54</v>
      </c>
      <c r="D126" t="s">
        <v>766</v>
      </c>
      <c r="E126" t="s">
        <v>767</v>
      </c>
      <c r="F126">
        <v>29</v>
      </c>
      <c r="G126">
        <v>20</v>
      </c>
      <c r="H126">
        <v>85</v>
      </c>
      <c r="I126" t="s">
        <v>21</v>
      </c>
      <c r="J126" t="s">
        <v>526</v>
      </c>
      <c r="K126" t="s">
        <v>599</v>
      </c>
      <c r="L126" s="1">
        <v>45325</v>
      </c>
      <c r="M126" t="s">
        <v>768</v>
      </c>
      <c r="N126">
        <v>31</v>
      </c>
      <c r="O126">
        <v>31</v>
      </c>
      <c r="P126" t="s">
        <v>51</v>
      </c>
    </row>
    <row r="127" spans="1:16" x14ac:dyDescent="0.4">
      <c r="A127" t="s">
        <v>769</v>
      </c>
      <c r="B127" t="s">
        <v>492</v>
      </c>
      <c r="C127" t="s">
        <v>77</v>
      </c>
      <c r="D127" t="s">
        <v>770</v>
      </c>
      <c r="E127" t="s">
        <v>653</v>
      </c>
      <c r="F127">
        <v>14</v>
      </c>
      <c r="G127">
        <v>99</v>
      </c>
      <c r="H127">
        <v>97</v>
      </c>
      <c r="I127" t="s">
        <v>771</v>
      </c>
      <c r="J127" t="s">
        <v>335</v>
      </c>
      <c r="K127" s="1">
        <v>45809</v>
      </c>
      <c r="L127" t="s">
        <v>207</v>
      </c>
      <c r="M127" t="s">
        <v>772</v>
      </c>
      <c r="N127">
        <v>28</v>
      </c>
      <c r="O127">
        <v>45</v>
      </c>
      <c r="P127" t="s">
        <v>26</v>
      </c>
    </row>
    <row r="128" spans="1:16" x14ac:dyDescent="0.4">
      <c r="A128" t="s">
        <v>773</v>
      </c>
      <c r="B128" t="s">
        <v>774</v>
      </c>
      <c r="C128" t="s">
        <v>18</v>
      </c>
      <c r="D128" t="s">
        <v>775</v>
      </c>
      <c r="E128" t="s">
        <v>776</v>
      </c>
      <c r="F128">
        <v>20</v>
      </c>
      <c r="G128">
        <v>20</v>
      </c>
      <c r="H128">
        <v>56</v>
      </c>
      <c r="I128" t="s">
        <v>466</v>
      </c>
      <c r="J128" s="1">
        <v>45809</v>
      </c>
      <c r="K128" s="1">
        <v>45297</v>
      </c>
      <c r="L128" s="1">
        <v>45448</v>
      </c>
      <c r="M128" t="s">
        <v>777</v>
      </c>
      <c r="N128">
        <v>62</v>
      </c>
      <c r="O128">
        <v>69</v>
      </c>
      <c r="P128" t="s">
        <v>42</v>
      </c>
    </row>
    <row r="129" spans="1:16" x14ac:dyDescent="0.4">
      <c r="A129" t="s">
        <v>778</v>
      </c>
      <c r="B129" t="s">
        <v>779</v>
      </c>
      <c r="C129" t="s">
        <v>18</v>
      </c>
      <c r="D129" t="s">
        <v>780</v>
      </c>
      <c r="E129" t="s">
        <v>781</v>
      </c>
      <c r="F129">
        <v>40</v>
      </c>
      <c r="G129">
        <v>38</v>
      </c>
      <c r="H129">
        <v>32</v>
      </c>
      <c r="I129" t="s">
        <v>642</v>
      </c>
      <c r="J129" t="s">
        <v>455</v>
      </c>
      <c r="K129" s="1">
        <v>45510</v>
      </c>
      <c r="L129" s="1">
        <v>45717</v>
      </c>
      <c r="M129" t="s">
        <v>782</v>
      </c>
      <c r="N129">
        <v>21</v>
      </c>
      <c r="O129">
        <v>45</v>
      </c>
      <c r="P129" t="s">
        <v>42</v>
      </c>
    </row>
    <row r="130" spans="1:16" x14ac:dyDescent="0.4">
      <c r="A130" t="s">
        <v>783</v>
      </c>
      <c r="B130" t="s">
        <v>784</v>
      </c>
      <c r="C130" t="s">
        <v>68</v>
      </c>
      <c r="D130" t="s">
        <v>785</v>
      </c>
      <c r="E130" t="s">
        <v>156</v>
      </c>
      <c r="F130">
        <v>91</v>
      </c>
      <c r="G130">
        <v>82</v>
      </c>
      <c r="H130">
        <v>58</v>
      </c>
      <c r="I130" t="s">
        <v>314</v>
      </c>
      <c r="J130" t="s">
        <v>786</v>
      </c>
      <c r="K130" t="s">
        <v>329</v>
      </c>
      <c r="L130" t="s">
        <v>199</v>
      </c>
      <c r="M130" t="s">
        <v>787</v>
      </c>
      <c r="N130">
        <v>43</v>
      </c>
      <c r="O130">
        <v>45</v>
      </c>
      <c r="P130" t="s">
        <v>26</v>
      </c>
    </row>
    <row r="131" spans="1:16" x14ac:dyDescent="0.4">
      <c r="A131" t="s">
        <v>788</v>
      </c>
      <c r="B131" t="s">
        <v>789</v>
      </c>
      <c r="C131" t="s">
        <v>68</v>
      </c>
      <c r="D131" t="s">
        <v>790</v>
      </c>
      <c r="E131" t="s">
        <v>791</v>
      </c>
      <c r="F131">
        <v>99</v>
      </c>
      <c r="G131">
        <v>96</v>
      </c>
      <c r="H131">
        <v>39</v>
      </c>
      <c r="I131" t="s">
        <v>591</v>
      </c>
      <c r="J131" t="s">
        <v>165</v>
      </c>
      <c r="K131" t="s">
        <v>792</v>
      </c>
      <c r="L131" t="s">
        <v>245</v>
      </c>
      <c r="M131" t="s">
        <v>793</v>
      </c>
      <c r="N131">
        <v>94</v>
      </c>
      <c r="O131">
        <v>89</v>
      </c>
      <c r="P131" t="s">
        <v>42</v>
      </c>
    </row>
    <row r="132" spans="1:16" x14ac:dyDescent="0.4">
      <c r="A132" t="s">
        <v>794</v>
      </c>
      <c r="B132" t="s">
        <v>138</v>
      </c>
      <c r="C132" t="s">
        <v>18</v>
      </c>
      <c r="D132" t="s">
        <v>795</v>
      </c>
      <c r="E132" t="s">
        <v>796</v>
      </c>
      <c r="F132">
        <v>34</v>
      </c>
      <c r="G132">
        <v>46</v>
      </c>
      <c r="H132">
        <v>45</v>
      </c>
      <c r="I132" t="s">
        <v>47</v>
      </c>
      <c r="J132" s="1">
        <v>45545</v>
      </c>
      <c r="K132" s="1">
        <v>45608</v>
      </c>
      <c r="L132" t="s">
        <v>293</v>
      </c>
      <c r="M132" t="s">
        <v>797</v>
      </c>
      <c r="N132">
        <v>49</v>
      </c>
      <c r="O132">
        <v>25</v>
      </c>
      <c r="P132" t="s">
        <v>42</v>
      </c>
    </row>
    <row r="133" spans="1:16" x14ac:dyDescent="0.4">
      <c r="A133" t="s">
        <v>798</v>
      </c>
      <c r="B133" t="s">
        <v>799</v>
      </c>
      <c r="C133" t="s">
        <v>77</v>
      </c>
      <c r="D133" t="s">
        <v>800</v>
      </c>
      <c r="E133" t="s">
        <v>801</v>
      </c>
      <c r="F133">
        <v>100</v>
      </c>
      <c r="G133">
        <v>21</v>
      </c>
      <c r="H133">
        <v>64</v>
      </c>
      <c r="I133" t="s">
        <v>134</v>
      </c>
      <c r="J133" t="s">
        <v>792</v>
      </c>
      <c r="K133" s="1">
        <v>45599</v>
      </c>
      <c r="L133" t="s">
        <v>802</v>
      </c>
      <c r="M133" t="s">
        <v>803</v>
      </c>
      <c r="N133">
        <v>20</v>
      </c>
      <c r="O133">
        <v>13</v>
      </c>
      <c r="P133" t="s">
        <v>42</v>
      </c>
    </row>
    <row r="134" spans="1:16" x14ac:dyDescent="0.4">
      <c r="A134" t="s">
        <v>804</v>
      </c>
      <c r="B134" t="s">
        <v>36</v>
      </c>
      <c r="C134" t="s">
        <v>18</v>
      </c>
      <c r="D134" t="s">
        <v>805</v>
      </c>
      <c r="E134" t="s">
        <v>806</v>
      </c>
      <c r="F134">
        <v>79</v>
      </c>
      <c r="G134">
        <v>98</v>
      </c>
      <c r="H134">
        <v>97</v>
      </c>
      <c r="I134" t="s">
        <v>39</v>
      </c>
      <c r="J134" s="1">
        <v>45577</v>
      </c>
      <c r="K134" t="s">
        <v>719</v>
      </c>
      <c r="L134" t="s">
        <v>807</v>
      </c>
      <c r="M134" t="s">
        <v>808</v>
      </c>
      <c r="N134">
        <v>26</v>
      </c>
      <c r="O134">
        <v>21</v>
      </c>
      <c r="P134" t="s">
        <v>42</v>
      </c>
    </row>
    <row r="135" spans="1:16" x14ac:dyDescent="0.4">
      <c r="A135" t="s">
        <v>809</v>
      </c>
      <c r="B135" t="s">
        <v>82</v>
      </c>
      <c r="C135" t="s">
        <v>77</v>
      </c>
      <c r="D135" t="s">
        <v>810</v>
      </c>
      <c r="E135" t="s">
        <v>801</v>
      </c>
      <c r="F135">
        <v>62</v>
      </c>
      <c r="G135">
        <v>2</v>
      </c>
      <c r="H135">
        <v>98</v>
      </c>
      <c r="I135" t="s">
        <v>85</v>
      </c>
      <c r="J135" t="s">
        <v>811</v>
      </c>
      <c r="K135" t="s">
        <v>359</v>
      </c>
      <c r="L135" s="1">
        <v>45421</v>
      </c>
      <c r="M135" t="s">
        <v>812</v>
      </c>
      <c r="N135">
        <v>50</v>
      </c>
      <c r="O135">
        <v>11</v>
      </c>
      <c r="P135" t="s">
        <v>26</v>
      </c>
    </row>
    <row r="136" spans="1:16" x14ac:dyDescent="0.4">
      <c r="A136" t="s">
        <v>813</v>
      </c>
      <c r="B136" t="s">
        <v>814</v>
      </c>
      <c r="C136" t="s">
        <v>169</v>
      </c>
      <c r="D136" t="s">
        <v>815</v>
      </c>
      <c r="E136" t="s">
        <v>816</v>
      </c>
      <c r="F136">
        <v>25</v>
      </c>
      <c r="G136">
        <v>44</v>
      </c>
      <c r="H136">
        <v>96</v>
      </c>
      <c r="I136" t="s">
        <v>817</v>
      </c>
      <c r="J136" s="1">
        <v>45389</v>
      </c>
      <c r="K136" s="1">
        <v>45538</v>
      </c>
      <c r="L136" s="1">
        <v>45300</v>
      </c>
      <c r="M136" t="s">
        <v>818</v>
      </c>
      <c r="N136">
        <v>36</v>
      </c>
      <c r="O136">
        <v>16</v>
      </c>
      <c r="P136" t="s">
        <v>51</v>
      </c>
    </row>
    <row r="137" spans="1:16" x14ac:dyDescent="0.4">
      <c r="A137" t="s">
        <v>819</v>
      </c>
      <c r="B137" t="s">
        <v>820</v>
      </c>
      <c r="C137" t="s">
        <v>77</v>
      </c>
      <c r="D137" t="s">
        <v>821</v>
      </c>
      <c r="E137" t="s">
        <v>38</v>
      </c>
      <c r="F137">
        <v>47</v>
      </c>
      <c r="G137">
        <v>2</v>
      </c>
      <c r="H137">
        <v>76</v>
      </c>
      <c r="I137" t="s">
        <v>71</v>
      </c>
      <c r="J137" t="s">
        <v>725</v>
      </c>
      <c r="K137" t="s">
        <v>23</v>
      </c>
      <c r="L137" s="1">
        <v>45446</v>
      </c>
      <c r="M137" t="s">
        <v>822</v>
      </c>
      <c r="N137">
        <v>48</v>
      </c>
      <c r="O137">
        <v>36</v>
      </c>
      <c r="P137" t="s">
        <v>26</v>
      </c>
    </row>
    <row r="138" spans="1:16" x14ac:dyDescent="0.4">
      <c r="A138" t="s">
        <v>823</v>
      </c>
      <c r="B138" t="s">
        <v>375</v>
      </c>
      <c r="C138" t="s">
        <v>54</v>
      </c>
      <c r="D138" t="s">
        <v>824</v>
      </c>
      <c r="E138" t="s">
        <v>825</v>
      </c>
      <c r="F138">
        <v>15</v>
      </c>
      <c r="G138">
        <v>44</v>
      </c>
      <c r="H138">
        <v>88</v>
      </c>
      <c r="I138" t="s">
        <v>85</v>
      </c>
      <c r="J138" t="s">
        <v>826</v>
      </c>
      <c r="K138" t="s">
        <v>827</v>
      </c>
      <c r="L138" t="s">
        <v>828</v>
      </c>
      <c r="M138" t="s">
        <v>829</v>
      </c>
      <c r="N138">
        <v>56</v>
      </c>
      <c r="O138">
        <v>12</v>
      </c>
      <c r="P138" t="s">
        <v>26</v>
      </c>
    </row>
    <row r="139" spans="1:16" x14ac:dyDescent="0.4">
      <c r="A139" t="s">
        <v>830</v>
      </c>
      <c r="B139" t="s">
        <v>722</v>
      </c>
      <c r="C139" t="s">
        <v>54</v>
      </c>
      <c r="D139" t="s">
        <v>831</v>
      </c>
      <c r="E139" t="s">
        <v>832</v>
      </c>
      <c r="F139">
        <v>19</v>
      </c>
      <c r="G139">
        <v>65</v>
      </c>
      <c r="H139">
        <v>48</v>
      </c>
      <c r="I139" t="s">
        <v>39</v>
      </c>
      <c r="J139" s="1">
        <v>45544</v>
      </c>
      <c r="K139" t="s">
        <v>180</v>
      </c>
      <c r="L139" s="1">
        <v>45635</v>
      </c>
      <c r="M139" t="s">
        <v>833</v>
      </c>
      <c r="N139">
        <v>59</v>
      </c>
      <c r="O139">
        <v>53</v>
      </c>
      <c r="P139" t="s">
        <v>26</v>
      </c>
    </row>
    <row r="140" spans="1:16" x14ac:dyDescent="0.4">
      <c r="A140" t="s">
        <v>834</v>
      </c>
      <c r="B140" t="s">
        <v>814</v>
      </c>
      <c r="C140" t="s">
        <v>169</v>
      </c>
      <c r="D140" t="s">
        <v>835</v>
      </c>
      <c r="E140" t="s">
        <v>836</v>
      </c>
      <c r="F140">
        <v>58</v>
      </c>
      <c r="G140">
        <v>77</v>
      </c>
      <c r="H140">
        <v>96</v>
      </c>
      <c r="I140" t="s">
        <v>817</v>
      </c>
      <c r="J140" s="1">
        <v>45605</v>
      </c>
      <c r="K140" t="s">
        <v>49</v>
      </c>
      <c r="L140" t="s">
        <v>666</v>
      </c>
      <c r="M140" t="s">
        <v>837</v>
      </c>
      <c r="N140">
        <v>25</v>
      </c>
      <c r="O140">
        <v>17</v>
      </c>
      <c r="P140" t="s">
        <v>26</v>
      </c>
    </row>
    <row r="141" spans="1:16" x14ac:dyDescent="0.4">
      <c r="A141" t="s">
        <v>838</v>
      </c>
      <c r="B141" t="s">
        <v>839</v>
      </c>
      <c r="C141" t="s">
        <v>77</v>
      </c>
      <c r="D141" t="s">
        <v>840</v>
      </c>
      <c r="E141" t="s">
        <v>841</v>
      </c>
      <c r="F141">
        <v>11</v>
      </c>
      <c r="G141">
        <v>30</v>
      </c>
      <c r="H141">
        <v>4</v>
      </c>
      <c r="I141" t="s">
        <v>57</v>
      </c>
      <c r="J141" s="1">
        <v>45330</v>
      </c>
      <c r="K141" t="s">
        <v>842</v>
      </c>
      <c r="L141" t="s">
        <v>524</v>
      </c>
      <c r="M141" t="s">
        <v>843</v>
      </c>
      <c r="N141">
        <v>84</v>
      </c>
      <c r="O141">
        <v>4</v>
      </c>
      <c r="P141" t="s">
        <v>51</v>
      </c>
    </row>
    <row r="142" spans="1:16" x14ac:dyDescent="0.4">
      <c r="A142" t="s">
        <v>844</v>
      </c>
      <c r="B142" t="s">
        <v>627</v>
      </c>
      <c r="C142" t="s">
        <v>18</v>
      </c>
      <c r="D142" t="s">
        <v>845</v>
      </c>
      <c r="E142" t="s">
        <v>846</v>
      </c>
      <c r="F142">
        <v>99</v>
      </c>
      <c r="G142">
        <v>44</v>
      </c>
      <c r="H142">
        <v>52</v>
      </c>
      <c r="I142" t="s">
        <v>106</v>
      </c>
      <c r="J142" t="s">
        <v>455</v>
      </c>
      <c r="K142" t="s">
        <v>736</v>
      </c>
      <c r="L142" t="s">
        <v>73</v>
      </c>
      <c r="M142" t="s">
        <v>847</v>
      </c>
      <c r="N142">
        <v>36</v>
      </c>
      <c r="O142">
        <v>2</v>
      </c>
      <c r="P142" t="s">
        <v>26</v>
      </c>
    </row>
    <row r="143" spans="1:16" x14ac:dyDescent="0.4">
      <c r="A143" t="s">
        <v>848</v>
      </c>
      <c r="B143" t="s">
        <v>44</v>
      </c>
      <c r="C143" t="s">
        <v>18</v>
      </c>
      <c r="D143" t="s">
        <v>849</v>
      </c>
      <c r="E143" t="s">
        <v>850</v>
      </c>
      <c r="F143">
        <v>26</v>
      </c>
      <c r="G143">
        <v>82</v>
      </c>
      <c r="H143">
        <v>19</v>
      </c>
      <c r="I143" t="s">
        <v>47</v>
      </c>
      <c r="J143" t="s">
        <v>435</v>
      </c>
      <c r="K143" s="1">
        <v>45572</v>
      </c>
      <c r="L143" t="s">
        <v>666</v>
      </c>
      <c r="M143" t="s">
        <v>851</v>
      </c>
      <c r="N143">
        <v>76</v>
      </c>
      <c r="O143">
        <v>88</v>
      </c>
      <c r="P143" t="s">
        <v>51</v>
      </c>
    </row>
    <row r="144" spans="1:16" x14ac:dyDescent="0.4">
      <c r="A144" t="s">
        <v>852</v>
      </c>
      <c r="B144" t="s">
        <v>498</v>
      </c>
      <c r="C144" t="s">
        <v>54</v>
      </c>
      <c r="D144" t="s">
        <v>853</v>
      </c>
      <c r="E144" t="s">
        <v>278</v>
      </c>
      <c r="F144">
        <v>70</v>
      </c>
      <c r="G144">
        <v>31</v>
      </c>
      <c r="H144">
        <v>55</v>
      </c>
      <c r="I144" t="s">
        <v>21</v>
      </c>
      <c r="J144" t="s">
        <v>609</v>
      </c>
      <c r="K144" t="s">
        <v>854</v>
      </c>
      <c r="L144" s="1">
        <v>45480</v>
      </c>
      <c r="M144" t="s">
        <v>855</v>
      </c>
      <c r="N144">
        <v>23</v>
      </c>
      <c r="O144">
        <v>80</v>
      </c>
      <c r="P144" t="s">
        <v>26</v>
      </c>
    </row>
    <row r="145" spans="1:16" x14ac:dyDescent="0.4">
      <c r="A145" t="s">
        <v>856</v>
      </c>
      <c r="B145" t="s">
        <v>498</v>
      </c>
      <c r="C145" t="s">
        <v>54</v>
      </c>
      <c r="D145" t="s">
        <v>857</v>
      </c>
      <c r="E145" t="s">
        <v>858</v>
      </c>
      <c r="F145">
        <v>50</v>
      </c>
      <c r="G145">
        <v>3</v>
      </c>
      <c r="H145">
        <v>88</v>
      </c>
      <c r="I145" t="s">
        <v>21</v>
      </c>
      <c r="J145" t="s">
        <v>397</v>
      </c>
      <c r="K145" t="s">
        <v>127</v>
      </c>
      <c r="L145" t="s">
        <v>40</v>
      </c>
      <c r="M145" t="s">
        <v>859</v>
      </c>
      <c r="N145">
        <v>69</v>
      </c>
      <c r="O145">
        <v>73</v>
      </c>
      <c r="P145" t="s">
        <v>26</v>
      </c>
    </row>
    <row r="146" spans="1:16" x14ac:dyDescent="0.4">
      <c r="A146" t="s">
        <v>860</v>
      </c>
      <c r="B146" t="s">
        <v>239</v>
      </c>
      <c r="C146" t="s">
        <v>54</v>
      </c>
      <c r="D146" t="s">
        <v>861</v>
      </c>
      <c r="E146" t="s">
        <v>806</v>
      </c>
      <c r="F146">
        <v>55</v>
      </c>
      <c r="G146">
        <v>91</v>
      </c>
      <c r="H146">
        <v>35</v>
      </c>
      <c r="I146" t="s">
        <v>242</v>
      </c>
      <c r="J146" s="1">
        <v>45509</v>
      </c>
      <c r="K146" t="s">
        <v>388</v>
      </c>
      <c r="L146" t="s">
        <v>598</v>
      </c>
      <c r="M146" t="s">
        <v>862</v>
      </c>
      <c r="N146">
        <v>81</v>
      </c>
      <c r="O146">
        <v>19</v>
      </c>
      <c r="P146" t="s">
        <v>51</v>
      </c>
    </row>
    <row r="147" spans="1:16" x14ac:dyDescent="0.4">
      <c r="A147" t="s">
        <v>863</v>
      </c>
      <c r="B147" t="s">
        <v>704</v>
      </c>
      <c r="C147" t="s">
        <v>169</v>
      </c>
      <c r="D147" t="s">
        <v>864</v>
      </c>
      <c r="E147" t="s">
        <v>865</v>
      </c>
      <c r="F147">
        <v>31</v>
      </c>
      <c r="G147">
        <v>87</v>
      </c>
      <c r="H147">
        <v>19</v>
      </c>
      <c r="I147" t="s">
        <v>147</v>
      </c>
      <c r="J147" t="s">
        <v>811</v>
      </c>
      <c r="K147" t="s">
        <v>866</v>
      </c>
      <c r="L147" s="1">
        <v>45296</v>
      </c>
      <c r="M147" t="s">
        <v>867</v>
      </c>
      <c r="N147">
        <v>41</v>
      </c>
      <c r="O147">
        <v>10</v>
      </c>
      <c r="P147" t="s">
        <v>51</v>
      </c>
    </row>
    <row r="148" spans="1:16" x14ac:dyDescent="0.4">
      <c r="A148" t="s">
        <v>868</v>
      </c>
      <c r="B148" t="s">
        <v>869</v>
      </c>
      <c r="C148" t="s">
        <v>29</v>
      </c>
      <c r="D148" t="s">
        <v>870</v>
      </c>
      <c r="E148" t="s">
        <v>871</v>
      </c>
      <c r="F148">
        <v>63</v>
      </c>
      <c r="G148">
        <v>92</v>
      </c>
      <c r="H148">
        <v>26</v>
      </c>
      <c r="I148" t="s">
        <v>147</v>
      </c>
      <c r="J148" t="s">
        <v>228</v>
      </c>
      <c r="K148" s="1">
        <v>45993</v>
      </c>
      <c r="L148" t="s">
        <v>644</v>
      </c>
      <c r="M148" t="s">
        <v>872</v>
      </c>
      <c r="N148">
        <v>93</v>
      </c>
      <c r="O148">
        <v>99</v>
      </c>
      <c r="P148" t="s">
        <v>51</v>
      </c>
    </row>
    <row r="149" spans="1:16" x14ac:dyDescent="0.4">
      <c r="A149" t="s">
        <v>873</v>
      </c>
      <c r="B149" t="s">
        <v>412</v>
      </c>
      <c r="C149" t="s">
        <v>169</v>
      </c>
      <c r="D149" t="s">
        <v>874</v>
      </c>
      <c r="E149" t="s">
        <v>781</v>
      </c>
      <c r="F149">
        <v>73</v>
      </c>
      <c r="G149">
        <v>31</v>
      </c>
      <c r="H149">
        <v>49</v>
      </c>
      <c r="I149" t="s">
        <v>39</v>
      </c>
      <c r="J149" t="s">
        <v>321</v>
      </c>
      <c r="K149" s="1">
        <v>45325</v>
      </c>
      <c r="L149" s="1">
        <v>45446</v>
      </c>
      <c r="M149" t="s">
        <v>875</v>
      </c>
      <c r="N149">
        <v>22</v>
      </c>
      <c r="O149">
        <v>47</v>
      </c>
      <c r="P149" t="s">
        <v>26</v>
      </c>
    </row>
    <row r="150" spans="1:16" x14ac:dyDescent="0.4">
      <c r="A150" t="s">
        <v>876</v>
      </c>
      <c r="B150" t="s">
        <v>363</v>
      </c>
      <c r="C150" t="s">
        <v>112</v>
      </c>
      <c r="D150" t="s">
        <v>877</v>
      </c>
      <c r="E150" t="s">
        <v>692</v>
      </c>
      <c r="F150">
        <v>12</v>
      </c>
      <c r="G150">
        <v>86</v>
      </c>
      <c r="H150">
        <v>98</v>
      </c>
      <c r="I150" t="s">
        <v>57</v>
      </c>
      <c r="J150" s="1">
        <v>45575</v>
      </c>
      <c r="K150" t="s">
        <v>23</v>
      </c>
      <c r="L150" t="s">
        <v>842</v>
      </c>
      <c r="M150" t="s">
        <v>878</v>
      </c>
      <c r="N150">
        <v>75</v>
      </c>
      <c r="O150">
        <v>86</v>
      </c>
      <c r="P150" t="s">
        <v>26</v>
      </c>
    </row>
    <row r="151" spans="1:16" x14ac:dyDescent="0.4">
      <c r="A151" t="s">
        <v>879</v>
      </c>
      <c r="B151" t="s">
        <v>296</v>
      </c>
      <c r="C151" t="s">
        <v>18</v>
      </c>
      <c r="D151" t="s">
        <v>880</v>
      </c>
      <c r="E151" t="s">
        <v>881</v>
      </c>
      <c r="F151">
        <v>53</v>
      </c>
      <c r="G151">
        <v>86</v>
      </c>
      <c r="H151">
        <v>54</v>
      </c>
      <c r="I151" t="s">
        <v>85</v>
      </c>
      <c r="J151" t="s">
        <v>882</v>
      </c>
      <c r="K151" s="1">
        <v>45749</v>
      </c>
      <c r="L151" s="1">
        <v>45454</v>
      </c>
      <c r="M151" t="s">
        <v>883</v>
      </c>
      <c r="N151">
        <v>44</v>
      </c>
      <c r="O151">
        <v>3</v>
      </c>
      <c r="P151" t="s">
        <v>26</v>
      </c>
    </row>
    <row r="152" spans="1:16" x14ac:dyDescent="0.4">
      <c r="A152" t="s">
        <v>884</v>
      </c>
      <c r="B152" t="s">
        <v>885</v>
      </c>
      <c r="C152" t="s">
        <v>18</v>
      </c>
      <c r="D152" t="s">
        <v>886</v>
      </c>
      <c r="E152" t="s">
        <v>887</v>
      </c>
      <c r="F152">
        <v>68</v>
      </c>
      <c r="G152">
        <v>7</v>
      </c>
      <c r="H152">
        <v>37</v>
      </c>
      <c r="I152" t="s">
        <v>71</v>
      </c>
      <c r="J152" s="1">
        <v>45512</v>
      </c>
      <c r="K152" s="1">
        <v>45600</v>
      </c>
      <c r="L152" t="s">
        <v>158</v>
      </c>
      <c r="M152" t="s">
        <v>888</v>
      </c>
      <c r="N152">
        <v>69</v>
      </c>
      <c r="O152">
        <v>1</v>
      </c>
      <c r="P152" t="s">
        <v>26</v>
      </c>
    </row>
    <row r="153" spans="1:16" x14ac:dyDescent="0.4">
      <c r="A153" t="s">
        <v>889</v>
      </c>
      <c r="B153" t="s">
        <v>144</v>
      </c>
      <c r="C153" t="s">
        <v>77</v>
      </c>
      <c r="D153" t="s">
        <v>890</v>
      </c>
      <c r="E153" t="s">
        <v>891</v>
      </c>
      <c r="F153">
        <v>80</v>
      </c>
      <c r="G153">
        <v>9</v>
      </c>
      <c r="H153">
        <v>29</v>
      </c>
      <c r="I153" t="s">
        <v>892</v>
      </c>
      <c r="J153" t="s">
        <v>893</v>
      </c>
      <c r="K153" t="s">
        <v>473</v>
      </c>
      <c r="L153" s="1">
        <v>45545</v>
      </c>
      <c r="M153" t="s">
        <v>894</v>
      </c>
      <c r="N153">
        <v>54</v>
      </c>
      <c r="O153">
        <v>62</v>
      </c>
      <c r="P153" t="s">
        <v>51</v>
      </c>
    </row>
    <row r="154" spans="1:16" x14ac:dyDescent="0.4">
      <c r="A154" t="s">
        <v>895</v>
      </c>
      <c r="B154" t="s">
        <v>814</v>
      </c>
      <c r="C154" t="s">
        <v>169</v>
      </c>
      <c r="D154" t="s">
        <v>896</v>
      </c>
      <c r="E154" t="s">
        <v>897</v>
      </c>
      <c r="F154">
        <v>92</v>
      </c>
      <c r="G154">
        <v>68</v>
      </c>
      <c r="H154">
        <v>79</v>
      </c>
      <c r="I154" t="s">
        <v>817</v>
      </c>
      <c r="J154" t="s">
        <v>898</v>
      </c>
      <c r="K154" t="s">
        <v>228</v>
      </c>
      <c r="L154" s="1">
        <v>45386</v>
      </c>
      <c r="M154" t="s">
        <v>899</v>
      </c>
      <c r="N154">
        <v>40</v>
      </c>
      <c r="O154">
        <v>57</v>
      </c>
      <c r="P154" t="s">
        <v>26</v>
      </c>
    </row>
    <row r="155" spans="1:16" x14ac:dyDescent="0.4">
      <c r="A155" t="s">
        <v>900</v>
      </c>
      <c r="B155" t="s">
        <v>233</v>
      </c>
      <c r="C155" t="s">
        <v>54</v>
      </c>
      <c r="D155" t="s">
        <v>901</v>
      </c>
      <c r="E155" t="s">
        <v>484</v>
      </c>
      <c r="F155">
        <v>31</v>
      </c>
      <c r="G155">
        <v>98</v>
      </c>
      <c r="H155">
        <v>72</v>
      </c>
      <c r="I155" t="s">
        <v>466</v>
      </c>
      <c r="J155" t="s">
        <v>893</v>
      </c>
      <c r="K155" s="1">
        <v>45483</v>
      </c>
      <c r="L155" s="1">
        <v>45394</v>
      </c>
      <c r="M155" t="s">
        <v>902</v>
      </c>
      <c r="N155">
        <v>91</v>
      </c>
      <c r="O155">
        <v>29</v>
      </c>
      <c r="P155" t="s">
        <v>51</v>
      </c>
    </row>
    <row r="156" spans="1:16" x14ac:dyDescent="0.4">
      <c r="A156" t="s">
        <v>903</v>
      </c>
      <c r="B156" t="s">
        <v>482</v>
      </c>
      <c r="C156" t="s">
        <v>54</v>
      </c>
      <c r="D156" t="s">
        <v>904</v>
      </c>
      <c r="E156" t="s">
        <v>56</v>
      </c>
      <c r="F156">
        <v>31</v>
      </c>
      <c r="G156">
        <v>44</v>
      </c>
      <c r="H156">
        <v>9</v>
      </c>
      <c r="I156" t="s">
        <v>85</v>
      </c>
      <c r="J156" t="s">
        <v>200</v>
      </c>
      <c r="K156" t="s">
        <v>347</v>
      </c>
      <c r="L156" s="1">
        <v>45420</v>
      </c>
      <c r="M156" t="s">
        <v>905</v>
      </c>
      <c r="N156">
        <v>46</v>
      </c>
      <c r="O156">
        <v>9</v>
      </c>
      <c r="P156" t="s">
        <v>26</v>
      </c>
    </row>
    <row r="157" spans="1:16" x14ac:dyDescent="0.4">
      <c r="A157" t="s">
        <v>906</v>
      </c>
      <c r="B157" t="s">
        <v>616</v>
      </c>
      <c r="C157" t="s">
        <v>54</v>
      </c>
      <c r="D157" t="s">
        <v>907</v>
      </c>
      <c r="E157" t="s">
        <v>908</v>
      </c>
      <c r="F157">
        <v>76</v>
      </c>
      <c r="G157">
        <v>97</v>
      </c>
      <c r="H157">
        <v>20</v>
      </c>
      <c r="I157" t="s">
        <v>134</v>
      </c>
      <c r="J157" t="s">
        <v>909</v>
      </c>
      <c r="K157" t="s">
        <v>301</v>
      </c>
      <c r="L157" s="1">
        <v>45601</v>
      </c>
      <c r="M157" t="s">
        <v>910</v>
      </c>
      <c r="N157">
        <v>52</v>
      </c>
      <c r="O157">
        <v>82</v>
      </c>
      <c r="P157" t="s">
        <v>26</v>
      </c>
    </row>
    <row r="158" spans="1:16" x14ac:dyDescent="0.4">
      <c r="A158" t="s">
        <v>911</v>
      </c>
      <c r="B158" t="s">
        <v>912</v>
      </c>
      <c r="C158" t="s">
        <v>68</v>
      </c>
      <c r="D158" t="s">
        <v>913</v>
      </c>
      <c r="E158" t="s">
        <v>914</v>
      </c>
      <c r="F158">
        <v>57</v>
      </c>
      <c r="G158">
        <v>99</v>
      </c>
      <c r="H158">
        <v>23</v>
      </c>
      <c r="I158" t="s">
        <v>106</v>
      </c>
      <c r="J158" t="s">
        <v>915</v>
      </c>
      <c r="K158" t="s">
        <v>916</v>
      </c>
      <c r="L158" t="s">
        <v>637</v>
      </c>
      <c r="M158" t="s">
        <v>917</v>
      </c>
      <c r="N158">
        <v>89</v>
      </c>
      <c r="O158">
        <v>21</v>
      </c>
      <c r="P158" t="s">
        <v>42</v>
      </c>
    </row>
    <row r="159" spans="1:16" x14ac:dyDescent="0.4">
      <c r="A159" t="s">
        <v>918</v>
      </c>
      <c r="B159" t="s">
        <v>663</v>
      </c>
      <c r="C159" t="s">
        <v>77</v>
      </c>
      <c r="D159" t="s">
        <v>919</v>
      </c>
      <c r="E159" t="s">
        <v>920</v>
      </c>
      <c r="F159">
        <v>92</v>
      </c>
      <c r="G159">
        <v>99</v>
      </c>
      <c r="H159">
        <v>93</v>
      </c>
      <c r="I159" t="s">
        <v>57</v>
      </c>
      <c r="J159" t="s">
        <v>48</v>
      </c>
      <c r="K159" t="s">
        <v>866</v>
      </c>
      <c r="L159" t="s">
        <v>360</v>
      </c>
      <c r="M159" t="s">
        <v>921</v>
      </c>
      <c r="N159">
        <v>43</v>
      </c>
      <c r="O159">
        <v>90</v>
      </c>
      <c r="P159" t="s">
        <v>26</v>
      </c>
    </row>
    <row r="160" spans="1:16" x14ac:dyDescent="0.4">
      <c r="A160" t="s">
        <v>922</v>
      </c>
      <c r="B160" t="s">
        <v>923</v>
      </c>
      <c r="C160" t="s">
        <v>77</v>
      </c>
      <c r="D160" t="s">
        <v>924</v>
      </c>
      <c r="E160" t="s">
        <v>925</v>
      </c>
      <c r="F160">
        <v>88</v>
      </c>
      <c r="G160">
        <v>74</v>
      </c>
      <c r="H160">
        <v>97</v>
      </c>
      <c r="I160" t="s">
        <v>266</v>
      </c>
      <c r="J160" t="s">
        <v>164</v>
      </c>
      <c r="K160" t="s">
        <v>157</v>
      </c>
      <c r="L160" t="s">
        <v>301</v>
      </c>
      <c r="M160" t="s">
        <v>926</v>
      </c>
      <c r="N160">
        <v>79</v>
      </c>
      <c r="O160">
        <v>5</v>
      </c>
      <c r="P160" t="s">
        <v>51</v>
      </c>
    </row>
    <row r="161" spans="1:16" x14ac:dyDescent="0.4">
      <c r="A161" t="s">
        <v>927</v>
      </c>
      <c r="B161" t="s">
        <v>698</v>
      </c>
      <c r="C161" t="s">
        <v>54</v>
      </c>
      <c r="D161" t="s">
        <v>928</v>
      </c>
      <c r="E161" t="s">
        <v>929</v>
      </c>
      <c r="F161">
        <v>99</v>
      </c>
      <c r="G161">
        <v>8</v>
      </c>
      <c r="H161">
        <v>27</v>
      </c>
      <c r="I161" t="s">
        <v>220</v>
      </c>
      <c r="J161" t="s">
        <v>221</v>
      </c>
      <c r="K161" t="s">
        <v>866</v>
      </c>
      <c r="L161" s="1">
        <v>45573</v>
      </c>
      <c r="M161" t="s">
        <v>930</v>
      </c>
      <c r="N161">
        <v>41</v>
      </c>
      <c r="O161">
        <v>50</v>
      </c>
      <c r="P161" t="s">
        <v>26</v>
      </c>
    </row>
    <row r="162" spans="1:16" x14ac:dyDescent="0.4">
      <c r="A162" t="s">
        <v>931</v>
      </c>
      <c r="B162" t="s">
        <v>932</v>
      </c>
      <c r="C162" t="s">
        <v>77</v>
      </c>
      <c r="D162" t="s">
        <v>933</v>
      </c>
      <c r="E162" t="s">
        <v>934</v>
      </c>
      <c r="F162">
        <v>44</v>
      </c>
      <c r="G162">
        <v>84</v>
      </c>
      <c r="H162">
        <v>63</v>
      </c>
      <c r="I162" t="s">
        <v>71</v>
      </c>
      <c r="J162" t="s">
        <v>525</v>
      </c>
      <c r="K162" s="1">
        <v>45600</v>
      </c>
      <c r="L162" t="s">
        <v>935</v>
      </c>
      <c r="M162" t="s">
        <v>936</v>
      </c>
      <c r="N162">
        <v>51</v>
      </c>
      <c r="O162">
        <v>67</v>
      </c>
      <c r="P162" t="s">
        <v>26</v>
      </c>
    </row>
    <row r="163" spans="1:16" x14ac:dyDescent="0.4">
      <c r="A163" t="s">
        <v>937</v>
      </c>
      <c r="B163" t="s">
        <v>255</v>
      </c>
      <c r="C163" t="s">
        <v>29</v>
      </c>
      <c r="D163" t="s">
        <v>938</v>
      </c>
      <c r="E163" t="s">
        <v>939</v>
      </c>
      <c r="F163">
        <v>48</v>
      </c>
      <c r="G163">
        <v>77</v>
      </c>
      <c r="H163">
        <v>81</v>
      </c>
      <c r="I163" t="s">
        <v>940</v>
      </c>
      <c r="J163" t="s">
        <v>366</v>
      </c>
      <c r="K163" s="1">
        <v>45422</v>
      </c>
      <c r="L163" s="1">
        <v>45485</v>
      </c>
      <c r="M163" t="s">
        <v>941</v>
      </c>
      <c r="N163">
        <v>70</v>
      </c>
      <c r="O163">
        <v>74</v>
      </c>
      <c r="P163" t="s">
        <v>42</v>
      </c>
    </row>
    <row r="164" spans="1:16" x14ac:dyDescent="0.4">
      <c r="A164" t="s">
        <v>942</v>
      </c>
      <c r="B164" t="s">
        <v>943</v>
      </c>
      <c r="C164" t="s">
        <v>68</v>
      </c>
      <c r="D164" t="s">
        <v>944</v>
      </c>
      <c r="E164" t="s">
        <v>665</v>
      </c>
      <c r="F164">
        <v>27</v>
      </c>
      <c r="G164">
        <v>92</v>
      </c>
      <c r="H164">
        <v>56</v>
      </c>
      <c r="I164" t="s">
        <v>945</v>
      </c>
      <c r="J164" t="s">
        <v>946</v>
      </c>
      <c r="K164" t="s">
        <v>107</v>
      </c>
      <c r="L164" t="s">
        <v>99</v>
      </c>
      <c r="M164" t="s">
        <v>947</v>
      </c>
      <c r="N164">
        <v>29</v>
      </c>
      <c r="O164">
        <v>32</v>
      </c>
      <c r="P164" t="s">
        <v>26</v>
      </c>
    </row>
    <row r="165" spans="1:16" x14ac:dyDescent="0.4">
      <c r="A165" t="s">
        <v>948</v>
      </c>
      <c r="B165" t="s">
        <v>36</v>
      </c>
      <c r="C165" t="s">
        <v>18</v>
      </c>
      <c r="D165" t="s">
        <v>949</v>
      </c>
      <c r="E165" t="s">
        <v>950</v>
      </c>
      <c r="F165">
        <v>34</v>
      </c>
      <c r="G165">
        <v>96</v>
      </c>
      <c r="H165">
        <v>76</v>
      </c>
      <c r="I165" t="s">
        <v>951</v>
      </c>
      <c r="J165" s="1">
        <v>45361</v>
      </c>
      <c r="K165" s="1">
        <v>45455</v>
      </c>
      <c r="L165" t="s">
        <v>479</v>
      </c>
      <c r="M165" t="s">
        <v>952</v>
      </c>
      <c r="N165">
        <v>90</v>
      </c>
      <c r="O165">
        <v>34</v>
      </c>
      <c r="P165" t="s">
        <v>26</v>
      </c>
    </row>
    <row r="166" spans="1:16" x14ac:dyDescent="0.4">
      <c r="A166" t="s">
        <v>953</v>
      </c>
      <c r="B166" t="s">
        <v>375</v>
      </c>
      <c r="C166" t="s">
        <v>54</v>
      </c>
      <c r="D166" t="s">
        <v>954</v>
      </c>
      <c r="E166" t="s">
        <v>357</v>
      </c>
      <c r="F166">
        <v>41</v>
      </c>
      <c r="G166">
        <v>94</v>
      </c>
      <c r="H166">
        <v>4</v>
      </c>
      <c r="I166" t="s">
        <v>85</v>
      </c>
      <c r="J166" s="1">
        <v>45749</v>
      </c>
      <c r="K166" t="s">
        <v>955</v>
      </c>
      <c r="L166" t="s">
        <v>956</v>
      </c>
      <c r="M166" t="s">
        <v>957</v>
      </c>
      <c r="N166">
        <v>88</v>
      </c>
      <c r="O166">
        <v>92</v>
      </c>
      <c r="P166" t="s">
        <v>26</v>
      </c>
    </row>
    <row r="167" spans="1:16" x14ac:dyDescent="0.4">
      <c r="A167" t="s">
        <v>958</v>
      </c>
      <c r="B167" t="s">
        <v>431</v>
      </c>
      <c r="C167" t="s">
        <v>29</v>
      </c>
      <c r="D167" t="s">
        <v>959</v>
      </c>
      <c r="E167" t="s">
        <v>56</v>
      </c>
      <c r="F167">
        <v>56</v>
      </c>
      <c r="G167">
        <v>12</v>
      </c>
      <c r="H167">
        <v>85</v>
      </c>
      <c r="I167" t="s">
        <v>220</v>
      </c>
      <c r="J167" s="1">
        <v>45577</v>
      </c>
      <c r="K167" t="s">
        <v>300</v>
      </c>
      <c r="L167" t="s">
        <v>637</v>
      </c>
      <c r="M167" t="s">
        <v>960</v>
      </c>
      <c r="N167">
        <v>52</v>
      </c>
      <c r="O167">
        <v>46</v>
      </c>
      <c r="P167" t="s">
        <v>51</v>
      </c>
    </row>
    <row r="168" spans="1:16" x14ac:dyDescent="0.4">
      <c r="A168" t="s">
        <v>961</v>
      </c>
      <c r="B168" t="s">
        <v>962</v>
      </c>
      <c r="C168" t="s">
        <v>54</v>
      </c>
      <c r="D168" t="s">
        <v>963</v>
      </c>
      <c r="E168" t="s">
        <v>964</v>
      </c>
      <c r="F168">
        <v>22</v>
      </c>
      <c r="G168">
        <v>40</v>
      </c>
      <c r="H168">
        <v>7</v>
      </c>
      <c r="I168" t="s">
        <v>220</v>
      </c>
      <c r="J168" s="1">
        <v>45635</v>
      </c>
      <c r="K168" t="s">
        <v>509</v>
      </c>
      <c r="L168" t="s">
        <v>321</v>
      </c>
      <c r="M168" t="s">
        <v>965</v>
      </c>
      <c r="N168">
        <v>98</v>
      </c>
      <c r="O168">
        <v>60</v>
      </c>
      <c r="P168" t="s">
        <v>51</v>
      </c>
    </row>
    <row r="169" spans="1:16" x14ac:dyDescent="0.4">
      <c r="A169" t="s">
        <v>966</v>
      </c>
      <c r="B169" t="s">
        <v>607</v>
      </c>
      <c r="C169" t="s">
        <v>68</v>
      </c>
      <c r="D169" t="s">
        <v>967</v>
      </c>
      <c r="E169" t="s">
        <v>968</v>
      </c>
      <c r="F169">
        <v>40</v>
      </c>
      <c r="G169">
        <v>2</v>
      </c>
      <c r="H169">
        <v>58</v>
      </c>
      <c r="I169" t="s">
        <v>466</v>
      </c>
      <c r="J169" t="s">
        <v>969</v>
      </c>
      <c r="K169" t="s">
        <v>251</v>
      </c>
      <c r="L169" s="1">
        <v>45515</v>
      </c>
      <c r="M169" t="s">
        <v>970</v>
      </c>
      <c r="N169">
        <v>71</v>
      </c>
      <c r="O169">
        <v>10</v>
      </c>
      <c r="P169" t="s">
        <v>51</v>
      </c>
    </row>
    <row r="170" spans="1:16" x14ac:dyDescent="0.4">
      <c r="A170" t="s">
        <v>971</v>
      </c>
      <c r="B170" t="s">
        <v>144</v>
      </c>
      <c r="C170" t="s">
        <v>77</v>
      </c>
      <c r="D170" t="s">
        <v>972</v>
      </c>
      <c r="E170" t="s">
        <v>973</v>
      </c>
      <c r="F170">
        <v>50</v>
      </c>
      <c r="G170">
        <v>99</v>
      </c>
      <c r="H170">
        <v>73</v>
      </c>
      <c r="I170" t="s">
        <v>147</v>
      </c>
      <c r="J170" s="1">
        <v>45631</v>
      </c>
      <c r="K170" t="s">
        <v>243</v>
      </c>
      <c r="L170" t="s">
        <v>807</v>
      </c>
      <c r="M170" t="s">
        <v>974</v>
      </c>
      <c r="N170">
        <v>42</v>
      </c>
      <c r="O170">
        <v>1</v>
      </c>
      <c r="P170" t="s">
        <v>42</v>
      </c>
    </row>
    <row r="171" spans="1:16" x14ac:dyDescent="0.4">
      <c r="A171" t="s">
        <v>975</v>
      </c>
      <c r="B171" t="s">
        <v>304</v>
      </c>
      <c r="C171" t="s">
        <v>54</v>
      </c>
      <c r="D171" t="s">
        <v>976</v>
      </c>
      <c r="E171" t="s">
        <v>977</v>
      </c>
      <c r="F171">
        <v>89</v>
      </c>
      <c r="G171">
        <v>92</v>
      </c>
      <c r="H171">
        <v>62</v>
      </c>
      <c r="I171" t="s">
        <v>978</v>
      </c>
      <c r="J171" s="1">
        <v>45325</v>
      </c>
      <c r="K171" s="1">
        <v>45511</v>
      </c>
      <c r="L171" s="1">
        <v>45607</v>
      </c>
      <c r="M171" t="s">
        <v>979</v>
      </c>
      <c r="N171">
        <v>46</v>
      </c>
      <c r="O171">
        <v>11</v>
      </c>
      <c r="P171" t="s">
        <v>42</v>
      </c>
    </row>
    <row r="172" spans="1:16" x14ac:dyDescent="0.4">
      <c r="A172" t="s">
        <v>980</v>
      </c>
      <c r="B172" t="s">
        <v>932</v>
      </c>
      <c r="C172" t="s">
        <v>77</v>
      </c>
      <c r="D172" t="s">
        <v>981</v>
      </c>
      <c r="E172" t="s">
        <v>584</v>
      </c>
      <c r="F172">
        <v>76</v>
      </c>
      <c r="G172">
        <v>54</v>
      </c>
      <c r="H172">
        <v>76</v>
      </c>
      <c r="I172" t="s">
        <v>71</v>
      </c>
      <c r="J172" s="1">
        <v>45301</v>
      </c>
      <c r="K172" t="s">
        <v>173</v>
      </c>
      <c r="L172" t="s">
        <v>64</v>
      </c>
      <c r="M172" t="s">
        <v>982</v>
      </c>
      <c r="N172">
        <v>69</v>
      </c>
      <c r="O172">
        <v>27</v>
      </c>
      <c r="P172" t="s">
        <v>42</v>
      </c>
    </row>
    <row r="173" spans="1:16" x14ac:dyDescent="0.4">
      <c r="A173" t="s">
        <v>983</v>
      </c>
      <c r="B173" t="s">
        <v>984</v>
      </c>
      <c r="C173" t="s">
        <v>18</v>
      </c>
      <c r="D173" t="s">
        <v>985</v>
      </c>
      <c r="E173" t="s">
        <v>767</v>
      </c>
      <c r="F173">
        <v>67</v>
      </c>
      <c r="G173">
        <v>60</v>
      </c>
      <c r="H173">
        <v>21</v>
      </c>
      <c r="I173" t="s">
        <v>986</v>
      </c>
      <c r="J173" s="1">
        <v>45355</v>
      </c>
      <c r="K173" t="s">
        <v>618</v>
      </c>
      <c r="L173" s="1">
        <v>45452</v>
      </c>
      <c r="M173" t="s">
        <v>987</v>
      </c>
      <c r="N173">
        <v>30</v>
      </c>
      <c r="O173">
        <v>6</v>
      </c>
      <c r="P173" t="s">
        <v>51</v>
      </c>
    </row>
    <row r="174" spans="1:16" x14ac:dyDescent="0.4">
      <c r="A174" t="s">
        <v>988</v>
      </c>
      <c r="B174" t="s">
        <v>989</v>
      </c>
      <c r="C174" t="s">
        <v>29</v>
      </c>
      <c r="D174" t="s">
        <v>990</v>
      </c>
      <c r="E174" t="s">
        <v>991</v>
      </c>
      <c r="F174">
        <v>62</v>
      </c>
      <c r="G174">
        <v>78</v>
      </c>
      <c r="H174">
        <v>97</v>
      </c>
      <c r="I174" t="s">
        <v>591</v>
      </c>
      <c r="J174" s="1">
        <v>45508</v>
      </c>
      <c r="K174" t="s">
        <v>802</v>
      </c>
      <c r="L174" t="s">
        <v>360</v>
      </c>
      <c r="M174" t="s">
        <v>992</v>
      </c>
      <c r="N174">
        <v>62</v>
      </c>
      <c r="O174">
        <v>97</v>
      </c>
      <c r="P174" t="s">
        <v>26</v>
      </c>
    </row>
    <row r="175" spans="1:16" x14ac:dyDescent="0.4">
      <c r="A175" t="s">
        <v>993</v>
      </c>
      <c r="B175" t="s">
        <v>994</v>
      </c>
      <c r="C175" t="s">
        <v>54</v>
      </c>
      <c r="D175" t="s">
        <v>995</v>
      </c>
      <c r="E175" t="s">
        <v>996</v>
      </c>
      <c r="F175">
        <v>75</v>
      </c>
      <c r="G175">
        <v>10</v>
      </c>
      <c r="H175">
        <v>68</v>
      </c>
      <c r="I175" t="s">
        <v>85</v>
      </c>
      <c r="J175" s="1">
        <v>45605</v>
      </c>
      <c r="K175" s="1">
        <v>45931</v>
      </c>
      <c r="L175" s="1">
        <v>45363</v>
      </c>
      <c r="M175" t="s">
        <v>997</v>
      </c>
      <c r="N175">
        <v>90</v>
      </c>
      <c r="O175">
        <v>42</v>
      </c>
      <c r="P175" t="s">
        <v>51</v>
      </c>
    </row>
    <row r="176" spans="1:16" x14ac:dyDescent="0.4">
      <c r="A176" t="s">
        <v>998</v>
      </c>
      <c r="B176" t="s">
        <v>391</v>
      </c>
      <c r="C176" t="s">
        <v>29</v>
      </c>
      <c r="D176" t="s">
        <v>999</v>
      </c>
      <c r="E176" t="s">
        <v>1000</v>
      </c>
      <c r="F176">
        <v>75</v>
      </c>
      <c r="G176">
        <v>47</v>
      </c>
      <c r="H176">
        <v>33</v>
      </c>
      <c r="I176" t="s">
        <v>1001</v>
      </c>
      <c r="J176" t="s">
        <v>207</v>
      </c>
      <c r="K176" s="1">
        <v>45547</v>
      </c>
      <c r="L176" t="s">
        <v>811</v>
      </c>
      <c r="M176" t="s">
        <v>1002</v>
      </c>
      <c r="N176">
        <v>33</v>
      </c>
      <c r="O176">
        <v>12</v>
      </c>
      <c r="P176" t="s">
        <v>26</v>
      </c>
    </row>
    <row r="177" spans="1:16" x14ac:dyDescent="0.4">
      <c r="A177" t="s">
        <v>1003</v>
      </c>
      <c r="B177" t="s">
        <v>545</v>
      </c>
      <c r="C177" t="s">
        <v>77</v>
      </c>
      <c r="D177" t="s">
        <v>1004</v>
      </c>
      <c r="E177" t="s">
        <v>977</v>
      </c>
      <c r="F177">
        <v>29</v>
      </c>
      <c r="G177">
        <v>32</v>
      </c>
      <c r="H177">
        <v>26</v>
      </c>
      <c r="I177" t="s">
        <v>71</v>
      </c>
      <c r="J177" t="s">
        <v>121</v>
      </c>
      <c r="K177" t="s">
        <v>1005</v>
      </c>
      <c r="L177" t="s">
        <v>434</v>
      </c>
      <c r="M177" t="s">
        <v>1006</v>
      </c>
      <c r="N177">
        <v>64</v>
      </c>
      <c r="O177">
        <v>85</v>
      </c>
      <c r="P177" t="s">
        <v>26</v>
      </c>
    </row>
    <row r="178" spans="1:16" x14ac:dyDescent="0.4">
      <c r="A178" t="s">
        <v>1007</v>
      </c>
      <c r="B178" t="s">
        <v>218</v>
      </c>
      <c r="C178" t="s">
        <v>112</v>
      </c>
      <c r="D178" t="s">
        <v>1008</v>
      </c>
      <c r="E178" t="s">
        <v>1009</v>
      </c>
      <c r="F178">
        <v>34</v>
      </c>
      <c r="G178">
        <v>55</v>
      </c>
      <c r="H178">
        <v>22</v>
      </c>
      <c r="I178" t="s">
        <v>220</v>
      </c>
      <c r="J178" s="1">
        <v>45606</v>
      </c>
      <c r="K178" t="s">
        <v>23</v>
      </c>
      <c r="L178" t="s">
        <v>755</v>
      </c>
      <c r="M178" t="s">
        <v>1010</v>
      </c>
      <c r="N178">
        <v>77</v>
      </c>
      <c r="O178">
        <v>85</v>
      </c>
      <c r="P178" t="s">
        <v>51</v>
      </c>
    </row>
    <row r="179" spans="1:16" x14ac:dyDescent="0.4">
      <c r="A179" t="s">
        <v>1011</v>
      </c>
      <c r="B179" t="s">
        <v>869</v>
      </c>
      <c r="C179" t="s">
        <v>29</v>
      </c>
      <c r="D179" t="s">
        <v>1012</v>
      </c>
      <c r="E179" t="s">
        <v>1013</v>
      </c>
      <c r="F179">
        <v>15</v>
      </c>
      <c r="G179">
        <v>66</v>
      </c>
      <c r="H179">
        <v>85</v>
      </c>
      <c r="I179" t="s">
        <v>147</v>
      </c>
      <c r="J179" t="s">
        <v>359</v>
      </c>
      <c r="K179" s="1">
        <v>45358</v>
      </c>
      <c r="L179" t="s">
        <v>1014</v>
      </c>
      <c r="M179" t="s">
        <v>1015</v>
      </c>
      <c r="N179">
        <v>60</v>
      </c>
      <c r="O179">
        <v>40</v>
      </c>
      <c r="P179" t="s">
        <v>42</v>
      </c>
    </row>
    <row r="180" spans="1:16" x14ac:dyDescent="0.4">
      <c r="A180" t="s">
        <v>1016</v>
      </c>
      <c r="B180" t="s">
        <v>1017</v>
      </c>
      <c r="C180" t="s">
        <v>169</v>
      </c>
      <c r="D180" t="s">
        <v>1018</v>
      </c>
      <c r="E180" t="s">
        <v>1019</v>
      </c>
      <c r="F180">
        <v>88</v>
      </c>
      <c r="G180">
        <v>56</v>
      </c>
      <c r="H180">
        <v>81</v>
      </c>
      <c r="I180" t="s">
        <v>591</v>
      </c>
      <c r="J180" s="1">
        <v>45570</v>
      </c>
      <c r="K180" s="1">
        <v>45568</v>
      </c>
      <c r="L180" t="s">
        <v>636</v>
      </c>
      <c r="M180" t="s">
        <v>1020</v>
      </c>
      <c r="N180">
        <v>98</v>
      </c>
      <c r="O180">
        <v>86</v>
      </c>
      <c r="P180" t="s">
        <v>26</v>
      </c>
    </row>
    <row r="181" spans="1:16" x14ac:dyDescent="0.4">
      <c r="A181" t="s">
        <v>1021</v>
      </c>
      <c r="B181" t="s">
        <v>923</v>
      </c>
      <c r="C181" t="s">
        <v>77</v>
      </c>
      <c r="D181" t="s">
        <v>1022</v>
      </c>
      <c r="E181" t="s">
        <v>1023</v>
      </c>
      <c r="F181">
        <v>40</v>
      </c>
      <c r="G181">
        <v>81</v>
      </c>
      <c r="H181">
        <v>40</v>
      </c>
      <c r="I181" t="s">
        <v>266</v>
      </c>
      <c r="J181" s="1">
        <v>45545</v>
      </c>
      <c r="K181" t="s">
        <v>828</v>
      </c>
      <c r="L181" t="s">
        <v>287</v>
      </c>
      <c r="M181" t="s">
        <v>1024</v>
      </c>
      <c r="N181">
        <v>40</v>
      </c>
      <c r="O181">
        <v>48</v>
      </c>
      <c r="P181" t="s">
        <v>42</v>
      </c>
    </row>
    <row r="182" spans="1:16" x14ac:dyDescent="0.4">
      <c r="A182" t="s">
        <v>1025</v>
      </c>
      <c r="B182" t="s">
        <v>789</v>
      </c>
      <c r="C182" t="s">
        <v>68</v>
      </c>
      <c r="D182" t="s">
        <v>1026</v>
      </c>
      <c r="E182" t="s">
        <v>1027</v>
      </c>
      <c r="F182">
        <v>10</v>
      </c>
      <c r="G182">
        <v>86</v>
      </c>
      <c r="H182">
        <v>23</v>
      </c>
      <c r="I182" t="s">
        <v>591</v>
      </c>
      <c r="J182" t="s">
        <v>23</v>
      </c>
      <c r="K182" t="s">
        <v>402</v>
      </c>
      <c r="L182" t="s">
        <v>115</v>
      </c>
      <c r="M182" t="s">
        <v>1028</v>
      </c>
      <c r="N182">
        <v>24</v>
      </c>
      <c r="O182">
        <v>52</v>
      </c>
      <c r="P182" t="s">
        <v>42</v>
      </c>
    </row>
    <row r="183" spans="1:16" x14ac:dyDescent="0.4">
      <c r="A183" t="s">
        <v>1029</v>
      </c>
      <c r="B183" t="s">
        <v>28</v>
      </c>
      <c r="C183" t="s">
        <v>29</v>
      </c>
      <c r="D183" t="s">
        <v>1030</v>
      </c>
      <c r="E183" t="s">
        <v>31</v>
      </c>
      <c r="F183">
        <v>21</v>
      </c>
      <c r="G183">
        <v>87</v>
      </c>
      <c r="H183">
        <v>12</v>
      </c>
      <c r="I183" t="s">
        <v>754</v>
      </c>
      <c r="J183" t="s">
        <v>341</v>
      </c>
      <c r="K183" s="1">
        <v>45331</v>
      </c>
      <c r="L183" s="1">
        <v>45482</v>
      </c>
      <c r="M183" t="s">
        <v>1031</v>
      </c>
      <c r="N183">
        <v>20</v>
      </c>
      <c r="O183">
        <v>38</v>
      </c>
      <c r="P183" t="s">
        <v>26</v>
      </c>
    </row>
    <row r="184" spans="1:16" x14ac:dyDescent="0.4">
      <c r="A184" t="s">
        <v>1032</v>
      </c>
      <c r="B184" t="s">
        <v>168</v>
      </c>
      <c r="C184" t="s">
        <v>169</v>
      </c>
      <c r="D184" t="s">
        <v>1033</v>
      </c>
      <c r="E184" t="s">
        <v>1034</v>
      </c>
      <c r="F184">
        <v>75</v>
      </c>
      <c r="G184">
        <v>25</v>
      </c>
      <c r="H184">
        <v>99</v>
      </c>
      <c r="I184" t="s">
        <v>172</v>
      </c>
      <c r="J184" t="s">
        <v>1035</v>
      </c>
      <c r="K184" t="s">
        <v>33</v>
      </c>
      <c r="L184" t="s">
        <v>866</v>
      </c>
      <c r="M184" t="s">
        <v>1036</v>
      </c>
      <c r="N184">
        <v>89</v>
      </c>
      <c r="O184">
        <v>42</v>
      </c>
      <c r="P184" t="s">
        <v>51</v>
      </c>
    </row>
    <row r="185" spans="1:16" x14ac:dyDescent="0.4">
      <c r="A185" t="s">
        <v>1037</v>
      </c>
      <c r="B185" t="s">
        <v>704</v>
      </c>
      <c r="C185" t="s">
        <v>169</v>
      </c>
      <c r="D185" t="s">
        <v>1038</v>
      </c>
      <c r="E185" t="s">
        <v>1039</v>
      </c>
      <c r="F185">
        <v>56</v>
      </c>
      <c r="G185">
        <v>50</v>
      </c>
      <c r="H185">
        <v>80</v>
      </c>
      <c r="I185" t="s">
        <v>147</v>
      </c>
      <c r="J185" t="s">
        <v>214</v>
      </c>
      <c r="K185" s="1">
        <v>45629</v>
      </c>
      <c r="L185" t="s">
        <v>548</v>
      </c>
      <c r="M185" t="s">
        <v>1040</v>
      </c>
      <c r="N185">
        <v>99</v>
      </c>
      <c r="O185">
        <v>5</v>
      </c>
      <c r="P185" t="s">
        <v>26</v>
      </c>
    </row>
    <row r="186" spans="1:16" x14ac:dyDescent="0.4">
      <c r="A186" t="s">
        <v>1041</v>
      </c>
      <c r="B186" t="s">
        <v>111</v>
      </c>
      <c r="C186" t="s">
        <v>112</v>
      </c>
      <c r="D186" t="s">
        <v>1042</v>
      </c>
      <c r="E186" t="s">
        <v>1043</v>
      </c>
      <c r="F186">
        <v>69</v>
      </c>
      <c r="G186">
        <v>65</v>
      </c>
      <c r="H186">
        <v>91</v>
      </c>
      <c r="I186" t="s">
        <v>85</v>
      </c>
      <c r="J186" s="1">
        <v>45419</v>
      </c>
      <c r="K186" t="s">
        <v>955</v>
      </c>
      <c r="L186" s="1">
        <v>45508</v>
      </c>
      <c r="M186" t="s">
        <v>1044</v>
      </c>
      <c r="N186">
        <v>98</v>
      </c>
      <c r="O186">
        <v>50</v>
      </c>
      <c r="P186" t="s">
        <v>42</v>
      </c>
    </row>
    <row r="187" spans="1:16" x14ac:dyDescent="0.4">
      <c r="A187" t="s">
        <v>1045</v>
      </c>
      <c r="B187" t="s">
        <v>1046</v>
      </c>
      <c r="C187" t="s">
        <v>18</v>
      </c>
      <c r="D187" t="s">
        <v>1047</v>
      </c>
      <c r="E187" t="s">
        <v>1048</v>
      </c>
      <c r="F187">
        <v>56</v>
      </c>
      <c r="G187">
        <v>53</v>
      </c>
      <c r="H187">
        <v>77</v>
      </c>
      <c r="I187" t="s">
        <v>21</v>
      </c>
      <c r="J187" s="1">
        <v>45633</v>
      </c>
      <c r="K187" t="s">
        <v>1049</v>
      </c>
      <c r="L187" t="s">
        <v>366</v>
      </c>
      <c r="M187" t="s">
        <v>1050</v>
      </c>
      <c r="N187">
        <v>69</v>
      </c>
      <c r="O187">
        <v>69</v>
      </c>
      <c r="P187" t="s">
        <v>51</v>
      </c>
    </row>
    <row r="188" spans="1:16" x14ac:dyDescent="0.4">
      <c r="A188" t="s">
        <v>1051</v>
      </c>
      <c r="B188" t="s">
        <v>103</v>
      </c>
      <c r="C188" t="s">
        <v>18</v>
      </c>
      <c r="D188" t="s">
        <v>1052</v>
      </c>
      <c r="E188" t="s">
        <v>472</v>
      </c>
      <c r="F188">
        <v>24</v>
      </c>
      <c r="G188">
        <v>69</v>
      </c>
      <c r="H188">
        <v>2</v>
      </c>
      <c r="I188" t="s">
        <v>106</v>
      </c>
      <c r="J188" s="1">
        <v>45422</v>
      </c>
      <c r="K188" t="s">
        <v>1053</v>
      </c>
      <c r="L188" t="s">
        <v>701</v>
      </c>
      <c r="M188" t="s">
        <v>1054</v>
      </c>
      <c r="N188">
        <v>20</v>
      </c>
      <c r="O188">
        <v>20</v>
      </c>
      <c r="P188" t="s">
        <v>42</v>
      </c>
    </row>
    <row r="189" spans="1:16" x14ac:dyDescent="0.4">
      <c r="A189" t="s">
        <v>1055</v>
      </c>
      <c r="B189" t="s">
        <v>363</v>
      </c>
      <c r="C189" t="s">
        <v>112</v>
      </c>
      <c r="D189" t="s">
        <v>1056</v>
      </c>
      <c r="E189" t="s">
        <v>84</v>
      </c>
      <c r="F189">
        <v>30</v>
      </c>
      <c r="G189">
        <v>85</v>
      </c>
      <c r="H189">
        <v>21</v>
      </c>
      <c r="I189" t="s">
        <v>21</v>
      </c>
      <c r="J189" t="s">
        <v>1057</v>
      </c>
      <c r="K189" t="s">
        <v>451</v>
      </c>
      <c r="L189" t="s">
        <v>473</v>
      </c>
      <c r="M189" t="s">
        <v>1058</v>
      </c>
      <c r="N189">
        <v>32</v>
      </c>
      <c r="O189">
        <v>83</v>
      </c>
      <c r="P189" t="s">
        <v>26</v>
      </c>
    </row>
    <row r="190" spans="1:16" x14ac:dyDescent="0.4">
      <c r="A190" t="s">
        <v>1059</v>
      </c>
      <c r="B190" t="s">
        <v>458</v>
      </c>
      <c r="C190" t="s">
        <v>29</v>
      </c>
      <c r="D190" t="s">
        <v>1060</v>
      </c>
      <c r="E190" t="s">
        <v>1061</v>
      </c>
      <c r="F190">
        <v>36</v>
      </c>
      <c r="G190">
        <v>90</v>
      </c>
      <c r="H190">
        <v>57</v>
      </c>
      <c r="I190" t="s">
        <v>461</v>
      </c>
      <c r="J190" s="1">
        <v>45608</v>
      </c>
      <c r="K190" s="1">
        <v>45481</v>
      </c>
      <c r="L190" t="s">
        <v>566</v>
      </c>
      <c r="M190" t="s">
        <v>1062</v>
      </c>
      <c r="N190">
        <v>35</v>
      </c>
      <c r="O190">
        <v>68</v>
      </c>
      <c r="P190" t="s">
        <v>42</v>
      </c>
    </row>
    <row r="191" spans="1:16" x14ac:dyDescent="0.4">
      <c r="A191" t="s">
        <v>1063</v>
      </c>
      <c r="B191" t="s">
        <v>386</v>
      </c>
      <c r="C191" t="s">
        <v>112</v>
      </c>
      <c r="D191" t="s">
        <v>1064</v>
      </c>
      <c r="E191" t="s">
        <v>1065</v>
      </c>
      <c r="F191">
        <v>93</v>
      </c>
      <c r="G191">
        <v>76</v>
      </c>
      <c r="H191">
        <v>82</v>
      </c>
      <c r="I191" t="s">
        <v>71</v>
      </c>
      <c r="J191" t="s">
        <v>916</v>
      </c>
      <c r="K191" t="s">
        <v>358</v>
      </c>
      <c r="L191" t="s">
        <v>279</v>
      </c>
      <c r="M191" t="s">
        <v>1066</v>
      </c>
      <c r="N191">
        <v>76</v>
      </c>
      <c r="O191">
        <v>51</v>
      </c>
      <c r="P191" t="s">
        <v>42</v>
      </c>
    </row>
    <row r="192" spans="1:16" x14ac:dyDescent="0.4">
      <c r="A192" t="s">
        <v>1067</v>
      </c>
      <c r="B192" t="s">
        <v>470</v>
      </c>
      <c r="C192" t="s">
        <v>77</v>
      </c>
      <c r="D192" t="s">
        <v>1068</v>
      </c>
      <c r="E192" t="s">
        <v>1069</v>
      </c>
      <c r="F192">
        <v>96</v>
      </c>
      <c r="G192">
        <v>38</v>
      </c>
      <c r="H192">
        <v>17</v>
      </c>
      <c r="I192" t="s">
        <v>134</v>
      </c>
      <c r="J192" t="s">
        <v>637</v>
      </c>
      <c r="K192" s="1">
        <v>45301</v>
      </c>
      <c r="L192" s="1">
        <v>45607</v>
      </c>
      <c r="M192" t="s">
        <v>1070</v>
      </c>
      <c r="N192">
        <v>72</v>
      </c>
      <c r="O192">
        <v>84</v>
      </c>
      <c r="P192" t="s">
        <v>51</v>
      </c>
    </row>
    <row r="193" spans="1:16" x14ac:dyDescent="0.4">
      <c r="A193" t="s">
        <v>1071</v>
      </c>
      <c r="B193" t="s">
        <v>582</v>
      </c>
      <c r="C193" t="s">
        <v>68</v>
      </c>
      <c r="D193" t="s">
        <v>1072</v>
      </c>
      <c r="E193" t="s">
        <v>796</v>
      </c>
      <c r="F193">
        <v>60</v>
      </c>
      <c r="G193">
        <v>88</v>
      </c>
      <c r="H193">
        <v>65</v>
      </c>
      <c r="I193" t="s">
        <v>57</v>
      </c>
      <c r="J193" t="s">
        <v>802</v>
      </c>
      <c r="K193" t="s">
        <v>467</v>
      </c>
      <c r="L193" t="s">
        <v>1005</v>
      </c>
      <c r="M193" t="s">
        <v>1073</v>
      </c>
      <c r="N193">
        <v>94</v>
      </c>
      <c r="O193">
        <v>15</v>
      </c>
      <c r="P193" t="s">
        <v>51</v>
      </c>
    </row>
    <row r="194" spans="1:16" x14ac:dyDescent="0.4">
      <c r="A194" t="s">
        <v>1074</v>
      </c>
      <c r="B194" t="s">
        <v>799</v>
      </c>
      <c r="C194" t="s">
        <v>77</v>
      </c>
      <c r="D194" t="s">
        <v>1075</v>
      </c>
      <c r="E194" t="s">
        <v>858</v>
      </c>
      <c r="F194">
        <v>97</v>
      </c>
      <c r="G194">
        <v>77</v>
      </c>
      <c r="H194">
        <v>13</v>
      </c>
      <c r="I194" t="s">
        <v>134</v>
      </c>
      <c r="J194" s="1">
        <v>45607</v>
      </c>
      <c r="K194" t="s">
        <v>434</v>
      </c>
      <c r="L194" s="1">
        <v>45329</v>
      </c>
      <c r="M194" t="s">
        <v>1076</v>
      </c>
      <c r="N194">
        <v>43</v>
      </c>
      <c r="O194">
        <v>40</v>
      </c>
      <c r="P194" t="s">
        <v>42</v>
      </c>
    </row>
    <row r="195" spans="1:16" x14ac:dyDescent="0.4">
      <c r="A195" t="s">
        <v>1077</v>
      </c>
      <c r="B195" t="s">
        <v>595</v>
      </c>
      <c r="C195" t="s">
        <v>112</v>
      </c>
      <c r="D195" t="s">
        <v>1078</v>
      </c>
      <c r="E195" t="s">
        <v>1079</v>
      </c>
      <c r="F195">
        <v>11</v>
      </c>
      <c r="G195">
        <v>6</v>
      </c>
      <c r="H195">
        <v>100</v>
      </c>
      <c r="I195" t="s">
        <v>220</v>
      </c>
      <c r="J195" s="1">
        <v>45415</v>
      </c>
      <c r="K195" t="s">
        <v>1080</v>
      </c>
      <c r="L195" t="s">
        <v>656</v>
      </c>
      <c r="M195" t="s">
        <v>1081</v>
      </c>
      <c r="N195">
        <v>88</v>
      </c>
      <c r="O195">
        <v>24</v>
      </c>
      <c r="P195" t="s">
        <v>26</v>
      </c>
    </row>
    <row r="196" spans="1:16" x14ac:dyDescent="0.4">
      <c r="A196" t="s">
        <v>1082</v>
      </c>
      <c r="B196" t="s">
        <v>722</v>
      </c>
      <c r="C196" t="s">
        <v>54</v>
      </c>
      <c r="D196" t="s">
        <v>1083</v>
      </c>
      <c r="E196" t="s">
        <v>250</v>
      </c>
      <c r="F196">
        <v>14</v>
      </c>
      <c r="G196">
        <v>66</v>
      </c>
      <c r="H196">
        <v>1</v>
      </c>
      <c r="I196" t="s">
        <v>39</v>
      </c>
      <c r="J196" t="s">
        <v>251</v>
      </c>
      <c r="K196" t="s">
        <v>115</v>
      </c>
      <c r="L196" t="s">
        <v>135</v>
      </c>
      <c r="M196" t="s">
        <v>1084</v>
      </c>
      <c r="N196">
        <v>86</v>
      </c>
      <c r="O196">
        <v>15</v>
      </c>
      <c r="P196" t="s">
        <v>42</v>
      </c>
    </row>
    <row r="197" spans="1:16" x14ac:dyDescent="0.4">
      <c r="A197" t="s">
        <v>1085</v>
      </c>
      <c r="B197" t="s">
        <v>1086</v>
      </c>
      <c r="C197" t="s">
        <v>68</v>
      </c>
      <c r="D197" t="s">
        <v>1087</v>
      </c>
      <c r="E197" t="s">
        <v>891</v>
      </c>
      <c r="F197">
        <v>88</v>
      </c>
      <c r="G197">
        <v>100</v>
      </c>
      <c r="H197">
        <v>17</v>
      </c>
      <c r="I197" t="s">
        <v>71</v>
      </c>
      <c r="J197" s="1">
        <v>45608</v>
      </c>
      <c r="K197" t="s">
        <v>267</v>
      </c>
      <c r="L197" s="1">
        <v>45547</v>
      </c>
      <c r="M197" t="s">
        <v>1088</v>
      </c>
      <c r="N197">
        <v>25</v>
      </c>
      <c r="O197">
        <v>28</v>
      </c>
      <c r="P197" t="s">
        <v>26</v>
      </c>
    </row>
    <row r="198" spans="1:16" x14ac:dyDescent="0.4">
      <c r="A198" t="s">
        <v>1089</v>
      </c>
      <c r="B198" t="s">
        <v>621</v>
      </c>
      <c r="C198" t="s">
        <v>18</v>
      </c>
      <c r="D198" t="s">
        <v>1090</v>
      </c>
      <c r="E198" t="s">
        <v>171</v>
      </c>
      <c r="F198">
        <v>24</v>
      </c>
      <c r="G198">
        <v>15</v>
      </c>
      <c r="H198">
        <v>6</v>
      </c>
      <c r="I198" t="s">
        <v>624</v>
      </c>
      <c r="J198" t="s">
        <v>199</v>
      </c>
      <c r="K198" t="s">
        <v>688</v>
      </c>
      <c r="L198" s="1">
        <v>45478</v>
      </c>
      <c r="M198" t="s">
        <v>1091</v>
      </c>
      <c r="N198">
        <v>35</v>
      </c>
      <c r="O198">
        <v>4</v>
      </c>
      <c r="P198" t="s">
        <v>26</v>
      </c>
    </row>
    <row r="199" spans="1:16" x14ac:dyDescent="0.4">
      <c r="A199" t="s">
        <v>1092</v>
      </c>
      <c r="B199" t="s">
        <v>263</v>
      </c>
      <c r="C199" t="s">
        <v>169</v>
      </c>
      <c r="D199" t="s">
        <v>1093</v>
      </c>
      <c r="E199" t="s">
        <v>1094</v>
      </c>
      <c r="F199">
        <v>93</v>
      </c>
      <c r="G199">
        <v>62</v>
      </c>
      <c r="H199">
        <v>65</v>
      </c>
      <c r="I199" t="s">
        <v>266</v>
      </c>
      <c r="J199" s="1">
        <v>45541</v>
      </c>
      <c r="K199" t="s">
        <v>165</v>
      </c>
      <c r="L199" t="s">
        <v>49</v>
      </c>
      <c r="M199" t="s">
        <v>1095</v>
      </c>
      <c r="N199">
        <v>78</v>
      </c>
      <c r="O199">
        <v>87</v>
      </c>
      <c r="P199" t="s">
        <v>51</v>
      </c>
    </row>
    <row r="200" spans="1:16" x14ac:dyDescent="0.4">
      <c r="A200" t="s">
        <v>1096</v>
      </c>
      <c r="B200" t="s">
        <v>36</v>
      </c>
      <c r="C200" t="s">
        <v>18</v>
      </c>
      <c r="D200" t="s">
        <v>1097</v>
      </c>
      <c r="E200" t="s">
        <v>146</v>
      </c>
      <c r="F200">
        <v>68</v>
      </c>
      <c r="G200">
        <v>68</v>
      </c>
      <c r="H200">
        <v>97</v>
      </c>
      <c r="I200" t="s">
        <v>39</v>
      </c>
      <c r="J200" s="1">
        <v>45511</v>
      </c>
      <c r="K200" t="s">
        <v>536</v>
      </c>
      <c r="L200" t="s">
        <v>260</v>
      </c>
      <c r="M200" t="s">
        <v>1098</v>
      </c>
      <c r="N200">
        <v>37</v>
      </c>
      <c r="O200">
        <v>31</v>
      </c>
      <c r="P200" t="s">
        <v>26</v>
      </c>
    </row>
    <row r="201" spans="1:16" x14ac:dyDescent="0.4">
      <c r="A201" t="s">
        <v>1099</v>
      </c>
      <c r="B201" t="s">
        <v>111</v>
      </c>
      <c r="C201" t="s">
        <v>112</v>
      </c>
      <c r="D201" t="s">
        <v>1100</v>
      </c>
      <c r="E201" t="s">
        <v>1013</v>
      </c>
      <c r="F201">
        <v>28</v>
      </c>
      <c r="G201">
        <v>94</v>
      </c>
      <c r="H201">
        <v>80</v>
      </c>
      <c r="I201" t="s">
        <v>1101</v>
      </c>
      <c r="J201" t="s">
        <v>811</v>
      </c>
      <c r="K201" t="s">
        <v>444</v>
      </c>
      <c r="L201" t="s">
        <v>792</v>
      </c>
      <c r="M201" t="s">
        <v>1102</v>
      </c>
      <c r="N201">
        <v>31</v>
      </c>
      <c r="O201">
        <v>1</v>
      </c>
      <c r="P201" t="s">
        <v>42</v>
      </c>
    </row>
    <row r="202" spans="1:16" x14ac:dyDescent="0.4">
      <c r="A202" t="s">
        <v>1103</v>
      </c>
      <c r="B202" t="s">
        <v>1104</v>
      </c>
      <c r="C202" t="s">
        <v>54</v>
      </c>
      <c r="D202" t="s">
        <v>1105</v>
      </c>
      <c r="E202" t="s">
        <v>38</v>
      </c>
      <c r="F202">
        <v>21</v>
      </c>
      <c r="G202">
        <v>30</v>
      </c>
      <c r="H202">
        <v>32</v>
      </c>
      <c r="I202" t="s">
        <v>106</v>
      </c>
      <c r="J202" t="s">
        <v>1106</v>
      </c>
      <c r="K202" s="1">
        <v>45840</v>
      </c>
      <c r="L202" s="1">
        <v>45568</v>
      </c>
      <c r="M202" t="s">
        <v>1107</v>
      </c>
      <c r="N202">
        <v>43</v>
      </c>
      <c r="O202">
        <v>54</v>
      </c>
      <c r="P202" t="s">
        <v>42</v>
      </c>
    </row>
    <row r="203" spans="1:16" x14ac:dyDescent="0.4">
      <c r="A203" t="s">
        <v>1108</v>
      </c>
      <c r="B203" t="s">
        <v>722</v>
      </c>
      <c r="C203" t="s">
        <v>54</v>
      </c>
      <c r="D203" t="s">
        <v>1109</v>
      </c>
      <c r="E203" t="s">
        <v>604</v>
      </c>
      <c r="F203">
        <v>92</v>
      </c>
      <c r="G203">
        <v>96</v>
      </c>
      <c r="H203">
        <v>56</v>
      </c>
      <c r="I203" t="s">
        <v>39</v>
      </c>
      <c r="J203" t="s">
        <v>92</v>
      </c>
      <c r="K203" t="s">
        <v>1110</v>
      </c>
      <c r="L203" t="s">
        <v>1111</v>
      </c>
      <c r="M203" t="s">
        <v>1112</v>
      </c>
      <c r="N203">
        <v>32</v>
      </c>
      <c r="O203">
        <v>22</v>
      </c>
      <c r="P203" t="s">
        <v>26</v>
      </c>
    </row>
    <row r="204" spans="1:16" x14ac:dyDescent="0.4">
      <c r="A204" t="s">
        <v>1113</v>
      </c>
      <c r="B204" t="s">
        <v>989</v>
      </c>
      <c r="C204" t="s">
        <v>29</v>
      </c>
      <c r="D204" t="s">
        <v>1114</v>
      </c>
      <c r="E204" t="s">
        <v>1115</v>
      </c>
      <c r="F204">
        <v>68</v>
      </c>
      <c r="G204">
        <v>12</v>
      </c>
      <c r="H204">
        <v>42</v>
      </c>
      <c r="I204" t="s">
        <v>591</v>
      </c>
      <c r="J204" s="1">
        <v>45424</v>
      </c>
      <c r="K204" t="s">
        <v>1116</v>
      </c>
      <c r="L204" t="s">
        <v>293</v>
      </c>
      <c r="M204" t="s">
        <v>1117</v>
      </c>
      <c r="N204">
        <v>39</v>
      </c>
      <c r="O204">
        <v>6</v>
      </c>
      <c r="P204" t="s">
        <v>42</v>
      </c>
    </row>
    <row r="205" spans="1:16" x14ac:dyDescent="0.4">
      <c r="A205" t="s">
        <v>1118</v>
      </c>
      <c r="B205" t="s">
        <v>332</v>
      </c>
      <c r="C205" t="s">
        <v>112</v>
      </c>
      <c r="D205" t="s">
        <v>1119</v>
      </c>
      <c r="E205" t="s">
        <v>1120</v>
      </c>
      <c r="F205">
        <v>46</v>
      </c>
      <c r="G205">
        <v>43</v>
      </c>
      <c r="H205">
        <v>46</v>
      </c>
      <c r="I205" t="s">
        <v>242</v>
      </c>
      <c r="J205" s="1">
        <v>45931</v>
      </c>
      <c r="K205" s="1">
        <v>45422</v>
      </c>
      <c r="L205" t="s">
        <v>712</v>
      </c>
      <c r="M205" t="s">
        <v>1121</v>
      </c>
      <c r="N205">
        <v>68</v>
      </c>
      <c r="O205">
        <v>59</v>
      </c>
      <c r="P205" t="s">
        <v>42</v>
      </c>
    </row>
    <row r="206" spans="1:16" x14ac:dyDescent="0.4">
      <c r="A206" t="s">
        <v>1122</v>
      </c>
      <c r="B206" t="s">
        <v>233</v>
      </c>
      <c r="C206" t="s">
        <v>54</v>
      </c>
      <c r="D206" t="s">
        <v>1123</v>
      </c>
      <c r="E206" t="s">
        <v>1124</v>
      </c>
      <c r="F206">
        <v>47</v>
      </c>
      <c r="G206">
        <v>20</v>
      </c>
      <c r="H206">
        <v>65</v>
      </c>
      <c r="I206" t="s">
        <v>63</v>
      </c>
      <c r="J206" t="s">
        <v>279</v>
      </c>
      <c r="K206" s="1">
        <v>45992</v>
      </c>
      <c r="L206" t="s">
        <v>1125</v>
      </c>
      <c r="M206" t="s">
        <v>1126</v>
      </c>
      <c r="N206">
        <v>49</v>
      </c>
      <c r="O206">
        <v>19</v>
      </c>
      <c r="P206" t="s">
        <v>42</v>
      </c>
    </row>
    <row r="207" spans="1:16" x14ac:dyDescent="0.4">
      <c r="A207" t="s">
        <v>1127</v>
      </c>
      <c r="B207" t="s">
        <v>248</v>
      </c>
      <c r="C207" t="s">
        <v>68</v>
      </c>
      <c r="D207" t="s">
        <v>1128</v>
      </c>
      <c r="E207" t="s">
        <v>313</v>
      </c>
      <c r="F207">
        <v>52</v>
      </c>
      <c r="G207">
        <v>88</v>
      </c>
      <c r="H207">
        <v>55</v>
      </c>
      <c r="I207" t="s">
        <v>39</v>
      </c>
      <c r="J207" t="s">
        <v>1129</v>
      </c>
      <c r="K207" s="1">
        <v>45417</v>
      </c>
      <c r="L207" t="s">
        <v>408</v>
      </c>
      <c r="M207" t="s">
        <v>1130</v>
      </c>
      <c r="N207">
        <v>100</v>
      </c>
      <c r="O207">
        <v>46</v>
      </c>
      <c r="P207" t="s">
        <v>26</v>
      </c>
    </row>
    <row r="208" spans="1:16" x14ac:dyDescent="0.4">
      <c r="A208" t="s">
        <v>1131</v>
      </c>
      <c r="B208" t="s">
        <v>210</v>
      </c>
      <c r="C208" t="s">
        <v>54</v>
      </c>
      <c r="D208" t="s">
        <v>1132</v>
      </c>
      <c r="E208" t="s">
        <v>133</v>
      </c>
      <c r="F208">
        <v>51</v>
      </c>
      <c r="G208">
        <v>62</v>
      </c>
      <c r="H208">
        <v>95</v>
      </c>
      <c r="I208" t="s">
        <v>39</v>
      </c>
      <c r="J208" s="1">
        <v>45477</v>
      </c>
      <c r="K208" t="s">
        <v>236</v>
      </c>
      <c r="L208" t="s">
        <v>479</v>
      </c>
      <c r="M208" t="s">
        <v>1133</v>
      </c>
      <c r="N208">
        <v>52</v>
      </c>
      <c r="O208">
        <v>21</v>
      </c>
      <c r="P208" t="s">
        <v>51</v>
      </c>
    </row>
    <row r="209" spans="1:16" x14ac:dyDescent="0.4">
      <c r="A209" t="s">
        <v>1134</v>
      </c>
      <c r="B209" t="s">
        <v>76</v>
      </c>
      <c r="C209" t="s">
        <v>77</v>
      </c>
      <c r="D209" t="s">
        <v>1135</v>
      </c>
      <c r="E209" t="s">
        <v>1136</v>
      </c>
      <c r="F209">
        <v>14</v>
      </c>
      <c r="G209">
        <v>63</v>
      </c>
      <c r="H209">
        <v>74</v>
      </c>
      <c r="I209" t="s">
        <v>71</v>
      </c>
      <c r="J209" t="s">
        <v>828</v>
      </c>
      <c r="K209" t="s">
        <v>48</v>
      </c>
      <c r="L209" t="s">
        <v>367</v>
      </c>
      <c r="M209" t="s">
        <v>1137</v>
      </c>
      <c r="N209">
        <v>59</v>
      </c>
      <c r="O209">
        <v>63</v>
      </c>
      <c r="P209" t="s">
        <v>42</v>
      </c>
    </row>
    <row r="210" spans="1:16" x14ac:dyDescent="0.4">
      <c r="A210" t="s">
        <v>1138</v>
      </c>
      <c r="B210" t="s">
        <v>82</v>
      </c>
      <c r="C210" t="s">
        <v>54</v>
      </c>
      <c r="D210" t="s">
        <v>1139</v>
      </c>
      <c r="E210" t="s">
        <v>887</v>
      </c>
      <c r="F210">
        <v>62</v>
      </c>
      <c r="G210">
        <v>44</v>
      </c>
      <c r="H210">
        <v>11</v>
      </c>
      <c r="I210" t="s">
        <v>1140</v>
      </c>
      <c r="J210" s="1">
        <v>45870</v>
      </c>
      <c r="K210" t="s">
        <v>1141</v>
      </c>
      <c r="L210" t="s">
        <v>866</v>
      </c>
      <c r="M210" t="s">
        <v>1142</v>
      </c>
      <c r="N210">
        <v>92</v>
      </c>
      <c r="O210">
        <v>37</v>
      </c>
      <c r="P210" t="s">
        <v>26</v>
      </c>
    </row>
    <row r="211" spans="1:16" x14ac:dyDescent="0.4">
      <c r="A211" t="s">
        <v>1143</v>
      </c>
      <c r="B211" t="s">
        <v>733</v>
      </c>
      <c r="C211" t="s">
        <v>54</v>
      </c>
      <c r="D211" t="s">
        <v>1144</v>
      </c>
      <c r="E211" t="s">
        <v>1145</v>
      </c>
      <c r="F211">
        <v>40</v>
      </c>
      <c r="G211">
        <v>53</v>
      </c>
      <c r="H211">
        <v>7</v>
      </c>
      <c r="I211" t="s">
        <v>57</v>
      </c>
      <c r="J211" t="s">
        <v>1116</v>
      </c>
      <c r="K211" s="1">
        <v>45446</v>
      </c>
      <c r="L211" t="s">
        <v>1146</v>
      </c>
      <c r="M211" t="s">
        <v>1147</v>
      </c>
      <c r="N211">
        <v>70</v>
      </c>
      <c r="O211">
        <v>20</v>
      </c>
      <c r="P211" t="s">
        <v>42</v>
      </c>
    </row>
    <row r="212" spans="1:16" x14ac:dyDescent="0.4">
      <c r="A212" t="s">
        <v>1148</v>
      </c>
      <c r="B212" t="s">
        <v>458</v>
      </c>
      <c r="C212" t="s">
        <v>29</v>
      </c>
      <c r="D212" t="s">
        <v>1149</v>
      </c>
      <c r="E212" t="s">
        <v>665</v>
      </c>
      <c r="F212">
        <v>50</v>
      </c>
      <c r="G212">
        <v>100</v>
      </c>
      <c r="H212">
        <v>91</v>
      </c>
      <c r="I212" t="s">
        <v>1150</v>
      </c>
      <c r="J212" t="s">
        <v>158</v>
      </c>
      <c r="K212" t="s">
        <v>1151</v>
      </c>
      <c r="L212" s="1">
        <v>45424</v>
      </c>
      <c r="M212" t="s">
        <v>1152</v>
      </c>
      <c r="N212">
        <v>29</v>
      </c>
      <c r="O212">
        <v>31</v>
      </c>
      <c r="P212" t="s">
        <v>51</v>
      </c>
    </row>
    <row r="213" spans="1:16" x14ac:dyDescent="0.4">
      <c r="A213" t="s">
        <v>1153</v>
      </c>
      <c r="B213" t="s">
        <v>17</v>
      </c>
      <c r="C213" t="s">
        <v>18</v>
      </c>
      <c r="D213" t="s">
        <v>1154</v>
      </c>
      <c r="E213" t="s">
        <v>371</v>
      </c>
      <c r="F213">
        <v>77</v>
      </c>
      <c r="G213">
        <v>20</v>
      </c>
      <c r="H213">
        <v>37</v>
      </c>
      <c r="I213" t="s">
        <v>1155</v>
      </c>
      <c r="J213" s="1">
        <v>45358</v>
      </c>
      <c r="K213" s="1">
        <v>45446</v>
      </c>
      <c r="L213" s="1">
        <v>45423</v>
      </c>
      <c r="M213" t="s">
        <v>1156</v>
      </c>
      <c r="N213">
        <v>42</v>
      </c>
      <c r="O213">
        <v>19</v>
      </c>
      <c r="P213" t="s">
        <v>42</v>
      </c>
    </row>
    <row r="214" spans="1:16" x14ac:dyDescent="0.4">
      <c r="A214" t="s">
        <v>1157</v>
      </c>
      <c r="B214" t="s">
        <v>124</v>
      </c>
      <c r="C214" t="s">
        <v>54</v>
      </c>
      <c r="D214" t="s">
        <v>1158</v>
      </c>
      <c r="E214" t="s">
        <v>1159</v>
      </c>
      <c r="F214">
        <v>31</v>
      </c>
      <c r="G214">
        <v>89</v>
      </c>
      <c r="H214">
        <v>7</v>
      </c>
      <c r="I214" t="s">
        <v>1160</v>
      </c>
      <c r="J214" t="s">
        <v>893</v>
      </c>
      <c r="K214" s="1">
        <v>45485</v>
      </c>
      <c r="L214" t="s">
        <v>736</v>
      </c>
      <c r="M214" t="s">
        <v>1161</v>
      </c>
      <c r="N214">
        <v>46</v>
      </c>
      <c r="O214">
        <v>54</v>
      </c>
      <c r="P214" t="s">
        <v>26</v>
      </c>
    </row>
    <row r="215" spans="1:16" x14ac:dyDescent="0.4">
      <c r="A215" t="s">
        <v>1162</v>
      </c>
      <c r="B215" t="s">
        <v>210</v>
      </c>
      <c r="C215" t="s">
        <v>54</v>
      </c>
      <c r="D215" t="s">
        <v>1163</v>
      </c>
      <c r="E215" t="s">
        <v>1164</v>
      </c>
      <c r="F215">
        <v>35</v>
      </c>
      <c r="G215">
        <v>19</v>
      </c>
      <c r="H215">
        <v>30</v>
      </c>
      <c r="I215" t="s">
        <v>945</v>
      </c>
      <c r="J215" s="1">
        <v>45809</v>
      </c>
      <c r="K215" t="s">
        <v>1165</v>
      </c>
      <c r="L215" s="1">
        <v>45546</v>
      </c>
      <c r="M215" t="s">
        <v>1166</v>
      </c>
      <c r="N215">
        <v>88</v>
      </c>
      <c r="O215">
        <v>6</v>
      </c>
      <c r="P215" t="s">
        <v>42</v>
      </c>
    </row>
    <row r="216" spans="1:16" x14ac:dyDescent="0.4">
      <c r="A216" t="s">
        <v>1167</v>
      </c>
      <c r="B216" t="s">
        <v>476</v>
      </c>
      <c r="C216" t="s">
        <v>54</v>
      </c>
      <c r="D216" t="s">
        <v>1168</v>
      </c>
      <c r="E216" t="s">
        <v>1169</v>
      </c>
      <c r="F216">
        <v>31</v>
      </c>
      <c r="G216">
        <v>54</v>
      </c>
      <c r="H216">
        <v>52</v>
      </c>
      <c r="I216" t="s">
        <v>57</v>
      </c>
      <c r="J216" t="s">
        <v>599</v>
      </c>
      <c r="K216" s="1">
        <v>45516</v>
      </c>
      <c r="L216" t="s">
        <v>115</v>
      </c>
      <c r="M216" t="s">
        <v>1170</v>
      </c>
      <c r="N216">
        <v>69</v>
      </c>
      <c r="O216">
        <v>77</v>
      </c>
      <c r="P216" t="s">
        <v>51</v>
      </c>
    </row>
    <row r="217" spans="1:16" x14ac:dyDescent="0.4">
      <c r="A217" t="s">
        <v>1171</v>
      </c>
      <c r="B217" t="s">
        <v>386</v>
      </c>
      <c r="C217" t="s">
        <v>112</v>
      </c>
      <c r="D217" t="s">
        <v>1172</v>
      </c>
      <c r="E217" t="s">
        <v>535</v>
      </c>
      <c r="F217">
        <v>56</v>
      </c>
      <c r="G217">
        <v>62</v>
      </c>
      <c r="H217">
        <v>64</v>
      </c>
      <c r="I217" t="s">
        <v>71</v>
      </c>
      <c r="J217" t="s">
        <v>1173</v>
      </c>
      <c r="K217" s="1">
        <v>45360</v>
      </c>
      <c r="L217" t="s">
        <v>1174</v>
      </c>
      <c r="M217" t="s">
        <v>1175</v>
      </c>
      <c r="N217">
        <v>56</v>
      </c>
      <c r="O217">
        <v>73</v>
      </c>
      <c r="P217" t="s">
        <v>42</v>
      </c>
    </row>
    <row r="218" spans="1:16" x14ac:dyDescent="0.4">
      <c r="A218" t="s">
        <v>1176</v>
      </c>
      <c r="B218" t="s">
        <v>82</v>
      </c>
      <c r="C218" t="s">
        <v>77</v>
      </c>
      <c r="D218" t="s">
        <v>1177</v>
      </c>
      <c r="E218" t="s">
        <v>1178</v>
      </c>
      <c r="F218">
        <v>90</v>
      </c>
      <c r="G218">
        <v>62</v>
      </c>
      <c r="H218">
        <v>54</v>
      </c>
      <c r="I218" t="s">
        <v>85</v>
      </c>
      <c r="J218" t="s">
        <v>1174</v>
      </c>
      <c r="K218" s="1">
        <v>45482</v>
      </c>
      <c r="L218" t="s">
        <v>1179</v>
      </c>
      <c r="M218" t="s">
        <v>1180</v>
      </c>
      <c r="N218">
        <v>70</v>
      </c>
      <c r="O218">
        <v>83</v>
      </c>
      <c r="P218" t="s">
        <v>26</v>
      </c>
    </row>
    <row r="219" spans="1:16" x14ac:dyDescent="0.4">
      <c r="A219" t="s">
        <v>1181</v>
      </c>
      <c r="B219" t="s">
        <v>784</v>
      </c>
      <c r="C219" t="s">
        <v>68</v>
      </c>
      <c r="D219" t="s">
        <v>1182</v>
      </c>
      <c r="E219" t="s">
        <v>1183</v>
      </c>
      <c r="F219">
        <v>79</v>
      </c>
      <c r="G219">
        <v>31</v>
      </c>
      <c r="H219">
        <v>66</v>
      </c>
      <c r="I219" t="s">
        <v>314</v>
      </c>
      <c r="J219" s="1">
        <v>45569</v>
      </c>
      <c r="K219" t="s">
        <v>244</v>
      </c>
      <c r="L219" t="s">
        <v>421</v>
      </c>
      <c r="M219" t="s">
        <v>1184</v>
      </c>
      <c r="N219">
        <v>92</v>
      </c>
      <c r="O219">
        <v>13</v>
      </c>
      <c r="P219" t="s">
        <v>26</v>
      </c>
    </row>
    <row r="220" spans="1:16" x14ac:dyDescent="0.4">
      <c r="A220" t="s">
        <v>1185</v>
      </c>
      <c r="B220" t="s">
        <v>1104</v>
      </c>
      <c r="C220" t="s">
        <v>54</v>
      </c>
      <c r="D220" t="s">
        <v>1186</v>
      </c>
      <c r="E220" t="s">
        <v>1187</v>
      </c>
      <c r="F220">
        <v>29</v>
      </c>
      <c r="G220">
        <v>83</v>
      </c>
      <c r="H220">
        <v>91</v>
      </c>
      <c r="I220" t="s">
        <v>106</v>
      </c>
      <c r="J220" t="s">
        <v>1188</v>
      </c>
      <c r="K220" s="1">
        <v>45840</v>
      </c>
      <c r="L220" s="1">
        <v>45748</v>
      </c>
      <c r="M220" t="s">
        <v>1189</v>
      </c>
      <c r="N220">
        <v>81</v>
      </c>
      <c r="O220">
        <v>53</v>
      </c>
      <c r="P220" t="s">
        <v>42</v>
      </c>
    </row>
    <row r="221" spans="1:16" x14ac:dyDescent="0.4">
      <c r="A221" t="s">
        <v>1190</v>
      </c>
      <c r="B221" t="s">
        <v>784</v>
      </c>
      <c r="C221" t="s">
        <v>68</v>
      </c>
      <c r="D221" t="s">
        <v>1191</v>
      </c>
      <c r="E221" t="s">
        <v>1192</v>
      </c>
      <c r="F221">
        <v>46</v>
      </c>
      <c r="G221">
        <v>51</v>
      </c>
      <c r="H221">
        <v>92</v>
      </c>
      <c r="I221" t="s">
        <v>314</v>
      </c>
      <c r="J221" s="1">
        <v>45478</v>
      </c>
      <c r="K221" t="s">
        <v>898</v>
      </c>
      <c r="L221" s="1">
        <v>45541</v>
      </c>
      <c r="M221" t="s">
        <v>1193</v>
      </c>
      <c r="N221">
        <v>47</v>
      </c>
      <c r="O221">
        <v>25</v>
      </c>
      <c r="P221" t="s">
        <v>26</v>
      </c>
    </row>
    <row r="222" spans="1:16" x14ac:dyDescent="0.4">
      <c r="A222" t="s">
        <v>1194</v>
      </c>
      <c r="B222" t="s">
        <v>588</v>
      </c>
      <c r="C222" t="s">
        <v>54</v>
      </c>
      <c r="D222" t="s">
        <v>1195</v>
      </c>
      <c r="E222" t="s">
        <v>1196</v>
      </c>
      <c r="F222">
        <v>42</v>
      </c>
      <c r="G222">
        <v>4</v>
      </c>
      <c r="H222">
        <v>53</v>
      </c>
      <c r="I222" t="s">
        <v>591</v>
      </c>
      <c r="J222" s="1">
        <v>45931</v>
      </c>
      <c r="K222" s="1">
        <v>45419</v>
      </c>
      <c r="L222" s="1">
        <v>45630</v>
      </c>
      <c r="M222" t="s">
        <v>1197</v>
      </c>
      <c r="N222">
        <v>37</v>
      </c>
      <c r="O222">
        <v>53</v>
      </c>
      <c r="P222" t="s">
        <v>51</v>
      </c>
    </row>
    <row r="223" spans="1:16" x14ac:dyDescent="0.4">
      <c r="A223" t="s">
        <v>1198</v>
      </c>
      <c r="B223" t="s">
        <v>470</v>
      </c>
      <c r="C223" t="s">
        <v>77</v>
      </c>
      <c r="D223" t="s">
        <v>1199</v>
      </c>
      <c r="E223" t="s">
        <v>964</v>
      </c>
      <c r="F223">
        <v>16</v>
      </c>
      <c r="G223">
        <v>56</v>
      </c>
      <c r="H223">
        <v>13</v>
      </c>
      <c r="I223" t="s">
        <v>1200</v>
      </c>
      <c r="J223" s="1">
        <v>45932</v>
      </c>
      <c r="K223" s="1">
        <v>45568</v>
      </c>
      <c r="L223" s="1">
        <v>45332</v>
      </c>
      <c r="M223" t="s">
        <v>1201</v>
      </c>
      <c r="N223">
        <v>56</v>
      </c>
      <c r="O223">
        <v>28</v>
      </c>
      <c r="P223" t="s">
        <v>26</v>
      </c>
    </row>
    <row r="224" spans="1:16" x14ac:dyDescent="0.4">
      <c r="A224" t="s">
        <v>1202</v>
      </c>
      <c r="B224" t="s">
        <v>814</v>
      </c>
      <c r="C224" t="s">
        <v>169</v>
      </c>
      <c r="D224" t="s">
        <v>1203</v>
      </c>
      <c r="E224" t="s">
        <v>1204</v>
      </c>
      <c r="F224">
        <v>89</v>
      </c>
      <c r="G224">
        <v>95</v>
      </c>
      <c r="H224">
        <v>41</v>
      </c>
      <c r="I224" t="s">
        <v>817</v>
      </c>
      <c r="J224" t="s">
        <v>451</v>
      </c>
      <c r="K224" s="1">
        <v>45450</v>
      </c>
      <c r="L224" t="s">
        <v>1205</v>
      </c>
      <c r="M224" t="s">
        <v>1206</v>
      </c>
      <c r="N224">
        <v>76</v>
      </c>
      <c r="O224">
        <v>96</v>
      </c>
      <c r="P224" t="s">
        <v>26</v>
      </c>
    </row>
    <row r="225" spans="1:16" x14ac:dyDescent="0.4">
      <c r="A225" t="s">
        <v>1207</v>
      </c>
      <c r="B225" t="s">
        <v>458</v>
      </c>
      <c r="C225" t="s">
        <v>29</v>
      </c>
      <c r="D225" t="s">
        <v>1208</v>
      </c>
      <c r="E225" t="s">
        <v>186</v>
      </c>
      <c r="F225">
        <v>20</v>
      </c>
      <c r="G225">
        <v>43</v>
      </c>
      <c r="H225">
        <v>43</v>
      </c>
      <c r="I225" t="s">
        <v>461</v>
      </c>
      <c r="J225" s="1">
        <v>45839</v>
      </c>
      <c r="K225" t="s">
        <v>135</v>
      </c>
      <c r="L225" t="s">
        <v>1209</v>
      </c>
      <c r="M225" t="s">
        <v>1210</v>
      </c>
      <c r="N225">
        <v>73</v>
      </c>
      <c r="O225">
        <v>6</v>
      </c>
      <c r="P225" t="s">
        <v>51</v>
      </c>
    </row>
    <row r="226" spans="1:16" x14ac:dyDescent="0.4">
      <c r="A226" t="s">
        <v>1211</v>
      </c>
      <c r="B226" t="s">
        <v>318</v>
      </c>
      <c r="C226" t="s">
        <v>29</v>
      </c>
      <c r="D226" t="s">
        <v>1212</v>
      </c>
      <c r="E226" t="s">
        <v>1027</v>
      </c>
      <c r="F226">
        <v>37</v>
      </c>
      <c r="G226">
        <v>94</v>
      </c>
      <c r="H226">
        <v>76</v>
      </c>
      <c r="I226" t="s">
        <v>320</v>
      </c>
      <c r="J226" t="s">
        <v>579</v>
      </c>
      <c r="K226" t="s">
        <v>279</v>
      </c>
      <c r="L226" s="1">
        <v>45749</v>
      </c>
      <c r="M226" t="s">
        <v>1213</v>
      </c>
      <c r="N226">
        <v>94</v>
      </c>
      <c r="O226">
        <v>66</v>
      </c>
      <c r="P226" t="s">
        <v>42</v>
      </c>
    </row>
    <row r="227" spans="1:16" x14ac:dyDescent="0.4">
      <c r="A227" t="s">
        <v>1214</v>
      </c>
      <c r="B227" t="s">
        <v>138</v>
      </c>
      <c r="C227" t="s">
        <v>18</v>
      </c>
      <c r="D227" t="s">
        <v>1215</v>
      </c>
      <c r="E227" t="s">
        <v>1216</v>
      </c>
      <c r="F227">
        <v>97</v>
      </c>
      <c r="G227">
        <v>41</v>
      </c>
      <c r="H227">
        <v>68</v>
      </c>
      <c r="I227" t="s">
        <v>47</v>
      </c>
      <c r="J227" t="s">
        <v>1217</v>
      </c>
      <c r="K227" s="1">
        <v>45392</v>
      </c>
      <c r="L227" s="1">
        <v>45839</v>
      </c>
      <c r="M227" t="s">
        <v>1218</v>
      </c>
      <c r="N227">
        <v>35</v>
      </c>
      <c r="O227">
        <v>16</v>
      </c>
      <c r="P227" t="s">
        <v>26</v>
      </c>
    </row>
    <row r="228" spans="1:16" x14ac:dyDescent="0.4">
      <c r="A228" t="s">
        <v>1219</v>
      </c>
      <c r="B228" t="s">
        <v>131</v>
      </c>
      <c r="C228" t="s">
        <v>77</v>
      </c>
      <c r="D228" t="s">
        <v>1220</v>
      </c>
      <c r="E228" t="s">
        <v>1221</v>
      </c>
      <c r="F228">
        <v>98</v>
      </c>
      <c r="G228">
        <v>77</v>
      </c>
      <c r="H228">
        <v>7</v>
      </c>
      <c r="I228" t="s">
        <v>134</v>
      </c>
      <c r="J228" s="1">
        <v>45332</v>
      </c>
      <c r="K228" t="s">
        <v>229</v>
      </c>
      <c r="L228" s="1">
        <v>45420</v>
      </c>
      <c r="M228" t="s">
        <v>1222</v>
      </c>
      <c r="N228">
        <v>92</v>
      </c>
      <c r="O228">
        <v>29</v>
      </c>
      <c r="P228" t="s">
        <v>26</v>
      </c>
    </row>
    <row r="229" spans="1:16" x14ac:dyDescent="0.4">
      <c r="A229" t="s">
        <v>1223</v>
      </c>
      <c r="B229" t="s">
        <v>350</v>
      </c>
      <c r="C229" t="s">
        <v>54</v>
      </c>
      <c r="D229" t="s">
        <v>1224</v>
      </c>
      <c r="E229" t="s">
        <v>1225</v>
      </c>
      <c r="F229">
        <v>37</v>
      </c>
      <c r="G229">
        <v>8</v>
      </c>
      <c r="H229">
        <v>50</v>
      </c>
      <c r="I229" t="s">
        <v>39</v>
      </c>
      <c r="J229" s="1">
        <v>45450</v>
      </c>
      <c r="K229" t="s">
        <v>807</v>
      </c>
      <c r="L229" t="s">
        <v>444</v>
      </c>
      <c r="M229" t="s">
        <v>1226</v>
      </c>
      <c r="N229">
        <v>47</v>
      </c>
      <c r="O229">
        <v>62</v>
      </c>
      <c r="P229" t="s">
        <v>26</v>
      </c>
    </row>
    <row r="230" spans="1:16" x14ac:dyDescent="0.4">
      <c r="A230" t="s">
        <v>1227</v>
      </c>
      <c r="B230" t="s">
        <v>1228</v>
      </c>
      <c r="C230" t="s">
        <v>112</v>
      </c>
      <c r="D230" t="s">
        <v>1229</v>
      </c>
      <c r="E230" t="s">
        <v>1230</v>
      </c>
      <c r="F230">
        <v>97</v>
      </c>
      <c r="G230">
        <v>99</v>
      </c>
      <c r="H230">
        <v>96</v>
      </c>
      <c r="I230" t="s">
        <v>57</v>
      </c>
      <c r="J230" t="s">
        <v>181</v>
      </c>
      <c r="K230" t="s">
        <v>1106</v>
      </c>
      <c r="L230" t="s">
        <v>630</v>
      </c>
      <c r="M230" t="s">
        <v>1231</v>
      </c>
      <c r="N230">
        <v>57</v>
      </c>
      <c r="O230">
        <v>42</v>
      </c>
      <c r="P230" t="s">
        <v>42</v>
      </c>
    </row>
    <row r="231" spans="1:16" x14ac:dyDescent="0.4">
      <c r="A231" t="s">
        <v>1232</v>
      </c>
      <c r="B231" t="s">
        <v>28</v>
      </c>
      <c r="C231" t="s">
        <v>29</v>
      </c>
      <c r="D231" t="s">
        <v>1233</v>
      </c>
      <c r="E231" t="s">
        <v>140</v>
      </c>
      <c r="F231">
        <v>97</v>
      </c>
      <c r="G231">
        <v>77</v>
      </c>
      <c r="H231">
        <v>99</v>
      </c>
      <c r="I231" t="s">
        <v>32</v>
      </c>
      <c r="J231" t="s">
        <v>346</v>
      </c>
      <c r="K231" t="s">
        <v>1234</v>
      </c>
      <c r="L231" t="s">
        <v>72</v>
      </c>
      <c r="M231" t="s">
        <v>1235</v>
      </c>
      <c r="N231">
        <v>74</v>
      </c>
      <c r="O231">
        <v>98</v>
      </c>
      <c r="P231" t="s">
        <v>42</v>
      </c>
    </row>
    <row r="232" spans="1:16" x14ac:dyDescent="0.4">
      <c r="A232" t="s">
        <v>1236</v>
      </c>
      <c r="B232" t="s">
        <v>311</v>
      </c>
      <c r="C232" t="s">
        <v>54</v>
      </c>
      <c r="D232" t="s">
        <v>1237</v>
      </c>
      <c r="E232" t="s">
        <v>365</v>
      </c>
      <c r="F232">
        <v>90</v>
      </c>
      <c r="G232">
        <v>92</v>
      </c>
      <c r="H232">
        <v>56</v>
      </c>
      <c r="I232" t="s">
        <v>71</v>
      </c>
      <c r="J232" t="s">
        <v>358</v>
      </c>
      <c r="K232" t="s">
        <v>786</v>
      </c>
      <c r="L232" t="s">
        <v>1238</v>
      </c>
      <c r="M232" t="s">
        <v>1239</v>
      </c>
      <c r="N232">
        <v>71</v>
      </c>
      <c r="O232">
        <v>13</v>
      </c>
      <c r="P232" t="s">
        <v>51</v>
      </c>
    </row>
    <row r="233" spans="1:16" x14ac:dyDescent="0.4">
      <c r="A233" t="s">
        <v>1240</v>
      </c>
      <c r="B233" t="s">
        <v>28</v>
      </c>
      <c r="C233" t="s">
        <v>29</v>
      </c>
      <c r="D233" t="s">
        <v>1241</v>
      </c>
      <c r="E233" t="s">
        <v>1242</v>
      </c>
      <c r="F233">
        <v>46</v>
      </c>
      <c r="G233">
        <v>31</v>
      </c>
      <c r="H233">
        <v>89</v>
      </c>
      <c r="I233" t="s">
        <v>32</v>
      </c>
      <c r="J233" s="1">
        <v>45748</v>
      </c>
      <c r="K233" t="s">
        <v>549</v>
      </c>
      <c r="L233" s="1">
        <v>45446</v>
      </c>
      <c r="M233" t="s">
        <v>1243</v>
      </c>
      <c r="N233">
        <v>59</v>
      </c>
      <c r="O233">
        <v>65</v>
      </c>
      <c r="P233" t="s">
        <v>42</v>
      </c>
    </row>
    <row r="234" spans="1:16" x14ac:dyDescent="0.4">
      <c r="A234" t="s">
        <v>1244</v>
      </c>
      <c r="B234" t="s">
        <v>476</v>
      </c>
      <c r="C234" t="s">
        <v>54</v>
      </c>
      <c r="D234" t="s">
        <v>1245</v>
      </c>
      <c r="E234" t="s">
        <v>1246</v>
      </c>
      <c r="F234">
        <v>40</v>
      </c>
      <c r="G234">
        <v>8</v>
      </c>
      <c r="H234">
        <v>98</v>
      </c>
      <c r="I234" t="s">
        <v>57</v>
      </c>
      <c r="J234" t="s">
        <v>955</v>
      </c>
      <c r="K234" s="1">
        <v>45810</v>
      </c>
      <c r="L234" s="1">
        <v>45541</v>
      </c>
      <c r="M234" t="s">
        <v>1247</v>
      </c>
      <c r="N234">
        <v>86</v>
      </c>
      <c r="O234">
        <v>12</v>
      </c>
      <c r="P234" t="s">
        <v>26</v>
      </c>
    </row>
    <row r="235" spans="1:16" x14ac:dyDescent="0.4">
      <c r="A235" t="s">
        <v>1248</v>
      </c>
      <c r="B235" t="s">
        <v>1249</v>
      </c>
      <c r="C235" t="s">
        <v>54</v>
      </c>
      <c r="D235" t="s">
        <v>1250</v>
      </c>
      <c r="E235" t="s">
        <v>1251</v>
      </c>
      <c r="F235">
        <v>77</v>
      </c>
      <c r="G235">
        <v>52</v>
      </c>
      <c r="H235">
        <v>28</v>
      </c>
      <c r="I235" t="s">
        <v>57</v>
      </c>
      <c r="J235" t="s">
        <v>1057</v>
      </c>
      <c r="K235" t="s">
        <v>229</v>
      </c>
      <c r="L235" s="1">
        <v>45296</v>
      </c>
      <c r="M235" t="s">
        <v>1252</v>
      </c>
      <c r="N235">
        <v>48</v>
      </c>
      <c r="O235">
        <v>43</v>
      </c>
      <c r="P235" t="s">
        <v>51</v>
      </c>
    </row>
    <row r="236" spans="1:16" x14ac:dyDescent="0.4">
      <c r="A236" t="s">
        <v>1253</v>
      </c>
      <c r="B236" t="s">
        <v>138</v>
      </c>
      <c r="C236" t="s">
        <v>18</v>
      </c>
      <c r="D236" t="s">
        <v>1254</v>
      </c>
      <c r="E236" t="s">
        <v>1178</v>
      </c>
      <c r="F236">
        <v>62</v>
      </c>
      <c r="G236">
        <v>79</v>
      </c>
      <c r="H236">
        <v>23</v>
      </c>
      <c r="I236" t="s">
        <v>47</v>
      </c>
      <c r="J236" t="s">
        <v>322</v>
      </c>
      <c r="K236" t="s">
        <v>592</v>
      </c>
      <c r="L236" t="s">
        <v>359</v>
      </c>
      <c r="M236" t="s">
        <v>1255</v>
      </c>
      <c r="N236">
        <v>32</v>
      </c>
      <c r="O236">
        <v>80</v>
      </c>
      <c r="P236" t="s">
        <v>51</v>
      </c>
    </row>
    <row r="237" spans="1:16" x14ac:dyDescent="0.4">
      <c r="A237" t="s">
        <v>1256</v>
      </c>
      <c r="B237" t="s">
        <v>255</v>
      </c>
      <c r="C237" t="s">
        <v>29</v>
      </c>
      <c r="D237" t="s">
        <v>1257</v>
      </c>
      <c r="E237" t="s">
        <v>1258</v>
      </c>
      <c r="F237">
        <v>59</v>
      </c>
      <c r="G237">
        <v>17</v>
      </c>
      <c r="H237">
        <v>1</v>
      </c>
      <c r="I237" t="s">
        <v>258</v>
      </c>
      <c r="J237" t="s">
        <v>397</v>
      </c>
      <c r="K237" t="s">
        <v>893</v>
      </c>
      <c r="L237" s="1">
        <v>45363</v>
      </c>
      <c r="M237" t="s">
        <v>1259</v>
      </c>
      <c r="N237">
        <v>69</v>
      </c>
      <c r="O237">
        <v>82</v>
      </c>
      <c r="P237" t="s">
        <v>51</v>
      </c>
    </row>
    <row r="238" spans="1:16" x14ac:dyDescent="0.4">
      <c r="A238" t="s">
        <v>1260</v>
      </c>
      <c r="B238" t="s">
        <v>588</v>
      </c>
      <c r="C238" t="s">
        <v>54</v>
      </c>
      <c r="D238" t="s">
        <v>1261</v>
      </c>
      <c r="E238" t="s">
        <v>278</v>
      </c>
      <c r="F238">
        <v>23</v>
      </c>
      <c r="G238">
        <v>38</v>
      </c>
      <c r="H238">
        <v>54</v>
      </c>
      <c r="I238" t="s">
        <v>591</v>
      </c>
      <c r="J238" t="s">
        <v>719</v>
      </c>
      <c r="K238" t="s">
        <v>730</v>
      </c>
      <c r="L238" t="s">
        <v>643</v>
      </c>
      <c r="M238" t="s">
        <v>1262</v>
      </c>
      <c r="N238">
        <v>40</v>
      </c>
      <c r="O238">
        <v>15</v>
      </c>
      <c r="P238" t="s">
        <v>51</v>
      </c>
    </row>
    <row r="239" spans="1:16" x14ac:dyDescent="0.4">
      <c r="A239" t="s">
        <v>1263</v>
      </c>
      <c r="B239" t="s">
        <v>1228</v>
      </c>
      <c r="C239" t="s">
        <v>112</v>
      </c>
      <c r="D239" t="s">
        <v>1264</v>
      </c>
      <c r="E239" t="s">
        <v>724</v>
      </c>
      <c r="F239">
        <v>39</v>
      </c>
      <c r="G239">
        <v>16</v>
      </c>
      <c r="H239">
        <v>57</v>
      </c>
      <c r="I239" t="s">
        <v>57</v>
      </c>
      <c r="J239" t="s">
        <v>192</v>
      </c>
      <c r="K239" s="1">
        <v>45539</v>
      </c>
      <c r="L239" t="s">
        <v>165</v>
      </c>
      <c r="M239" t="s">
        <v>1265</v>
      </c>
      <c r="N239">
        <v>98</v>
      </c>
      <c r="O239">
        <v>12</v>
      </c>
      <c r="P239" t="s">
        <v>51</v>
      </c>
    </row>
    <row r="240" spans="1:16" x14ac:dyDescent="0.4">
      <c r="A240" t="s">
        <v>1266</v>
      </c>
      <c r="B240" t="s">
        <v>799</v>
      </c>
      <c r="C240" t="s">
        <v>77</v>
      </c>
      <c r="D240" t="s">
        <v>1267</v>
      </c>
      <c r="E240" t="s">
        <v>250</v>
      </c>
      <c r="F240">
        <v>68</v>
      </c>
      <c r="G240">
        <v>29</v>
      </c>
      <c r="H240">
        <v>31</v>
      </c>
      <c r="I240" t="s">
        <v>134</v>
      </c>
      <c r="J240" s="1">
        <v>45451</v>
      </c>
      <c r="K240" s="1">
        <v>45357</v>
      </c>
      <c r="L240" s="1">
        <v>45544</v>
      </c>
      <c r="M240" t="s">
        <v>1268</v>
      </c>
      <c r="N240">
        <v>53</v>
      </c>
      <c r="O240">
        <v>20</v>
      </c>
      <c r="P240" t="s">
        <v>42</v>
      </c>
    </row>
    <row r="241" spans="1:16" x14ac:dyDescent="0.4">
      <c r="A241" t="s">
        <v>1269</v>
      </c>
      <c r="B241" t="s">
        <v>669</v>
      </c>
      <c r="C241" t="s">
        <v>18</v>
      </c>
      <c r="D241" t="s">
        <v>1270</v>
      </c>
      <c r="E241" t="s">
        <v>1271</v>
      </c>
      <c r="F241">
        <v>75</v>
      </c>
      <c r="G241">
        <v>46</v>
      </c>
      <c r="H241">
        <v>75</v>
      </c>
      <c r="I241" t="s">
        <v>671</v>
      </c>
      <c r="J241" t="s">
        <v>893</v>
      </c>
      <c r="K241" t="s">
        <v>179</v>
      </c>
      <c r="L241" t="s">
        <v>1272</v>
      </c>
      <c r="M241" t="s">
        <v>1273</v>
      </c>
      <c r="N241">
        <v>43</v>
      </c>
      <c r="O241">
        <v>77</v>
      </c>
      <c r="P241" t="s">
        <v>42</v>
      </c>
    </row>
    <row r="242" spans="1:16" x14ac:dyDescent="0.4">
      <c r="A242" t="s">
        <v>1274</v>
      </c>
      <c r="B242" t="s">
        <v>595</v>
      </c>
      <c r="C242" t="s">
        <v>112</v>
      </c>
      <c r="D242" t="s">
        <v>1275</v>
      </c>
      <c r="E242" t="s">
        <v>1276</v>
      </c>
      <c r="F242">
        <v>96</v>
      </c>
      <c r="G242">
        <v>16</v>
      </c>
      <c r="H242">
        <v>48</v>
      </c>
      <c r="I242" t="s">
        <v>220</v>
      </c>
      <c r="J242" s="1">
        <v>45393</v>
      </c>
      <c r="K242" s="1">
        <v>45386</v>
      </c>
      <c r="L242" t="s">
        <v>321</v>
      </c>
      <c r="M242" t="s">
        <v>1277</v>
      </c>
      <c r="N242">
        <v>45</v>
      </c>
      <c r="O242">
        <v>68</v>
      </c>
      <c r="P242" t="s">
        <v>51</v>
      </c>
    </row>
    <row r="243" spans="1:16" x14ac:dyDescent="0.4">
      <c r="A243" t="s">
        <v>1278</v>
      </c>
      <c r="B243" t="s">
        <v>263</v>
      </c>
      <c r="C243" t="s">
        <v>169</v>
      </c>
      <c r="D243" t="s">
        <v>1279</v>
      </c>
      <c r="E243" t="s">
        <v>1280</v>
      </c>
      <c r="F243">
        <v>17</v>
      </c>
      <c r="G243">
        <v>38</v>
      </c>
      <c r="H243">
        <v>93</v>
      </c>
      <c r="I243" t="s">
        <v>266</v>
      </c>
      <c r="J243" t="s">
        <v>180</v>
      </c>
      <c r="K243" t="s">
        <v>421</v>
      </c>
      <c r="L243" t="s">
        <v>358</v>
      </c>
      <c r="M243" t="s">
        <v>1281</v>
      </c>
      <c r="N243">
        <v>100</v>
      </c>
      <c r="O243">
        <v>63</v>
      </c>
      <c r="P243" t="s">
        <v>51</v>
      </c>
    </row>
    <row r="244" spans="1:16" x14ac:dyDescent="0.4">
      <c r="A244" t="s">
        <v>1282</v>
      </c>
      <c r="B244" t="s">
        <v>88</v>
      </c>
      <c r="C244" t="s">
        <v>77</v>
      </c>
      <c r="D244" t="s">
        <v>1283</v>
      </c>
      <c r="E244" t="s">
        <v>1284</v>
      </c>
      <c r="F244">
        <v>23</v>
      </c>
      <c r="G244">
        <v>38</v>
      </c>
      <c r="H244">
        <v>25</v>
      </c>
      <c r="I244" t="s">
        <v>91</v>
      </c>
      <c r="J244" t="s">
        <v>725</v>
      </c>
      <c r="K244" t="s">
        <v>1116</v>
      </c>
      <c r="L244" t="s">
        <v>479</v>
      </c>
      <c r="M244" t="s">
        <v>1285</v>
      </c>
      <c r="N244">
        <v>84</v>
      </c>
      <c r="O244">
        <v>78</v>
      </c>
      <c r="P244" t="s">
        <v>26</v>
      </c>
    </row>
    <row r="245" spans="1:16" x14ac:dyDescent="0.4">
      <c r="A245" t="s">
        <v>1286</v>
      </c>
      <c r="B245" t="s">
        <v>733</v>
      </c>
      <c r="C245" t="s">
        <v>54</v>
      </c>
      <c r="D245" t="s">
        <v>1287</v>
      </c>
      <c r="E245" t="s">
        <v>513</v>
      </c>
      <c r="F245">
        <v>15</v>
      </c>
      <c r="G245">
        <v>27</v>
      </c>
      <c r="H245">
        <v>21</v>
      </c>
      <c r="I245" t="s">
        <v>57</v>
      </c>
      <c r="J245" s="1">
        <v>45602</v>
      </c>
      <c r="K245" t="s">
        <v>1116</v>
      </c>
      <c r="L245" s="1">
        <v>45360</v>
      </c>
      <c r="M245" t="s">
        <v>1288</v>
      </c>
      <c r="N245">
        <v>37</v>
      </c>
      <c r="O245">
        <v>67</v>
      </c>
      <c r="P245" t="s">
        <v>42</v>
      </c>
    </row>
    <row r="246" spans="1:16" x14ac:dyDescent="0.4">
      <c r="A246" t="s">
        <v>1289</v>
      </c>
      <c r="B246" t="s">
        <v>1290</v>
      </c>
      <c r="C246" t="s">
        <v>169</v>
      </c>
      <c r="D246" t="s">
        <v>1291</v>
      </c>
      <c r="E246" t="s">
        <v>1292</v>
      </c>
      <c r="F246">
        <v>71</v>
      </c>
      <c r="G246">
        <v>7</v>
      </c>
      <c r="H246">
        <v>6</v>
      </c>
      <c r="I246" t="s">
        <v>1293</v>
      </c>
      <c r="J246" t="s">
        <v>802</v>
      </c>
      <c r="K246" s="1">
        <v>45334</v>
      </c>
      <c r="L246" s="1">
        <v>45391</v>
      </c>
      <c r="M246" t="s">
        <v>1294</v>
      </c>
      <c r="N246">
        <v>52</v>
      </c>
      <c r="O246">
        <v>68</v>
      </c>
      <c r="P246" t="s">
        <v>42</v>
      </c>
    </row>
    <row r="247" spans="1:16" x14ac:dyDescent="0.4">
      <c r="A247" t="s">
        <v>1295</v>
      </c>
      <c r="B247" t="s">
        <v>76</v>
      </c>
      <c r="C247" t="s">
        <v>77</v>
      </c>
      <c r="D247" t="s">
        <v>1296</v>
      </c>
      <c r="E247" t="s">
        <v>1297</v>
      </c>
      <c r="F247">
        <v>97</v>
      </c>
      <c r="G247">
        <v>26</v>
      </c>
      <c r="H247">
        <v>15</v>
      </c>
      <c r="I247" t="s">
        <v>71</v>
      </c>
      <c r="J247" t="s">
        <v>222</v>
      </c>
      <c r="K247" s="1">
        <v>45718</v>
      </c>
      <c r="L247" s="1">
        <v>45576</v>
      </c>
      <c r="M247" t="s">
        <v>1298</v>
      </c>
      <c r="N247">
        <v>33</v>
      </c>
      <c r="O247">
        <v>58</v>
      </c>
      <c r="P247" t="s">
        <v>26</v>
      </c>
    </row>
    <row r="248" spans="1:16" x14ac:dyDescent="0.4">
      <c r="A248" t="s">
        <v>1299</v>
      </c>
      <c r="B248" t="s">
        <v>290</v>
      </c>
      <c r="C248" t="s">
        <v>54</v>
      </c>
      <c r="D248" t="s">
        <v>1300</v>
      </c>
      <c r="E248" t="s">
        <v>371</v>
      </c>
      <c r="F248">
        <v>29</v>
      </c>
      <c r="G248">
        <v>18</v>
      </c>
      <c r="H248">
        <v>86</v>
      </c>
      <c r="I248" t="s">
        <v>71</v>
      </c>
      <c r="J248" t="s">
        <v>420</v>
      </c>
      <c r="K248" t="s">
        <v>141</v>
      </c>
      <c r="L248" s="1">
        <v>45601</v>
      </c>
      <c r="M248" t="s">
        <v>1301</v>
      </c>
      <c r="N248">
        <v>53</v>
      </c>
      <c r="O248">
        <v>69</v>
      </c>
      <c r="P248" t="s">
        <v>51</v>
      </c>
    </row>
    <row r="249" spans="1:16" x14ac:dyDescent="0.4">
      <c r="A249" t="s">
        <v>1302</v>
      </c>
      <c r="B249" t="s">
        <v>498</v>
      </c>
      <c r="C249" t="s">
        <v>54</v>
      </c>
      <c r="D249" t="s">
        <v>1303</v>
      </c>
      <c r="E249" t="s">
        <v>1271</v>
      </c>
      <c r="F249">
        <v>46</v>
      </c>
      <c r="G249">
        <v>64</v>
      </c>
      <c r="H249">
        <v>17</v>
      </c>
      <c r="I249" t="s">
        <v>1304</v>
      </c>
      <c r="J249" s="1">
        <v>45294</v>
      </c>
      <c r="K249" s="1">
        <v>45809</v>
      </c>
      <c r="L249" t="s">
        <v>450</v>
      </c>
      <c r="M249" t="s">
        <v>1305</v>
      </c>
      <c r="N249">
        <v>96</v>
      </c>
      <c r="O249">
        <v>55</v>
      </c>
      <c r="P249" t="s">
        <v>26</v>
      </c>
    </row>
    <row r="250" spans="1:16" x14ac:dyDescent="0.4">
      <c r="A250" t="s">
        <v>1306</v>
      </c>
      <c r="B250" t="s">
        <v>602</v>
      </c>
      <c r="C250" t="s">
        <v>77</v>
      </c>
      <c r="D250" t="s">
        <v>1307</v>
      </c>
      <c r="E250" t="s">
        <v>1019</v>
      </c>
      <c r="F250">
        <v>76</v>
      </c>
      <c r="G250">
        <v>15</v>
      </c>
      <c r="H250">
        <v>99</v>
      </c>
      <c r="I250" t="s">
        <v>671</v>
      </c>
      <c r="J250" s="1">
        <v>45659</v>
      </c>
      <c r="K250" t="s">
        <v>955</v>
      </c>
      <c r="L250" s="1">
        <v>45448</v>
      </c>
      <c r="M250" t="s">
        <v>1308</v>
      </c>
      <c r="N250">
        <v>60</v>
      </c>
      <c r="O250">
        <v>49</v>
      </c>
      <c r="P250" t="s">
        <v>26</v>
      </c>
    </row>
    <row r="251" spans="1:16" x14ac:dyDescent="0.4">
      <c r="A251" t="s">
        <v>1309</v>
      </c>
      <c r="B251" t="s">
        <v>290</v>
      </c>
      <c r="C251" t="s">
        <v>54</v>
      </c>
      <c r="D251" t="s">
        <v>1310</v>
      </c>
      <c r="E251" t="s">
        <v>1019</v>
      </c>
      <c r="F251">
        <v>59</v>
      </c>
      <c r="G251">
        <v>91</v>
      </c>
      <c r="H251">
        <v>24</v>
      </c>
      <c r="I251" t="s">
        <v>71</v>
      </c>
      <c r="J251" t="s">
        <v>526</v>
      </c>
      <c r="K251" t="s">
        <v>23</v>
      </c>
      <c r="L251" t="s">
        <v>1311</v>
      </c>
      <c r="M251" t="s">
        <v>1312</v>
      </c>
      <c r="N251">
        <v>54</v>
      </c>
      <c r="O251">
        <v>87</v>
      </c>
      <c r="P251" t="s">
        <v>51</v>
      </c>
    </row>
    <row r="252" spans="1:16" x14ac:dyDescent="0.4">
      <c r="A252" t="s">
        <v>1313</v>
      </c>
      <c r="B252" t="s">
        <v>375</v>
      </c>
      <c r="C252" t="s">
        <v>54</v>
      </c>
      <c r="D252" t="s">
        <v>1314</v>
      </c>
      <c r="E252" t="s">
        <v>1315</v>
      </c>
      <c r="F252">
        <v>92</v>
      </c>
      <c r="G252">
        <v>54</v>
      </c>
      <c r="H252">
        <v>73</v>
      </c>
      <c r="I252" t="s">
        <v>1316</v>
      </c>
      <c r="J252" s="1">
        <v>45840</v>
      </c>
      <c r="K252" t="s">
        <v>719</v>
      </c>
      <c r="L252" t="s">
        <v>115</v>
      </c>
      <c r="M252" t="s">
        <v>1317</v>
      </c>
      <c r="N252">
        <v>79</v>
      </c>
      <c r="O252">
        <v>1</v>
      </c>
      <c r="P252" t="s">
        <v>42</v>
      </c>
    </row>
    <row r="253" spans="1:16" x14ac:dyDescent="0.4">
      <c r="A253" t="s">
        <v>1318</v>
      </c>
      <c r="B253" t="s">
        <v>350</v>
      </c>
      <c r="C253" t="s">
        <v>54</v>
      </c>
      <c r="D253" t="s">
        <v>1319</v>
      </c>
      <c r="E253" t="s">
        <v>1187</v>
      </c>
      <c r="F253">
        <v>28</v>
      </c>
      <c r="G253">
        <v>27</v>
      </c>
      <c r="H253">
        <v>22</v>
      </c>
      <c r="I253" t="s">
        <v>39</v>
      </c>
      <c r="J253" t="s">
        <v>372</v>
      </c>
      <c r="K253" t="s">
        <v>700</v>
      </c>
      <c r="L253" s="1">
        <v>45601</v>
      </c>
      <c r="M253" t="s">
        <v>1320</v>
      </c>
      <c r="N253">
        <v>70</v>
      </c>
      <c r="O253">
        <v>30</v>
      </c>
      <c r="P253" t="s">
        <v>26</v>
      </c>
    </row>
    <row r="254" spans="1:16" x14ac:dyDescent="0.4">
      <c r="A254" t="s">
        <v>1321</v>
      </c>
      <c r="B254" t="s">
        <v>698</v>
      </c>
      <c r="C254" t="s">
        <v>54</v>
      </c>
      <c r="D254" t="s">
        <v>1322</v>
      </c>
      <c r="E254" t="s">
        <v>1323</v>
      </c>
      <c r="F254">
        <v>19</v>
      </c>
      <c r="G254">
        <v>47</v>
      </c>
      <c r="H254">
        <v>25</v>
      </c>
      <c r="I254" t="s">
        <v>220</v>
      </c>
      <c r="J254" t="s">
        <v>99</v>
      </c>
      <c r="K254" t="s">
        <v>214</v>
      </c>
      <c r="L254" t="s">
        <v>366</v>
      </c>
      <c r="M254" t="s">
        <v>1324</v>
      </c>
      <c r="N254">
        <v>96</v>
      </c>
      <c r="O254">
        <v>37</v>
      </c>
      <c r="P254" t="s">
        <v>26</v>
      </c>
    </row>
    <row r="255" spans="1:16" x14ac:dyDescent="0.4">
      <c r="A255" t="s">
        <v>1325</v>
      </c>
      <c r="B255" t="s">
        <v>325</v>
      </c>
      <c r="C255" t="s">
        <v>77</v>
      </c>
      <c r="D255" t="s">
        <v>1326</v>
      </c>
      <c r="E255" t="s">
        <v>950</v>
      </c>
      <c r="F255">
        <v>85</v>
      </c>
      <c r="G255">
        <v>28</v>
      </c>
      <c r="H255">
        <v>21</v>
      </c>
      <c r="I255" t="s">
        <v>85</v>
      </c>
      <c r="J255" t="s">
        <v>421</v>
      </c>
      <c r="K255" t="s">
        <v>127</v>
      </c>
      <c r="L255" s="1">
        <v>45632</v>
      </c>
      <c r="M255" t="s">
        <v>1327</v>
      </c>
      <c r="N255">
        <v>45</v>
      </c>
      <c r="O255">
        <v>89</v>
      </c>
      <c r="P255" t="s">
        <v>51</v>
      </c>
    </row>
    <row r="256" spans="1:16" x14ac:dyDescent="0.4">
      <c r="A256" t="s">
        <v>1328</v>
      </c>
      <c r="B256" t="s">
        <v>138</v>
      </c>
      <c r="C256" t="s">
        <v>18</v>
      </c>
      <c r="D256" t="s">
        <v>1329</v>
      </c>
      <c r="E256" t="s">
        <v>1330</v>
      </c>
      <c r="F256">
        <v>57</v>
      </c>
      <c r="G256">
        <v>63</v>
      </c>
      <c r="H256">
        <v>41</v>
      </c>
      <c r="I256" t="s">
        <v>47</v>
      </c>
      <c r="J256" t="s">
        <v>1331</v>
      </c>
      <c r="K256" t="s">
        <v>598</v>
      </c>
      <c r="L256" t="s">
        <v>287</v>
      </c>
      <c r="M256" t="s">
        <v>1332</v>
      </c>
      <c r="N256">
        <v>53</v>
      </c>
      <c r="O256">
        <v>94</v>
      </c>
      <c r="P256" t="s">
        <v>26</v>
      </c>
    </row>
    <row r="257" spans="1:16" x14ac:dyDescent="0.4">
      <c r="A257" t="s">
        <v>1333</v>
      </c>
      <c r="B257" t="s">
        <v>476</v>
      </c>
      <c r="C257" t="s">
        <v>54</v>
      </c>
      <c r="D257" t="s">
        <v>1334</v>
      </c>
      <c r="E257" t="s">
        <v>1335</v>
      </c>
      <c r="F257">
        <v>95</v>
      </c>
      <c r="G257">
        <v>29</v>
      </c>
      <c r="H257">
        <v>28</v>
      </c>
      <c r="I257" t="s">
        <v>57</v>
      </c>
      <c r="J257" t="s">
        <v>1111</v>
      </c>
      <c r="K257" t="s">
        <v>467</v>
      </c>
      <c r="L257" t="s">
        <v>618</v>
      </c>
      <c r="M257" t="s">
        <v>1336</v>
      </c>
      <c r="N257">
        <v>52</v>
      </c>
      <c r="O257">
        <v>46</v>
      </c>
      <c r="P257" t="s">
        <v>26</v>
      </c>
    </row>
    <row r="258" spans="1:16" x14ac:dyDescent="0.4">
      <c r="A258" t="s">
        <v>1337</v>
      </c>
      <c r="B258" t="s">
        <v>17</v>
      </c>
      <c r="C258" t="s">
        <v>18</v>
      </c>
      <c r="D258" t="s">
        <v>1338</v>
      </c>
      <c r="E258" t="s">
        <v>1339</v>
      </c>
      <c r="F258">
        <v>84</v>
      </c>
      <c r="G258">
        <v>69</v>
      </c>
      <c r="H258">
        <v>77</v>
      </c>
      <c r="I258" t="s">
        <v>21</v>
      </c>
      <c r="J258" t="s">
        <v>1106</v>
      </c>
      <c r="K258" t="s">
        <v>158</v>
      </c>
      <c r="L258" s="1">
        <v>45297</v>
      </c>
      <c r="M258" t="s">
        <v>1340</v>
      </c>
      <c r="N258">
        <v>39</v>
      </c>
      <c r="O258">
        <v>69</v>
      </c>
      <c r="P258" t="s">
        <v>42</v>
      </c>
    </row>
    <row r="259" spans="1:16" x14ac:dyDescent="0.4">
      <c r="A259" t="s">
        <v>1341</v>
      </c>
      <c r="B259" t="s">
        <v>627</v>
      </c>
      <c r="C259" t="s">
        <v>18</v>
      </c>
      <c r="D259" t="s">
        <v>1342</v>
      </c>
      <c r="E259" t="s">
        <v>613</v>
      </c>
      <c r="F259">
        <v>31</v>
      </c>
      <c r="G259">
        <v>32</v>
      </c>
      <c r="H259">
        <v>69</v>
      </c>
      <c r="I259" t="s">
        <v>106</v>
      </c>
      <c r="J259" t="s">
        <v>462</v>
      </c>
      <c r="K259" s="1">
        <v>45388</v>
      </c>
      <c r="L259" t="s">
        <v>1343</v>
      </c>
      <c r="M259" t="s">
        <v>1344</v>
      </c>
      <c r="N259">
        <v>38</v>
      </c>
      <c r="O259">
        <v>23</v>
      </c>
      <c r="P259" t="s">
        <v>51</v>
      </c>
    </row>
    <row r="260" spans="1:16" x14ac:dyDescent="0.4">
      <c r="A260" t="s">
        <v>1345</v>
      </c>
      <c r="B260" t="s">
        <v>225</v>
      </c>
      <c r="C260" t="s">
        <v>54</v>
      </c>
      <c r="D260" t="s">
        <v>1346</v>
      </c>
      <c r="E260" t="s">
        <v>1347</v>
      </c>
      <c r="F260">
        <v>41</v>
      </c>
      <c r="G260">
        <v>52</v>
      </c>
      <c r="H260">
        <v>75</v>
      </c>
      <c r="I260" t="s">
        <v>21</v>
      </c>
      <c r="J260" s="1">
        <v>45447</v>
      </c>
      <c r="K260" t="s">
        <v>1234</v>
      </c>
      <c r="L260" t="s">
        <v>244</v>
      </c>
      <c r="M260" t="s">
        <v>1348</v>
      </c>
      <c r="N260">
        <v>57</v>
      </c>
      <c r="O260">
        <v>62</v>
      </c>
      <c r="P260" t="s">
        <v>42</v>
      </c>
    </row>
    <row r="261" spans="1:16" x14ac:dyDescent="0.4">
      <c r="A261" t="s">
        <v>1349</v>
      </c>
      <c r="B261" t="s">
        <v>131</v>
      </c>
      <c r="C261" t="s">
        <v>77</v>
      </c>
      <c r="D261" t="s">
        <v>1350</v>
      </c>
      <c r="E261" t="s">
        <v>427</v>
      </c>
      <c r="F261">
        <v>97</v>
      </c>
      <c r="G261">
        <v>57</v>
      </c>
      <c r="H261">
        <v>84</v>
      </c>
      <c r="I261" t="s">
        <v>134</v>
      </c>
      <c r="J261" t="s">
        <v>1351</v>
      </c>
      <c r="K261" t="s">
        <v>802</v>
      </c>
      <c r="L261" s="1">
        <v>45810</v>
      </c>
      <c r="M261" t="s">
        <v>1352</v>
      </c>
      <c r="N261">
        <v>95</v>
      </c>
      <c r="O261">
        <v>28</v>
      </c>
      <c r="P261" t="s">
        <v>51</v>
      </c>
    </row>
    <row r="262" spans="1:16" x14ac:dyDescent="0.4">
      <c r="A262" t="s">
        <v>1353</v>
      </c>
      <c r="B262" t="s">
        <v>1354</v>
      </c>
      <c r="C262" t="s">
        <v>77</v>
      </c>
      <c r="D262" t="s">
        <v>1355</v>
      </c>
      <c r="E262" t="s">
        <v>1356</v>
      </c>
      <c r="F262">
        <v>43</v>
      </c>
      <c r="G262">
        <v>88</v>
      </c>
      <c r="H262">
        <v>33</v>
      </c>
      <c r="I262" t="s">
        <v>91</v>
      </c>
      <c r="J262" t="s">
        <v>1357</v>
      </c>
      <c r="K262" s="1">
        <v>45718</v>
      </c>
      <c r="L262" t="s">
        <v>701</v>
      </c>
      <c r="M262" t="s">
        <v>1358</v>
      </c>
      <c r="N262">
        <v>84</v>
      </c>
      <c r="O262">
        <v>75</v>
      </c>
      <c r="P262" t="s">
        <v>26</v>
      </c>
    </row>
    <row r="263" spans="1:16" x14ac:dyDescent="0.4">
      <c r="A263" t="s">
        <v>1359</v>
      </c>
      <c r="B263" t="s">
        <v>607</v>
      </c>
      <c r="C263" t="s">
        <v>68</v>
      </c>
      <c r="D263" t="s">
        <v>1360</v>
      </c>
      <c r="E263" t="s">
        <v>97</v>
      </c>
      <c r="F263">
        <v>74</v>
      </c>
      <c r="G263">
        <v>4</v>
      </c>
      <c r="H263">
        <v>67</v>
      </c>
      <c r="I263" t="s">
        <v>466</v>
      </c>
      <c r="J263" t="s">
        <v>360</v>
      </c>
      <c r="K263" t="s">
        <v>1053</v>
      </c>
      <c r="L263" t="s">
        <v>100</v>
      </c>
      <c r="M263" t="s">
        <v>1361</v>
      </c>
      <c r="N263">
        <v>31</v>
      </c>
      <c r="O263">
        <v>34</v>
      </c>
      <c r="P263" t="s">
        <v>42</v>
      </c>
    </row>
    <row r="264" spans="1:16" x14ac:dyDescent="0.4">
      <c r="A264" t="s">
        <v>1362</v>
      </c>
      <c r="B264" t="s">
        <v>138</v>
      </c>
      <c r="C264" t="s">
        <v>18</v>
      </c>
      <c r="D264" t="s">
        <v>1363</v>
      </c>
      <c r="E264" t="s">
        <v>1364</v>
      </c>
      <c r="F264">
        <v>70</v>
      </c>
      <c r="G264">
        <v>96</v>
      </c>
      <c r="H264">
        <v>92</v>
      </c>
      <c r="I264" t="s">
        <v>47</v>
      </c>
      <c r="J264" t="s">
        <v>946</v>
      </c>
      <c r="K264" t="s">
        <v>455</v>
      </c>
      <c r="L264" t="s">
        <v>164</v>
      </c>
      <c r="M264" t="s">
        <v>1365</v>
      </c>
      <c r="N264">
        <v>27</v>
      </c>
      <c r="O264">
        <v>58</v>
      </c>
      <c r="P264" t="s">
        <v>42</v>
      </c>
    </row>
    <row r="265" spans="1:16" x14ac:dyDescent="0.4">
      <c r="A265" t="s">
        <v>1366</v>
      </c>
      <c r="B265" t="s">
        <v>602</v>
      </c>
      <c r="C265" t="s">
        <v>77</v>
      </c>
      <c r="D265" t="s">
        <v>1367</v>
      </c>
      <c r="E265" t="s">
        <v>1164</v>
      </c>
      <c r="F265">
        <v>69</v>
      </c>
      <c r="G265">
        <v>53</v>
      </c>
      <c r="H265">
        <v>32</v>
      </c>
      <c r="I265" t="s">
        <v>1368</v>
      </c>
      <c r="J265" s="1">
        <v>45605</v>
      </c>
      <c r="K265" t="s">
        <v>164</v>
      </c>
      <c r="L265" t="s">
        <v>1369</v>
      </c>
      <c r="M265" t="s">
        <v>1370</v>
      </c>
      <c r="N265">
        <v>28</v>
      </c>
      <c r="O265">
        <v>56</v>
      </c>
      <c r="P265" t="s">
        <v>51</v>
      </c>
    </row>
    <row r="266" spans="1:16" x14ac:dyDescent="0.4">
      <c r="A266" t="s">
        <v>1371</v>
      </c>
      <c r="B266" t="s">
        <v>425</v>
      </c>
      <c r="C266" t="s">
        <v>54</v>
      </c>
      <c r="D266" t="s">
        <v>1372</v>
      </c>
      <c r="E266" t="s">
        <v>1373</v>
      </c>
      <c r="F266">
        <v>67</v>
      </c>
      <c r="G266">
        <v>68</v>
      </c>
      <c r="H266">
        <v>50</v>
      </c>
      <c r="I266" t="s">
        <v>47</v>
      </c>
      <c r="J266" t="s">
        <v>435</v>
      </c>
      <c r="K266" t="s">
        <v>1343</v>
      </c>
      <c r="L266" s="1">
        <v>45539</v>
      </c>
      <c r="M266" t="s">
        <v>1374</v>
      </c>
      <c r="N266">
        <v>67</v>
      </c>
      <c r="O266">
        <v>82</v>
      </c>
      <c r="P266" t="s">
        <v>26</v>
      </c>
    </row>
    <row r="267" spans="1:16" x14ac:dyDescent="0.4">
      <c r="A267" t="s">
        <v>1375</v>
      </c>
      <c r="B267" t="s">
        <v>296</v>
      </c>
      <c r="C267" t="s">
        <v>18</v>
      </c>
      <c r="D267" t="s">
        <v>1376</v>
      </c>
      <c r="E267" t="s">
        <v>565</v>
      </c>
      <c r="F267">
        <v>18</v>
      </c>
      <c r="G267">
        <v>62</v>
      </c>
      <c r="H267">
        <v>2</v>
      </c>
      <c r="I267" t="s">
        <v>85</v>
      </c>
      <c r="J267" t="s">
        <v>360</v>
      </c>
      <c r="K267" t="s">
        <v>828</v>
      </c>
      <c r="L267" s="1">
        <v>45452</v>
      </c>
      <c r="M267" t="s">
        <v>1377</v>
      </c>
      <c r="N267">
        <v>61</v>
      </c>
      <c r="O267">
        <v>78</v>
      </c>
      <c r="P267" t="s">
        <v>26</v>
      </c>
    </row>
    <row r="268" spans="1:16" x14ac:dyDescent="0.4">
      <c r="A268" t="s">
        <v>1378</v>
      </c>
      <c r="B268" t="s">
        <v>28</v>
      </c>
      <c r="C268" t="s">
        <v>29</v>
      </c>
      <c r="D268" t="s">
        <v>1379</v>
      </c>
      <c r="E268" t="s">
        <v>1380</v>
      </c>
      <c r="F268">
        <v>22</v>
      </c>
      <c r="G268">
        <v>89</v>
      </c>
      <c r="H268">
        <v>25</v>
      </c>
      <c r="I268" t="s">
        <v>754</v>
      </c>
      <c r="J268" t="s">
        <v>656</v>
      </c>
      <c r="K268" t="s">
        <v>630</v>
      </c>
      <c r="L268" t="s">
        <v>1111</v>
      </c>
      <c r="M268" t="s">
        <v>1381</v>
      </c>
      <c r="N268">
        <v>30</v>
      </c>
      <c r="O268">
        <v>62</v>
      </c>
      <c r="P268" t="s">
        <v>26</v>
      </c>
    </row>
    <row r="269" spans="1:16" x14ac:dyDescent="0.4">
      <c r="A269" t="s">
        <v>1382</v>
      </c>
      <c r="B269" t="s">
        <v>1383</v>
      </c>
      <c r="C269" t="s">
        <v>54</v>
      </c>
      <c r="D269" t="s">
        <v>1384</v>
      </c>
      <c r="E269" t="s">
        <v>1385</v>
      </c>
      <c r="F269">
        <v>88</v>
      </c>
      <c r="G269">
        <v>99</v>
      </c>
      <c r="H269">
        <v>41</v>
      </c>
      <c r="I269" t="s">
        <v>1386</v>
      </c>
      <c r="J269" t="s">
        <v>1387</v>
      </c>
      <c r="K269" t="s">
        <v>618</v>
      </c>
      <c r="L269" t="s">
        <v>397</v>
      </c>
      <c r="M269" t="s">
        <v>1388</v>
      </c>
      <c r="N269">
        <v>93</v>
      </c>
      <c r="O269">
        <v>99</v>
      </c>
      <c r="P269" t="s">
        <v>42</v>
      </c>
    </row>
    <row r="270" spans="1:16" x14ac:dyDescent="0.4">
      <c r="A270" t="s">
        <v>1389</v>
      </c>
      <c r="B270" t="s">
        <v>677</v>
      </c>
      <c r="C270" t="s">
        <v>169</v>
      </c>
      <c r="D270" t="s">
        <v>1390</v>
      </c>
      <c r="E270" t="s">
        <v>1391</v>
      </c>
      <c r="F270">
        <v>78</v>
      </c>
      <c r="G270">
        <v>75</v>
      </c>
      <c r="H270">
        <v>3</v>
      </c>
      <c r="I270" t="s">
        <v>134</v>
      </c>
      <c r="J270" s="1">
        <v>45512</v>
      </c>
      <c r="K270" t="s">
        <v>99</v>
      </c>
      <c r="L270" s="1">
        <v>45419</v>
      </c>
      <c r="M270" t="s">
        <v>1392</v>
      </c>
      <c r="N270">
        <v>63</v>
      </c>
      <c r="O270">
        <v>100</v>
      </c>
      <c r="P270" t="s">
        <v>51</v>
      </c>
    </row>
    <row r="271" spans="1:16" x14ac:dyDescent="0.4">
      <c r="A271" t="s">
        <v>1393</v>
      </c>
      <c r="B271" t="s">
        <v>248</v>
      </c>
      <c r="C271" t="s">
        <v>68</v>
      </c>
      <c r="D271" t="s">
        <v>1394</v>
      </c>
      <c r="E271" t="s">
        <v>1395</v>
      </c>
      <c r="F271">
        <v>83</v>
      </c>
      <c r="G271">
        <v>52</v>
      </c>
      <c r="H271">
        <v>32</v>
      </c>
      <c r="I271" t="s">
        <v>39</v>
      </c>
      <c r="J271" t="s">
        <v>383</v>
      </c>
      <c r="K271" t="s">
        <v>893</v>
      </c>
      <c r="L271" t="s">
        <v>549</v>
      </c>
      <c r="M271" t="s">
        <v>1396</v>
      </c>
      <c r="N271">
        <v>47</v>
      </c>
      <c r="O271">
        <v>7</v>
      </c>
      <c r="P271" t="s">
        <v>51</v>
      </c>
    </row>
    <row r="272" spans="1:16" x14ac:dyDescent="0.4">
      <c r="A272" t="s">
        <v>1397</v>
      </c>
      <c r="B272" t="s">
        <v>989</v>
      </c>
      <c r="C272" t="s">
        <v>29</v>
      </c>
      <c r="D272" t="s">
        <v>1398</v>
      </c>
      <c r="E272" t="s">
        <v>1399</v>
      </c>
      <c r="F272">
        <v>42</v>
      </c>
      <c r="G272">
        <v>88</v>
      </c>
      <c r="H272">
        <v>17</v>
      </c>
      <c r="I272" t="s">
        <v>1400</v>
      </c>
      <c r="J272" t="s">
        <v>107</v>
      </c>
      <c r="K272" s="1">
        <v>45455</v>
      </c>
      <c r="L272" t="s">
        <v>213</v>
      </c>
      <c r="M272" t="s">
        <v>1401</v>
      </c>
      <c r="N272">
        <v>34</v>
      </c>
      <c r="O272">
        <v>51</v>
      </c>
      <c r="P272" t="s">
        <v>26</v>
      </c>
    </row>
    <row r="273" spans="1:16" x14ac:dyDescent="0.4">
      <c r="A273" t="s">
        <v>1402</v>
      </c>
      <c r="B273" t="s">
        <v>539</v>
      </c>
      <c r="C273" t="s">
        <v>54</v>
      </c>
      <c r="D273" t="s">
        <v>1403</v>
      </c>
      <c r="E273" t="s">
        <v>357</v>
      </c>
      <c r="F273">
        <v>49</v>
      </c>
      <c r="G273">
        <v>46</v>
      </c>
      <c r="H273">
        <v>8</v>
      </c>
      <c r="I273" t="s">
        <v>85</v>
      </c>
      <c r="J273" t="s">
        <v>548</v>
      </c>
      <c r="K273" t="s">
        <v>1125</v>
      </c>
      <c r="L273" s="1">
        <v>45577</v>
      </c>
      <c r="M273" t="s">
        <v>1404</v>
      </c>
      <c r="N273">
        <v>82</v>
      </c>
      <c r="O273">
        <v>21</v>
      </c>
      <c r="P273" t="s">
        <v>26</v>
      </c>
    </row>
    <row r="274" spans="1:16" x14ac:dyDescent="0.4">
      <c r="A274" t="s">
        <v>1405</v>
      </c>
      <c r="B274" t="s">
        <v>1406</v>
      </c>
      <c r="C274" t="s">
        <v>18</v>
      </c>
      <c r="D274" t="s">
        <v>1407</v>
      </c>
      <c r="E274" t="s">
        <v>547</v>
      </c>
      <c r="F274">
        <v>17</v>
      </c>
      <c r="G274">
        <v>88</v>
      </c>
      <c r="H274">
        <v>41</v>
      </c>
      <c r="I274" t="s">
        <v>71</v>
      </c>
      <c r="J274" t="s">
        <v>329</v>
      </c>
      <c r="K274" t="s">
        <v>48</v>
      </c>
      <c r="L274" t="s">
        <v>649</v>
      </c>
      <c r="M274" t="s">
        <v>1408</v>
      </c>
      <c r="N274">
        <v>45</v>
      </c>
      <c r="O274">
        <v>29</v>
      </c>
      <c r="P274" t="s">
        <v>42</v>
      </c>
    </row>
    <row r="275" spans="1:16" x14ac:dyDescent="0.4">
      <c r="A275" t="s">
        <v>1409</v>
      </c>
      <c r="B275" t="s">
        <v>820</v>
      </c>
      <c r="C275" t="s">
        <v>77</v>
      </c>
      <c r="D275" t="s">
        <v>1410</v>
      </c>
      <c r="E275" t="s">
        <v>1411</v>
      </c>
      <c r="F275">
        <v>52</v>
      </c>
      <c r="G275">
        <v>64</v>
      </c>
      <c r="H275">
        <v>54</v>
      </c>
      <c r="I275" t="s">
        <v>554</v>
      </c>
      <c r="J275" t="s">
        <v>346</v>
      </c>
      <c r="K275" s="1">
        <v>45544</v>
      </c>
      <c r="L275" t="s">
        <v>415</v>
      </c>
      <c r="M275" t="s">
        <v>1412</v>
      </c>
      <c r="N275">
        <v>21</v>
      </c>
      <c r="O275">
        <v>55</v>
      </c>
      <c r="P275" t="s">
        <v>42</v>
      </c>
    </row>
    <row r="276" spans="1:16" x14ac:dyDescent="0.4">
      <c r="A276" t="s">
        <v>1413</v>
      </c>
      <c r="B276" t="s">
        <v>210</v>
      </c>
      <c r="C276" t="s">
        <v>54</v>
      </c>
      <c r="D276" t="s">
        <v>1414</v>
      </c>
      <c r="E276" t="s">
        <v>1399</v>
      </c>
      <c r="F276">
        <v>79</v>
      </c>
      <c r="G276">
        <v>45</v>
      </c>
      <c r="H276">
        <v>39</v>
      </c>
      <c r="I276" t="s">
        <v>39</v>
      </c>
      <c r="J276" t="s">
        <v>654</v>
      </c>
      <c r="K276" s="1">
        <v>45484</v>
      </c>
      <c r="L276" s="1">
        <v>45601</v>
      </c>
      <c r="M276" t="s">
        <v>1415</v>
      </c>
      <c r="N276">
        <v>55</v>
      </c>
      <c r="O276">
        <v>20</v>
      </c>
      <c r="P276" t="s">
        <v>42</v>
      </c>
    </row>
    <row r="277" spans="1:16" x14ac:dyDescent="0.4">
      <c r="A277" t="s">
        <v>1416</v>
      </c>
      <c r="B277" t="s">
        <v>607</v>
      </c>
      <c r="C277" t="s">
        <v>68</v>
      </c>
      <c r="D277" t="s">
        <v>1417</v>
      </c>
      <c r="E277" t="s">
        <v>865</v>
      </c>
      <c r="F277">
        <v>35</v>
      </c>
      <c r="G277">
        <v>41</v>
      </c>
      <c r="H277">
        <v>84</v>
      </c>
      <c r="I277" t="s">
        <v>466</v>
      </c>
      <c r="J277" t="s">
        <v>173</v>
      </c>
      <c r="K277" t="s">
        <v>358</v>
      </c>
      <c r="L277" t="s">
        <v>1418</v>
      </c>
      <c r="M277" t="s">
        <v>1419</v>
      </c>
      <c r="N277">
        <v>62</v>
      </c>
      <c r="O277">
        <v>14</v>
      </c>
      <c r="P277" t="s">
        <v>42</v>
      </c>
    </row>
    <row r="278" spans="1:16" x14ac:dyDescent="0.4">
      <c r="A278" t="s">
        <v>1420</v>
      </c>
      <c r="B278" t="s">
        <v>233</v>
      </c>
      <c r="C278" t="s">
        <v>54</v>
      </c>
      <c r="D278" t="s">
        <v>1421</v>
      </c>
      <c r="E278" t="s">
        <v>1422</v>
      </c>
      <c r="F278">
        <v>76</v>
      </c>
      <c r="G278">
        <v>11</v>
      </c>
      <c r="H278">
        <v>15</v>
      </c>
      <c r="I278" t="s">
        <v>466</v>
      </c>
      <c r="J278" t="s">
        <v>1035</v>
      </c>
      <c r="K278" t="s">
        <v>916</v>
      </c>
      <c r="L278" t="s">
        <v>712</v>
      </c>
      <c r="M278" t="s">
        <v>1423</v>
      </c>
      <c r="N278">
        <v>22</v>
      </c>
      <c r="O278">
        <v>91</v>
      </c>
      <c r="P278" t="s">
        <v>51</v>
      </c>
    </row>
    <row r="279" spans="1:16" x14ac:dyDescent="0.4">
      <c r="A279" t="s">
        <v>1424</v>
      </c>
      <c r="B279" t="s">
        <v>144</v>
      </c>
      <c r="C279" t="s">
        <v>77</v>
      </c>
      <c r="D279" t="s">
        <v>1425</v>
      </c>
      <c r="E279" t="s">
        <v>31</v>
      </c>
      <c r="F279">
        <v>93</v>
      </c>
      <c r="G279">
        <v>8</v>
      </c>
      <c r="H279">
        <v>51</v>
      </c>
      <c r="I279" t="s">
        <v>147</v>
      </c>
      <c r="J279" t="s">
        <v>592</v>
      </c>
      <c r="K279" t="s">
        <v>372</v>
      </c>
      <c r="L279" s="1">
        <v>45749</v>
      </c>
      <c r="M279" t="s">
        <v>1426</v>
      </c>
      <c r="N279">
        <v>93</v>
      </c>
      <c r="O279">
        <v>85</v>
      </c>
      <c r="P279" t="s">
        <v>42</v>
      </c>
    </row>
    <row r="280" spans="1:16" x14ac:dyDescent="0.4">
      <c r="A280" t="s">
        <v>1427</v>
      </c>
      <c r="B280" t="s">
        <v>1428</v>
      </c>
      <c r="C280" t="s">
        <v>169</v>
      </c>
      <c r="D280" t="s">
        <v>1429</v>
      </c>
      <c r="E280" t="s">
        <v>1019</v>
      </c>
      <c r="F280">
        <v>40</v>
      </c>
      <c r="G280">
        <v>81</v>
      </c>
      <c r="H280">
        <v>78</v>
      </c>
      <c r="I280" t="s">
        <v>32</v>
      </c>
      <c r="J280" t="s">
        <v>598</v>
      </c>
      <c r="K280" t="s">
        <v>221</v>
      </c>
      <c r="L280" s="1">
        <v>45385</v>
      </c>
      <c r="M280" t="s">
        <v>1430</v>
      </c>
      <c r="N280">
        <v>39</v>
      </c>
      <c r="O280">
        <v>65</v>
      </c>
      <c r="P280" t="s">
        <v>42</v>
      </c>
    </row>
    <row r="281" spans="1:16" x14ac:dyDescent="0.4">
      <c r="A281" t="s">
        <v>1431</v>
      </c>
      <c r="B281" t="s">
        <v>168</v>
      </c>
      <c r="C281" t="s">
        <v>169</v>
      </c>
      <c r="D281" t="s">
        <v>1432</v>
      </c>
      <c r="E281" t="s">
        <v>284</v>
      </c>
      <c r="F281">
        <v>19</v>
      </c>
      <c r="G281">
        <v>94</v>
      </c>
      <c r="H281">
        <v>17</v>
      </c>
      <c r="I281" t="s">
        <v>1433</v>
      </c>
      <c r="J281" t="s">
        <v>1173</v>
      </c>
      <c r="K281" s="1">
        <v>45510</v>
      </c>
      <c r="L281" t="s">
        <v>128</v>
      </c>
      <c r="M281" t="s">
        <v>1434</v>
      </c>
      <c r="N281">
        <v>96</v>
      </c>
      <c r="O281">
        <v>74</v>
      </c>
      <c r="P281" t="s">
        <v>26</v>
      </c>
    </row>
    <row r="282" spans="1:16" x14ac:dyDescent="0.4">
      <c r="A282" t="s">
        <v>1435</v>
      </c>
      <c r="B282" t="s">
        <v>912</v>
      </c>
      <c r="C282" t="s">
        <v>68</v>
      </c>
      <c r="D282" t="s">
        <v>1436</v>
      </c>
      <c r="E282" t="s">
        <v>1437</v>
      </c>
      <c r="F282">
        <v>70</v>
      </c>
      <c r="G282">
        <v>96</v>
      </c>
      <c r="H282">
        <v>21</v>
      </c>
      <c r="I282" t="s">
        <v>106</v>
      </c>
      <c r="J282" t="s">
        <v>402</v>
      </c>
      <c r="K282" s="1">
        <v>45574</v>
      </c>
      <c r="L282" s="1">
        <v>45359</v>
      </c>
      <c r="M282" t="s">
        <v>1438</v>
      </c>
      <c r="N282">
        <v>100</v>
      </c>
      <c r="O282">
        <v>15</v>
      </c>
      <c r="P282" t="s">
        <v>26</v>
      </c>
    </row>
    <row r="283" spans="1:16" x14ac:dyDescent="0.4">
      <c r="A283" t="s">
        <v>1439</v>
      </c>
      <c r="B283" t="s">
        <v>1228</v>
      </c>
      <c r="C283" t="s">
        <v>112</v>
      </c>
      <c r="D283" t="s">
        <v>1440</v>
      </c>
      <c r="E283" t="s">
        <v>1441</v>
      </c>
      <c r="F283">
        <v>90</v>
      </c>
      <c r="G283">
        <v>52</v>
      </c>
      <c r="H283">
        <v>50</v>
      </c>
      <c r="I283" t="s">
        <v>57</v>
      </c>
      <c r="J283" t="s">
        <v>23</v>
      </c>
      <c r="K283" t="s">
        <v>643</v>
      </c>
      <c r="L283" s="1">
        <v>45478</v>
      </c>
      <c r="M283" t="s">
        <v>1442</v>
      </c>
      <c r="N283">
        <v>63</v>
      </c>
      <c r="O283">
        <v>14</v>
      </c>
      <c r="P283" t="s">
        <v>26</v>
      </c>
    </row>
    <row r="284" spans="1:16" x14ac:dyDescent="0.4">
      <c r="A284" t="s">
        <v>1443</v>
      </c>
      <c r="B284" t="s">
        <v>1228</v>
      </c>
      <c r="C284" t="s">
        <v>112</v>
      </c>
      <c r="D284" t="s">
        <v>1444</v>
      </c>
      <c r="E284" t="s">
        <v>163</v>
      </c>
      <c r="F284">
        <v>77</v>
      </c>
      <c r="G284">
        <v>79</v>
      </c>
      <c r="H284">
        <v>65</v>
      </c>
      <c r="I284" t="s">
        <v>57</v>
      </c>
      <c r="J284" s="1">
        <v>45300</v>
      </c>
      <c r="K284" t="s">
        <v>215</v>
      </c>
      <c r="L284" t="s">
        <v>609</v>
      </c>
      <c r="M284" t="s">
        <v>1445</v>
      </c>
      <c r="N284">
        <v>62</v>
      </c>
      <c r="O284">
        <v>75</v>
      </c>
      <c r="P284" t="s">
        <v>42</v>
      </c>
    </row>
    <row r="285" spans="1:16" x14ac:dyDescent="0.4">
      <c r="A285" t="s">
        <v>1446</v>
      </c>
      <c r="B285" t="s">
        <v>1447</v>
      </c>
      <c r="C285" t="s">
        <v>54</v>
      </c>
      <c r="D285" t="s">
        <v>1448</v>
      </c>
      <c r="E285" t="s">
        <v>1373</v>
      </c>
      <c r="F285">
        <v>38</v>
      </c>
      <c r="G285">
        <v>22</v>
      </c>
      <c r="H285">
        <v>71</v>
      </c>
      <c r="I285" t="s">
        <v>220</v>
      </c>
      <c r="J285" s="1">
        <v>45483</v>
      </c>
      <c r="K285" t="s">
        <v>347</v>
      </c>
      <c r="L285" s="1">
        <v>45509</v>
      </c>
      <c r="M285" t="s">
        <v>1449</v>
      </c>
      <c r="N285">
        <v>33</v>
      </c>
      <c r="O285">
        <v>62</v>
      </c>
      <c r="P285" t="s">
        <v>51</v>
      </c>
    </row>
    <row r="286" spans="1:16" x14ac:dyDescent="0.4">
      <c r="A286" t="s">
        <v>1450</v>
      </c>
      <c r="B286" t="s">
        <v>677</v>
      </c>
      <c r="C286" t="s">
        <v>169</v>
      </c>
      <c r="D286" t="s">
        <v>1451</v>
      </c>
      <c r="E286" t="s">
        <v>1452</v>
      </c>
      <c r="F286">
        <v>93</v>
      </c>
      <c r="G286">
        <v>25</v>
      </c>
      <c r="H286">
        <v>23</v>
      </c>
      <c r="I286" t="s">
        <v>134</v>
      </c>
      <c r="J286" t="s">
        <v>1146</v>
      </c>
      <c r="K286" t="s">
        <v>173</v>
      </c>
      <c r="L286" t="s">
        <v>644</v>
      </c>
      <c r="M286" t="s">
        <v>1453</v>
      </c>
      <c r="N286">
        <v>72</v>
      </c>
      <c r="O286">
        <v>83</v>
      </c>
      <c r="P286" t="s">
        <v>42</v>
      </c>
    </row>
    <row r="287" spans="1:16" x14ac:dyDescent="0.4">
      <c r="A287" t="s">
        <v>1454</v>
      </c>
      <c r="B287" t="s">
        <v>1455</v>
      </c>
      <c r="C287" t="s">
        <v>77</v>
      </c>
      <c r="D287" t="s">
        <v>1456</v>
      </c>
      <c r="E287" t="s">
        <v>1457</v>
      </c>
      <c r="F287">
        <v>23</v>
      </c>
      <c r="G287">
        <v>100</v>
      </c>
      <c r="H287">
        <v>77</v>
      </c>
      <c r="I287" t="s">
        <v>106</v>
      </c>
      <c r="J287" s="1">
        <v>45570</v>
      </c>
      <c r="K287" s="1">
        <v>45573</v>
      </c>
      <c r="L287" s="1">
        <v>45385</v>
      </c>
      <c r="M287" t="s">
        <v>1458</v>
      </c>
      <c r="N287">
        <v>63</v>
      </c>
      <c r="O287">
        <v>26</v>
      </c>
      <c r="P287" t="s">
        <v>26</v>
      </c>
    </row>
    <row r="288" spans="1:16" x14ac:dyDescent="0.4">
      <c r="A288" t="s">
        <v>1459</v>
      </c>
      <c r="B288" t="s">
        <v>869</v>
      </c>
      <c r="C288" t="s">
        <v>29</v>
      </c>
      <c r="D288" t="s">
        <v>1460</v>
      </c>
      <c r="E288" t="s">
        <v>1461</v>
      </c>
      <c r="F288">
        <v>51</v>
      </c>
      <c r="G288">
        <v>1</v>
      </c>
      <c r="H288">
        <v>61</v>
      </c>
      <c r="I288" t="s">
        <v>1462</v>
      </c>
      <c r="J288" t="s">
        <v>1209</v>
      </c>
      <c r="K288" t="s">
        <v>1463</v>
      </c>
      <c r="L288" t="s">
        <v>341</v>
      </c>
      <c r="M288" t="s">
        <v>1464</v>
      </c>
      <c r="N288">
        <v>96</v>
      </c>
      <c r="O288">
        <v>26</v>
      </c>
      <c r="P288" t="s">
        <v>51</v>
      </c>
    </row>
    <row r="289" spans="1:16" x14ac:dyDescent="0.4">
      <c r="A289" t="s">
        <v>1465</v>
      </c>
      <c r="B289" t="s">
        <v>492</v>
      </c>
      <c r="C289" t="s">
        <v>77</v>
      </c>
      <c r="D289" t="s">
        <v>1466</v>
      </c>
      <c r="E289" t="s">
        <v>1467</v>
      </c>
      <c r="F289">
        <v>57</v>
      </c>
      <c r="G289">
        <v>62</v>
      </c>
      <c r="H289">
        <v>72</v>
      </c>
      <c r="I289" t="s">
        <v>57</v>
      </c>
      <c r="J289" t="s">
        <v>1116</v>
      </c>
      <c r="K289" t="s">
        <v>935</v>
      </c>
      <c r="L289" s="1">
        <v>45573</v>
      </c>
      <c r="M289" t="s">
        <v>1468</v>
      </c>
      <c r="N289">
        <v>23</v>
      </c>
      <c r="O289">
        <v>4</v>
      </c>
      <c r="P289" t="s">
        <v>42</v>
      </c>
    </row>
    <row r="290" spans="1:16" x14ac:dyDescent="0.4">
      <c r="A290" t="s">
        <v>1469</v>
      </c>
      <c r="B290" t="s">
        <v>1470</v>
      </c>
      <c r="C290" t="s">
        <v>54</v>
      </c>
      <c r="D290" t="s">
        <v>1471</v>
      </c>
      <c r="E290" t="s">
        <v>1399</v>
      </c>
      <c r="F290">
        <v>59</v>
      </c>
      <c r="G290">
        <v>74</v>
      </c>
      <c r="H290">
        <v>100</v>
      </c>
      <c r="I290" t="s">
        <v>21</v>
      </c>
      <c r="J290" t="s">
        <v>360</v>
      </c>
      <c r="K290" t="s">
        <v>434</v>
      </c>
      <c r="L290" s="1">
        <v>45637</v>
      </c>
      <c r="M290" t="s">
        <v>1472</v>
      </c>
      <c r="N290">
        <v>63</v>
      </c>
      <c r="O290">
        <v>69</v>
      </c>
      <c r="P290" t="s">
        <v>51</v>
      </c>
    </row>
    <row r="291" spans="1:16" x14ac:dyDescent="0.4">
      <c r="A291" t="s">
        <v>1473</v>
      </c>
      <c r="B291" t="s">
        <v>588</v>
      </c>
      <c r="C291" t="s">
        <v>54</v>
      </c>
      <c r="D291" t="s">
        <v>1474</v>
      </c>
      <c r="E291" t="s">
        <v>327</v>
      </c>
      <c r="F291">
        <v>89</v>
      </c>
      <c r="G291">
        <v>15</v>
      </c>
      <c r="H291">
        <v>22</v>
      </c>
      <c r="I291" t="s">
        <v>591</v>
      </c>
      <c r="J291" t="s">
        <v>341</v>
      </c>
      <c r="K291" s="1">
        <v>45963</v>
      </c>
      <c r="L291" s="1">
        <v>45356</v>
      </c>
      <c r="M291" t="s">
        <v>1475</v>
      </c>
      <c r="N291">
        <v>79</v>
      </c>
      <c r="O291">
        <v>42</v>
      </c>
      <c r="P291" t="s">
        <v>26</v>
      </c>
    </row>
    <row r="292" spans="1:16" x14ac:dyDescent="0.4">
      <c r="A292" t="s">
        <v>1476</v>
      </c>
      <c r="B292" t="s">
        <v>588</v>
      </c>
      <c r="C292" t="s">
        <v>54</v>
      </c>
      <c r="D292" t="s">
        <v>1477</v>
      </c>
      <c r="E292" t="s">
        <v>250</v>
      </c>
      <c r="F292">
        <v>53</v>
      </c>
      <c r="G292">
        <v>98</v>
      </c>
      <c r="H292">
        <v>25</v>
      </c>
      <c r="I292" t="s">
        <v>591</v>
      </c>
      <c r="J292" t="s">
        <v>435</v>
      </c>
      <c r="K292" s="1">
        <v>45391</v>
      </c>
      <c r="L292" t="s">
        <v>230</v>
      </c>
      <c r="M292" t="s">
        <v>1478</v>
      </c>
      <c r="N292">
        <v>55</v>
      </c>
      <c r="O292">
        <v>51</v>
      </c>
      <c r="P292" t="s">
        <v>51</v>
      </c>
    </row>
    <row r="293" spans="1:16" x14ac:dyDescent="0.4">
      <c r="A293" t="s">
        <v>1479</v>
      </c>
      <c r="B293" t="s">
        <v>53</v>
      </c>
      <c r="C293" t="s">
        <v>54</v>
      </c>
      <c r="D293" t="s">
        <v>1480</v>
      </c>
      <c r="E293" t="s">
        <v>791</v>
      </c>
      <c r="F293">
        <v>11</v>
      </c>
      <c r="G293">
        <v>56</v>
      </c>
      <c r="H293">
        <v>62</v>
      </c>
      <c r="I293" t="s">
        <v>1481</v>
      </c>
      <c r="J293" t="s">
        <v>1482</v>
      </c>
      <c r="K293" s="1">
        <v>45931</v>
      </c>
      <c r="L293" s="1">
        <v>45575</v>
      </c>
      <c r="M293" t="s">
        <v>1483</v>
      </c>
      <c r="N293">
        <v>40</v>
      </c>
      <c r="O293">
        <v>5</v>
      </c>
      <c r="P293" t="s">
        <v>42</v>
      </c>
    </row>
    <row r="294" spans="1:16" x14ac:dyDescent="0.4">
      <c r="A294" t="s">
        <v>1484</v>
      </c>
      <c r="B294" t="s">
        <v>1485</v>
      </c>
      <c r="C294" t="s">
        <v>77</v>
      </c>
      <c r="D294" t="s">
        <v>1486</v>
      </c>
      <c r="E294" t="s">
        <v>1487</v>
      </c>
      <c r="F294">
        <v>59</v>
      </c>
      <c r="G294">
        <v>27</v>
      </c>
      <c r="H294">
        <v>63</v>
      </c>
      <c r="I294" t="s">
        <v>63</v>
      </c>
      <c r="J294" t="s">
        <v>1005</v>
      </c>
      <c r="K294" t="s">
        <v>1488</v>
      </c>
      <c r="L294" s="1">
        <v>45659</v>
      </c>
      <c r="M294" t="s">
        <v>1489</v>
      </c>
      <c r="N294">
        <v>92</v>
      </c>
      <c r="O294">
        <v>82</v>
      </c>
      <c r="P294" t="s">
        <v>26</v>
      </c>
    </row>
    <row r="295" spans="1:16" x14ac:dyDescent="0.4">
      <c r="A295" t="s">
        <v>1490</v>
      </c>
      <c r="B295" t="s">
        <v>271</v>
      </c>
      <c r="C295" t="s">
        <v>54</v>
      </c>
      <c r="D295" t="s">
        <v>1491</v>
      </c>
      <c r="E295" t="s">
        <v>1492</v>
      </c>
      <c r="F295">
        <v>34</v>
      </c>
      <c r="G295">
        <v>29</v>
      </c>
      <c r="H295">
        <v>65</v>
      </c>
      <c r="I295" t="s">
        <v>106</v>
      </c>
      <c r="J295" s="1">
        <v>45356</v>
      </c>
      <c r="K295" s="1">
        <v>45392</v>
      </c>
      <c r="L295" t="s">
        <v>346</v>
      </c>
      <c r="M295" t="s">
        <v>1493</v>
      </c>
      <c r="N295">
        <v>90</v>
      </c>
      <c r="O295">
        <v>23</v>
      </c>
      <c r="P295" t="s">
        <v>26</v>
      </c>
    </row>
    <row r="296" spans="1:16" x14ac:dyDescent="0.4">
      <c r="A296" t="s">
        <v>1494</v>
      </c>
      <c r="B296" t="s">
        <v>814</v>
      </c>
      <c r="C296" t="s">
        <v>169</v>
      </c>
      <c r="D296" t="s">
        <v>1495</v>
      </c>
      <c r="E296" t="s">
        <v>84</v>
      </c>
      <c r="F296">
        <v>25</v>
      </c>
      <c r="G296">
        <v>75</v>
      </c>
      <c r="H296">
        <v>27</v>
      </c>
      <c r="I296" t="s">
        <v>817</v>
      </c>
      <c r="J296" s="1">
        <v>45689</v>
      </c>
      <c r="K296" s="1">
        <v>45422</v>
      </c>
      <c r="L296" s="1">
        <v>45387</v>
      </c>
      <c r="M296" t="s">
        <v>1496</v>
      </c>
      <c r="N296">
        <v>31</v>
      </c>
      <c r="O296">
        <v>36</v>
      </c>
      <c r="P296" t="s">
        <v>51</v>
      </c>
    </row>
    <row r="297" spans="1:16" x14ac:dyDescent="0.4">
      <c r="A297" t="s">
        <v>1497</v>
      </c>
      <c r="B297" t="s">
        <v>1017</v>
      </c>
      <c r="C297" t="s">
        <v>169</v>
      </c>
      <c r="D297" t="s">
        <v>1498</v>
      </c>
      <c r="E297" t="s">
        <v>1499</v>
      </c>
      <c r="F297">
        <v>81</v>
      </c>
      <c r="G297">
        <v>22</v>
      </c>
      <c r="H297">
        <v>20</v>
      </c>
      <c r="I297" t="s">
        <v>591</v>
      </c>
      <c r="J297" s="1">
        <v>45297</v>
      </c>
      <c r="K297" t="s">
        <v>1500</v>
      </c>
      <c r="L297" t="s">
        <v>1173</v>
      </c>
      <c r="M297" t="s">
        <v>1501</v>
      </c>
      <c r="N297">
        <v>95</v>
      </c>
      <c r="O297">
        <v>77</v>
      </c>
      <c r="P297" t="s">
        <v>26</v>
      </c>
    </row>
    <row r="298" spans="1:16" x14ac:dyDescent="0.4">
      <c r="A298" t="s">
        <v>1502</v>
      </c>
      <c r="B298" t="s">
        <v>1503</v>
      </c>
      <c r="C298" t="s">
        <v>54</v>
      </c>
      <c r="D298" t="s">
        <v>1504</v>
      </c>
      <c r="E298" t="s">
        <v>1364</v>
      </c>
      <c r="F298">
        <v>81</v>
      </c>
      <c r="G298">
        <v>74</v>
      </c>
      <c r="H298">
        <v>45</v>
      </c>
      <c r="I298" t="s">
        <v>242</v>
      </c>
      <c r="J298" t="s">
        <v>1174</v>
      </c>
      <c r="K298" t="s">
        <v>542</v>
      </c>
      <c r="L298" s="1">
        <v>45992</v>
      </c>
      <c r="M298" t="s">
        <v>1505</v>
      </c>
      <c r="N298">
        <v>42</v>
      </c>
      <c r="O298">
        <v>23</v>
      </c>
      <c r="P298" t="s">
        <v>26</v>
      </c>
    </row>
    <row r="299" spans="1:16" x14ac:dyDescent="0.4">
      <c r="A299" t="s">
        <v>1506</v>
      </c>
      <c r="B299" t="s">
        <v>994</v>
      </c>
      <c r="C299" t="s">
        <v>54</v>
      </c>
      <c r="D299" t="s">
        <v>1507</v>
      </c>
      <c r="E299" t="s">
        <v>613</v>
      </c>
      <c r="F299">
        <v>71</v>
      </c>
      <c r="G299">
        <v>4</v>
      </c>
      <c r="H299">
        <v>37</v>
      </c>
      <c r="I299" t="s">
        <v>85</v>
      </c>
      <c r="J299" t="s">
        <v>434</v>
      </c>
      <c r="K299" t="s">
        <v>420</v>
      </c>
      <c r="L299" t="s">
        <v>1508</v>
      </c>
      <c r="M299" t="s">
        <v>1509</v>
      </c>
      <c r="N299">
        <v>81</v>
      </c>
      <c r="O299">
        <v>25</v>
      </c>
      <c r="P299" t="s">
        <v>26</v>
      </c>
    </row>
    <row r="300" spans="1:16" x14ac:dyDescent="0.4">
      <c r="A300" t="s">
        <v>1510</v>
      </c>
      <c r="B300" t="s">
        <v>779</v>
      </c>
      <c r="C300" t="s">
        <v>54</v>
      </c>
      <c r="D300" t="s">
        <v>1511</v>
      </c>
      <c r="E300" t="s">
        <v>1512</v>
      </c>
      <c r="F300">
        <v>52</v>
      </c>
      <c r="G300">
        <v>22</v>
      </c>
      <c r="H300">
        <v>37</v>
      </c>
      <c r="I300" t="s">
        <v>71</v>
      </c>
      <c r="J300" t="s">
        <v>267</v>
      </c>
      <c r="K300" s="1">
        <v>45572</v>
      </c>
      <c r="L300" t="s">
        <v>561</v>
      </c>
      <c r="M300" t="s">
        <v>1513</v>
      </c>
      <c r="N300">
        <v>56</v>
      </c>
      <c r="O300">
        <v>44</v>
      </c>
      <c r="P300" t="s">
        <v>51</v>
      </c>
    </row>
    <row r="301" spans="1:16" x14ac:dyDescent="0.4">
      <c r="A301" t="s">
        <v>1514</v>
      </c>
      <c r="B301" t="s">
        <v>82</v>
      </c>
      <c r="C301" t="s">
        <v>77</v>
      </c>
      <c r="D301" t="s">
        <v>1515</v>
      </c>
      <c r="E301" t="s">
        <v>1516</v>
      </c>
      <c r="F301">
        <v>26</v>
      </c>
      <c r="G301">
        <v>54</v>
      </c>
      <c r="H301">
        <v>90</v>
      </c>
      <c r="I301" t="s">
        <v>85</v>
      </c>
      <c r="J301" t="s">
        <v>1205</v>
      </c>
      <c r="K301" t="s">
        <v>792</v>
      </c>
      <c r="L301" t="s">
        <v>299</v>
      </c>
      <c r="M301" t="s">
        <v>1517</v>
      </c>
      <c r="N301">
        <v>25</v>
      </c>
      <c r="O301">
        <v>81</v>
      </c>
      <c r="P301" t="s">
        <v>51</v>
      </c>
    </row>
    <row r="302" spans="1:16" x14ac:dyDescent="0.4">
      <c r="A302" t="s">
        <v>1518</v>
      </c>
      <c r="B302" t="s">
        <v>263</v>
      </c>
      <c r="C302" t="s">
        <v>169</v>
      </c>
      <c r="D302" t="s">
        <v>1519</v>
      </c>
      <c r="E302" t="s">
        <v>1520</v>
      </c>
      <c r="F302">
        <v>84</v>
      </c>
      <c r="G302">
        <v>8</v>
      </c>
      <c r="H302">
        <v>54</v>
      </c>
      <c r="I302" t="s">
        <v>266</v>
      </c>
      <c r="J302" t="s">
        <v>1217</v>
      </c>
      <c r="K302" t="s">
        <v>956</v>
      </c>
      <c r="L302" s="1">
        <v>45538</v>
      </c>
      <c r="M302" t="s">
        <v>1521</v>
      </c>
      <c r="N302">
        <v>60</v>
      </c>
      <c r="O302">
        <v>38</v>
      </c>
      <c r="P302" t="s">
        <v>51</v>
      </c>
    </row>
    <row r="303" spans="1:16" x14ac:dyDescent="0.4">
      <c r="A303" t="s">
        <v>1522</v>
      </c>
      <c r="B303" t="s">
        <v>588</v>
      </c>
      <c r="C303" t="s">
        <v>54</v>
      </c>
      <c r="D303" t="s">
        <v>1523</v>
      </c>
      <c r="E303" t="s">
        <v>796</v>
      </c>
      <c r="F303">
        <v>28</v>
      </c>
      <c r="G303">
        <v>86</v>
      </c>
      <c r="H303">
        <v>44</v>
      </c>
      <c r="I303" t="s">
        <v>591</v>
      </c>
      <c r="J303" t="s">
        <v>811</v>
      </c>
      <c r="K303" t="s">
        <v>92</v>
      </c>
      <c r="L303" t="s">
        <v>525</v>
      </c>
      <c r="M303" t="s">
        <v>1524</v>
      </c>
      <c r="N303">
        <v>48</v>
      </c>
      <c r="O303">
        <v>12</v>
      </c>
      <c r="P303" t="s">
        <v>42</v>
      </c>
    </row>
    <row r="304" spans="1:16" x14ac:dyDescent="0.4">
      <c r="A304" t="s">
        <v>1525</v>
      </c>
      <c r="B304" t="s">
        <v>124</v>
      </c>
      <c r="C304" t="s">
        <v>54</v>
      </c>
      <c r="D304" t="s">
        <v>1526</v>
      </c>
      <c r="E304" t="s">
        <v>1527</v>
      </c>
      <c r="F304">
        <v>94</v>
      </c>
      <c r="G304">
        <v>77</v>
      </c>
      <c r="H304">
        <v>89</v>
      </c>
      <c r="I304" t="s">
        <v>39</v>
      </c>
      <c r="J304" t="s">
        <v>179</v>
      </c>
      <c r="K304" t="s">
        <v>73</v>
      </c>
      <c r="L304" t="s">
        <v>1146</v>
      </c>
      <c r="M304" t="s">
        <v>1528</v>
      </c>
      <c r="N304">
        <v>40</v>
      </c>
      <c r="O304">
        <v>84</v>
      </c>
      <c r="P304" t="s">
        <v>26</v>
      </c>
    </row>
    <row r="305" spans="1:16" x14ac:dyDescent="0.4">
      <c r="A305" t="s">
        <v>1529</v>
      </c>
      <c r="B305" t="s">
        <v>350</v>
      </c>
      <c r="C305" t="s">
        <v>54</v>
      </c>
      <c r="D305" t="s">
        <v>1530</v>
      </c>
      <c r="E305" t="s">
        <v>1531</v>
      </c>
      <c r="F305">
        <v>47</v>
      </c>
      <c r="G305">
        <v>75</v>
      </c>
      <c r="H305">
        <v>53</v>
      </c>
      <c r="I305" t="s">
        <v>39</v>
      </c>
      <c r="J305" s="1">
        <v>45810</v>
      </c>
      <c r="K305" s="1">
        <v>45361</v>
      </c>
      <c r="L305" s="1">
        <v>45358</v>
      </c>
      <c r="M305" t="s">
        <v>1532</v>
      </c>
      <c r="N305">
        <v>70</v>
      </c>
      <c r="O305">
        <v>20</v>
      </c>
      <c r="P305" t="s">
        <v>26</v>
      </c>
    </row>
    <row r="306" spans="1:16" x14ac:dyDescent="0.4">
      <c r="A306" t="s">
        <v>1533</v>
      </c>
      <c r="B306" t="s">
        <v>1534</v>
      </c>
      <c r="C306" t="s">
        <v>18</v>
      </c>
      <c r="D306" t="s">
        <v>1535</v>
      </c>
      <c r="E306" t="s">
        <v>1216</v>
      </c>
      <c r="F306">
        <v>20</v>
      </c>
      <c r="G306">
        <v>51</v>
      </c>
      <c r="H306">
        <v>21</v>
      </c>
      <c r="I306" t="s">
        <v>220</v>
      </c>
      <c r="J306" t="s">
        <v>409</v>
      </c>
      <c r="K306" t="s">
        <v>358</v>
      </c>
      <c r="L306" t="s">
        <v>1463</v>
      </c>
      <c r="M306" t="s">
        <v>1536</v>
      </c>
      <c r="N306">
        <v>71</v>
      </c>
      <c r="O306">
        <v>26</v>
      </c>
      <c r="P306" t="s">
        <v>42</v>
      </c>
    </row>
    <row r="307" spans="1:16" x14ac:dyDescent="0.4">
      <c r="A307" t="s">
        <v>1537</v>
      </c>
      <c r="B307" t="s">
        <v>1538</v>
      </c>
      <c r="C307" t="s">
        <v>54</v>
      </c>
      <c r="D307" t="s">
        <v>1539</v>
      </c>
      <c r="E307" t="s">
        <v>1136</v>
      </c>
      <c r="F307">
        <v>84</v>
      </c>
      <c r="G307">
        <v>20</v>
      </c>
      <c r="H307">
        <v>58</v>
      </c>
      <c r="I307" t="s">
        <v>71</v>
      </c>
      <c r="J307" s="1">
        <v>45508</v>
      </c>
      <c r="K307" s="1">
        <v>45931</v>
      </c>
      <c r="L307" s="1">
        <v>45326</v>
      </c>
      <c r="M307" t="s">
        <v>1540</v>
      </c>
      <c r="N307">
        <v>86</v>
      </c>
      <c r="O307">
        <v>64</v>
      </c>
      <c r="P307" t="s">
        <v>42</v>
      </c>
    </row>
    <row r="308" spans="1:16" x14ac:dyDescent="0.4">
      <c r="A308" t="s">
        <v>1541</v>
      </c>
      <c r="B308" t="s">
        <v>602</v>
      </c>
      <c r="C308" t="s">
        <v>77</v>
      </c>
      <c r="D308" t="s">
        <v>1542</v>
      </c>
      <c r="E308" t="s">
        <v>156</v>
      </c>
      <c r="F308">
        <v>100</v>
      </c>
      <c r="G308">
        <v>31</v>
      </c>
      <c r="H308">
        <v>43</v>
      </c>
      <c r="I308" t="s">
        <v>266</v>
      </c>
      <c r="J308" t="s">
        <v>556</v>
      </c>
      <c r="K308" s="1">
        <v>45809</v>
      </c>
      <c r="L308" t="s">
        <v>268</v>
      </c>
      <c r="M308" t="s">
        <v>1543</v>
      </c>
      <c r="N308">
        <v>88</v>
      </c>
      <c r="O308">
        <v>52</v>
      </c>
      <c r="P308" t="s">
        <v>42</v>
      </c>
    </row>
    <row r="309" spans="1:16" x14ac:dyDescent="0.4">
      <c r="A309" t="s">
        <v>1544</v>
      </c>
      <c r="B309" t="s">
        <v>1354</v>
      </c>
      <c r="C309" t="s">
        <v>77</v>
      </c>
      <c r="D309" t="s">
        <v>1545</v>
      </c>
      <c r="E309" t="s">
        <v>1230</v>
      </c>
      <c r="F309">
        <v>74</v>
      </c>
      <c r="G309">
        <v>90</v>
      </c>
      <c r="H309">
        <v>26</v>
      </c>
      <c r="I309" t="s">
        <v>91</v>
      </c>
      <c r="J309" t="s">
        <v>811</v>
      </c>
      <c r="K309" s="1">
        <v>45840</v>
      </c>
      <c r="L309" t="s">
        <v>1151</v>
      </c>
      <c r="M309" t="s">
        <v>1546</v>
      </c>
      <c r="N309">
        <v>24</v>
      </c>
      <c r="O309">
        <v>11</v>
      </c>
      <c r="P309" t="s">
        <v>26</v>
      </c>
    </row>
    <row r="310" spans="1:16" x14ac:dyDescent="0.4">
      <c r="A310" t="s">
        <v>1547</v>
      </c>
      <c r="B310" t="s">
        <v>391</v>
      </c>
      <c r="C310" t="s">
        <v>29</v>
      </c>
      <c r="D310" t="s">
        <v>1548</v>
      </c>
      <c r="E310" t="s">
        <v>1549</v>
      </c>
      <c r="F310">
        <v>27</v>
      </c>
      <c r="G310">
        <v>12</v>
      </c>
      <c r="H310">
        <v>93</v>
      </c>
      <c r="I310" t="s">
        <v>172</v>
      </c>
      <c r="J310" s="1">
        <v>45385</v>
      </c>
      <c r="K310" s="1">
        <v>45633</v>
      </c>
      <c r="L310" t="s">
        <v>909</v>
      </c>
      <c r="M310" t="s">
        <v>1550</v>
      </c>
      <c r="N310">
        <v>88</v>
      </c>
      <c r="O310">
        <v>83</v>
      </c>
      <c r="P310" t="s">
        <v>26</v>
      </c>
    </row>
    <row r="311" spans="1:16" x14ac:dyDescent="0.4">
      <c r="A311" t="s">
        <v>1551</v>
      </c>
      <c r="B311" t="s">
        <v>482</v>
      </c>
      <c r="C311" t="s">
        <v>54</v>
      </c>
      <c r="D311" t="s">
        <v>1552</v>
      </c>
      <c r="E311" t="s">
        <v>1553</v>
      </c>
      <c r="F311">
        <v>91</v>
      </c>
      <c r="G311">
        <v>55</v>
      </c>
      <c r="H311">
        <v>94</v>
      </c>
      <c r="I311" t="s">
        <v>85</v>
      </c>
      <c r="J311" s="1">
        <v>45599</v>
      </c>
      <c r="K311" s="1">
        <v>45569</v>
      </c>
      <c r="L311" t="s">
        <v>307</v>
      </c>
      <c r="M311" t="s">
        <v>1554</v>
      </c>
      <c r="N311">
        <v>42</v>
      </c>
      <c r="O311">
        <v>93</v>
      </c>
      <c r="P311" t="s">
        <v>51</v>
      </c>
    </row>
    <row r="312" spans="1:16" x14ac:dyDescent="0.4">
      <c r="A312" t="s">
        <v>1555</v>
      </c>
      <c r="B312" t="s">
        <v>1383</v>
      </c>
      <c r="C312" t="s">
        <v>54</v>
      </c>
      <c r="D312" t="s">
        <v>1556</v>
      </c>
      <c r="E312" t="s">
        <v>1557</v>
      </c>
      <c r="F312">
        <v>82</v>
      </c>
      <c r="G312">
        <v>21</v>
      </c>
      <c r="H312">
        <v>85</v>
      </c>
      <c r="I312" t="s">
        <v>1386</v>
      </c>
      <c r="J312" t="s">
        <v>1482</v>
      </c>
      <c r="K312" t="s">
        <v>409</v>
      </c>
      <c r="L312" s="1">
        <v>45511</v>
      </c>
      <c r="M312" t="s">
        <v>1558</v>
      </c>
      <c r="N312">
        <v>39</v>
      </c>
      <c r="O312">
        <v>18</v>
      </c>
      <c r="P312" t="s">
        <v>42</v>
      </c>
    </row>
    <row r="313" spans="1:16" x14ac:dyDescent="0.4">
      <c r="A313" t="s">
        <v>1559</v>
      </c>
      <c r="B313" t="s">
        <v>138</v>
      </c>
      <c r="C313" t="s">
        <v>18</v>
      </c>
      <c r="D313" t="s">
        <v>1560</v>
      </c>
      <c r="E313" t="s">
        <v>478</v>
      </c>
      <c r="F313">
        <v>84</v>
      </c>
      <c r="G313">
        <v>91</v>
      </c>
      <c r="H313">
        <v>86</v>
      </c>
      <c r="I313" t="s">
        <v>47</v>
      </c>
      <c r="J313" s="1">
        <v>45870</v>
      </c>
      <c r="K313" s="1">
        <v>45485</v>
      </c>
      <c r="L313" t="s">
        <v>346</v>
      </c>
      <c r="M313" t="s">
        <v>1561</v>
      </c>
      <c r="N313">
        <v>83</v>
      </c>
      <c r="O313">
        <v>95</v>
      </c>
      <c r="P313" t="s">
        <v>42</v>
      </c>
    </row>
    <row r="314" spans="1:16" x14ac:dyDescent="0.4">
      <c r="A314" t="s">
        <v>1562</v>
      </c>
      <c r="B314" t="s">
        <v>1428</v>
      </c>
      <c r="C314" t="s">
        <v>169</v>
      </c>
      <c r="D314" t="s">
        <v>1563</v>
      </c>
      <c r="E314" t="s">
        <v>1564</v>
      </c>
      <c r="F314">
        <v>18</v>
      </c>
      <c r="G314">
        <v>46</v>
      </c>
      <c r="H314">
        <v>26</v>
      </c>
      <c r="I314" t="s">
        <v>32</v>
      </c>
      <c r="J314" s="1">
        <v>45569</v>
      </c>
      <c r="K314" s="1">
        <v>45575</v>
      </c>
      <c r="L314" t="s">
        <v>556</v>
      </c>
      <c r="M314" t="s">
        <v>1565</v>
      </c>
      <c r="N314">
        <v>57</v>
      </c>
      <c r="O314">
        <v>95</v>
      </c>
      <c r="P314" t="s">
        <v>42</v>
      </c>
    </row>
    <row r="315" spans="1:16" x14ac:dyDescent="0.4">
      <c r="A315" t="s">
        <v>1566</v>
      </c>
      <c r="B315" t="s">
        <v>363</v>
      </c>
      <c r="C315" t="s">
        <v>112</v>
      </c>
      <c r="D315" t="s">
        <v>1567</v>
      </c>
      <c r="E315" t="s">
        <v>1516</v>
      </c>
      <c r="F315">
        <v>12</v>
      </c>
      <c r="G315">
        <v>59</v>
      </c>
      <c r="H315">
        <v>62</v>
      </c>
      <c r="I315" t="s">
        <v>21</v>
      </c>
      <c r="J315" s="1">
        <v>45357</v>
      </c>
      <c r="K315" t="s">
        <v>467</v>
      </c>
      <c r="L315" s="1">
        <v>45420</v>
      </c>
      <c r="M315" t="s">
        <v>1568</v>
      </c>
      <c r="N315">
        <v>75</v>
      </c>
      <c r="O315">
        <v>92</v>
      </c>
      <c r="P315" t="s">
        <v>42</v>
      </c>
    </row>
    <row r="316" spans="1:16" x14ac:dyDescent="0.4">
      <c r="A316" t="s">
        <v>1569</v>
      </c>
      <c r="B316" t="s">
        <v>36</v>
      </c>
      <c r="C316" t="s">
        <v>18</v>
      </c>
      <c r="D316" t="s">
        <v>1570</v>
      </c>
      <c r="E316" t="s">
        <v>120</v>
      </c>
      <c r="F316">
        <v>85</v>
      </c>
      <c r="G316">
        <v>4</v>
      </c>
      <c r="H316">
        <v>75</v>
      </c>
      <c r="I316" t="s">
        <v>945</v>
      </c>
      <c r="J316" t="s">
        <v>228</v>
      </c>
      <c r="K316" s="1">
        <v>45355</v>
      </c>
      <c r="L316" s="1">
        <v>45362</v>
      </c>
      <c r="M316" t="s">
        <v>1571</v>
      </c>
      <c r="N316">
        <v>95</v>
      </c>
      <c r="O316">
        <v>70</v>
      </c>
      <c r="P316" t="s">
        <v>42</v>
      </c>
    </row>
    <row r="317" spans="1:16" x14ac:dyDescent="0.4">
      <c r="A317" t="s">
        <v>1572</v>
      </c>
      <c r="B317" t="s">
        <v>533</v>
      </c>
      <c r="C317" t="s">
        <v>112</v>
      </c>
      <c r="D317" t="s">
        <v>1573</v>
      </c>
      <c r="E317" t="s">
        <v>1574</v>
      </c>
      <c r="F317">
        <v>33</v>
      </c>
      <c r="G317">
        <v>60</v>
      </c>
      <c r="H317">
        <v>67</v>
      </c>
      <c r="I317" t="s">
        <v>39</v>
      </c>
      <c r="J317" t="s">
        <v>688</v>
      </c>
      <c r="K317" t="s">
        <v>100</v>
      </c>
      <c r="L317" t="s">
        <v>158</v>
      </c>
      <c r="M317" t="s">
        <v>1575</v>
      </c>
      <c r="N317">
        <v>20</v>
      </c>
      <c r="O317">
        <v>7</v>
      </c>
      <c r="P317" t="s">
        <v>26</v>
      </c>
    </row>
    <row r="318" spans="1:16" x14ac:dyDescent="0.4">
      <c r="A318" t="s">
        <v>1576</v>
      </c>
      <c r="B318" t="s">
        <v>677</v>
      </c>
      <c r="C318" t="s">
        <v>169</v>
      </c>
      <c r="D318" t="s">
        <v>1577</v>
      </c>
      <c r="E318" t="s">
        <v>832</v>
      </c>
      <c r="F318">
        <v>59</v>
      </c>
      <c r="G318">
        <v>59</v>
      </c>
      <c r="H318">
        <v>10</v>
      </c>
      <c r="I318" t="s">
        <v>134</v>
      </c>
      <c r="J318" t="s">
        <v>228</v>
      </c>
      <c r="K318" s="1">
        <v>45576</v>
      </c>
      <c r="L318" t="s">
        <v>1014</v>
      </c>
      <c r="M318" t="s">
        <v>1578</v>
      </c>
      <c r="N318">
        <v>57</v>
      </c>
      <c r="O318">
        <v>50</v>
      </c>
      <c r="P318" t="s">
        <v>51</v>
      </c>
    </row>
    <row r="319" spans="1:16" x14ac:dyDescent="0.4">
      <c r="A319" t="s">
        <v>1579</v>
      </c>
      <c r="B319" t="s">
        <v>1383</v>
      </c>
      <c r="C319" t="s">
        <v>54</v>
      </c>
      <c r="D319" t="s">
        <v>1580</v>
      </c>
      <c r="E319" t="s">
        <v>1581</v>
      </c>
      <c r="F319">
        <v>22</v>
      </c>
      <c r="G319">
        <v>69</v>
      </c>
      <c r="H319">
        <v>87</v>
      </c>
      <c r="I319" t="s">
        <v>1386</v>
      </c>
      <c r="J319" s="1">
        <v>45902</v>
      </c>
      <c r="K319" t="s">
        <v>1005</v>
      </c>
      <c r="L319" t="s">
        <v>599</v>
      </c>
      <c r="M319" t="s">
        <v>1582</v>
      </c>
      <c r="N319">
        <v>34</v>
      </c>
      <c r="O319">
        <v>26</v>
      </c>
      <c r="P319" t="s">
        <v>42</v>
      </c>
    </row>
    <row r="320" spans="1:16" x14ac:dyDescent="0.4">
      <c r="A320" t="s">
        <v>1583</v>
      </c>
      <c r="B320" t="s">
        <v>799</v>
      </c>
      <c r="C320" t="s">
        <v>77</v>
      </c>
      <c r="D320" t="s">
        <v>1584</v>
      </c>
      <c r="E320" t="s">
        <v>1585</v>
      </c>
      <c r="F320">
        <v>67</v>
      </c>
      <c r="G320">
        <v>79</v>
      </c>
      <c r="H320">
        <v>98</v>
      </c>
      <c r="I320" t="s">
        <v>134</v>
      </c>
      <c r="J320" t="s">
        <v>827</v>
      </c>
      <c r="K320" s="1">
        <v>45604</v>
      </c>
      <c r="L320" s="1">
        <v>45447</v>
      </c>
      <c r="M320" t="s">
        <v>1586</v>
      </c>
      <c r="N320">
        <v>73</v>
      </c>
      <c r="O320">
        <v>36</v>
      </c>
      <c r="P320" t="s">
        <v>51</v>
      </c>
    </row>
    <row r="321" spans="1:16" x14ac:dyDescent="0.4">
      <c r="A321" t="s">
        <v>1587</v>
      </c>
      <c r="B321" t="s">
        <v>602</v>
      </c>
      <c r="C321" t="s">
        <v>77</v>
      </c>
      <c r="D321" t="s">
        <v>1588</v>
      </c>
      <c r="E321" t="s">
        <v>1589</v>
      </c>
      <c r="F321">
        <v>78</v>
      </c>
      <c r="G321">
        <v>24</v>
      </c>
      <c r="H321">
        <v>31</v>
      </c>
      <c r="I321" t="s">
        <v>266</v>
      </c>
      <c r="J321" s="1">
        <v>45297</v>
      </c>
      <c r="K321" s="1">
        <v>45357</v>
      </c>
      <c r="L321" s="1">
        <v>45476</v>
      </c>
      <c r="M321" t="s">
        <v>1590</v>
      </c>
      <c r="N321">
        <v>60</v>
      </c>
      <c r="O321">
        <v>41</v>
      </c>
      <c r="P321" t="s">
        <v>51</v>
      </c>
    </row>
    <row r="322" spans="1:16" x14ac:dyDescent="0.4">
      <c r="A322" t="s">
        <v>1591</v>
      </c>
      <c r="B322" t="s">
        <v>311</v>
      </c>
      <c r="C322" t="s">
        <v>54</v>
      </c>
      <c r="D322" t="s">
        <v>1592</v>
      </c>
      <c r="E322" t="s">
        <v>1437</v>
      </c>
      <c r="F322">
        <v>72</v>
      </c>
      <c r="G322">
        <v>32</v>
      </c>
      <c r="H322">
        <v>80</v>
      </c>
      <c r="I322" t="s">
        <v>1593</v>
      </c>
      <c r="J322" s="1">
        <v>45450</v>
      </c>
      <c r="K322" t="s">
        <v>341</v>
      </c>
      <c r="L322" s="1">
        <v>45569</v>
      </c>
      <c r="M322" t="s">
        <v>1594</v>
      </c>
      <c r="N322">
        <v>25</v>
      </c>
      <c r="O322">
        <v>9</v>
      </c>
      <c r="P322" t="s">
        <v>42</v>
      </c>
    </row>
    <row r="323" spans="1:16" x14ac:dyDescent="0.4">
      <c r="A323" t="s">
        <v>1595</v>
      </c>
      <c r="B323" t="s">
        <v>492</v>
      </c>
      <c r="C323" t="s">
        <v>77</v>
      </c>
      <c r="D323" t="s">
        <v>1596</v>
      </c>
      <c r="E323" t="s">
        <v>871</v>
      </c>
      <c r="F323">
        <v>63</v>
      </c>
      <c r="G323">
        <v>48</v>
      </c>
      <c r="H323">
        <v>22</v>
      </c>
      <c r="I323" t="s">
        <v>57</v>
      </c>
      <c r="J323" t="s">
        <v>200</v>
      </c>
      <c r="K323" t="s">
        <v>1597</v>
      </c>
      <c r="L323" t="s">
        <v>116</v>
      </c>
      <c r="M323" t="s">
        <v>1598</v>
      </c>
      <c r="N323">
        <v>21</v>
      </c>
      <c r="O323">
        <v>90</v>
      </c>
      <c r="P323" t="s">
        <v>26</v>
      </c>
    </row>
    <row r="324" spans="1:16" x14ac:dyDescent="0.4">
      <c r="A324" t="s">
        <v>1599</v>
      </c>
      <c r="B324" t="s">
        <v>386</v>
      </c>
      <c r="C324" t="s">
        <v>112</v>
      </c>
      <c r="D324" t="s">
        <v>1600</v>
      </c>
      <c r="E324" t="s">
        <v>70</v>
      </c>
      <c r="F324">
        <v>30</v>
      </c>
      <c r="G324">
        <v>91</v>
      </c>
      <c r="H324">
        <v>34</v>
      </c>
      <c r="I324" t="s">
        <v>71</v>
      </c>
      <c r="J324" s="1">
        <v>45603</v>
      </c>
      <c r="K324" t="s">
        <v>92</v>
      </c>
      <c r="L324" s="1">
        <v>45448</v>
      </c>
      <c r="M324" t="s">
        <v>1601</v>
      </c>
      <c r="N324">
        <v>97</v>
      </c>
      <c r="O324">
        <v>88</v>
      </c>
      <c r="P324" t="s">
        <v>51</v>
      </c>
    </row>
    <row r="325" spans="1:16" x14ac:dyDescent="0.4">
      <c r="A325" t="s">
        <v>1602</v>
      </c>
      <c r="B325" t="s">
        <v>28</v>
      </c>
      <c r="C325" t="s">
        <v>29</v>
      </c>
      <c r="D325" t="s">
        <v>1603</v>
      </c>
      <c r="E325" t="s">
        <v>1023</v>
      </c>
      <c r="F325">
        <v>36</v>
      </c>
      <c r="G325">
        <v>64</v>
      </c>
      <c r="H325">
        <v>63</v>
      </c>
      <c r="I325" t="s">
        <v>32</v>
      </c>
      <c r="J325" t="s">
        <v>1014</v>
      </c>
      <c r="K325" t="s">
        <v>1597</v>
      </c>
      <c r="L325" t="s">
        <v>666</v>
      </c>
      <c r="M325" t="s">
        <v>1604</v>
      </c>
      <c r="N325">
        <v>91</v>
      </c>
      <c r="O325">
        <v>35</v>
      </c>
      <c r="P325" t="s">
        <v>42</v>
      </c>
    </row>
    <row r="326" spans="1:16" x14ac:dyDescent="0.4">
      <c r="A326" t="s">
        <v>1605</v>
      </c>
      <c r="B326" t="s">
        <v>1383</v>
      </c>
      <c r="C326" t="s">
        <v>54</v>
      </c>
      <c r="D326" t="s">
        <v>1606</v>
      </c>
      <c r="E326" t="s">
        <v>1607</v>
      </c>
      <c r="F326">
        <v>88</v>
      </c>
      <c r="G326">
        <v>27</v>
      </c>
      <c r="H326">
        <v>92</v>
      </c>
      <c r="I326" t="s">
        <v>1386</v>
      </c>
      <c r="J326" t="s">
        <v>630</v>
      </c>
      <c r="K326" t="s">
        <v>328</v>
      </c>
      <c r="L326" t="s">
        <v>165</v>
      </c>
      <c r="M326" t="s">
        <v>1608</v>
      </c>
      <c r="N326">
        <v>57</v>
      </c>
      <c r="O326">
        <v>37</v>
      </c>
      <c r="P326" t="s">
        <v>26</v>
      </c>
    </row>
    <row r="327" spans="1:16" x14ac:dyDescent="0.4">
      <c r="A327" t="s">
        <v>1609</v>
      </c>
      <c r="B327" t="s">
        <v>709</v>
      </c>
      <c r="C327" t="s">
        <v>54</v>
      </c>
      <c r="D327" t="s">
        <v>1610</v>
      </c>
      <c r="E327" t="s">
        <v>133</v>
      </c>
      <c r="F327">
        <v>95</v>
      </c>
      <c r="G327">
        <v>25</v>
      </c>
      <c r="H327">
        <v>91</v>
      </c>
      <c r="I327" t="s">
        <v>1611</v>
      </c>
      <c r="J327" s="1">
        <v>45391</v>
      </c>
      <c r="K327" t="s">
        <v>1234</v>
      </c>
      <c r="L327" t="s">
        <v>359</v>
      </c>
      <c r="M327" t="s">
        <v>1612</v>
      </c>
      <c r="N327">
        <v>87</v>
      </c>
      <c r="O327">
        <v>5</v>
      </c>
      <c r="P327" t="s">
        <v>26</v>
      </c>
    </row>
    <row r="328" spans="1:16" x14ac:dyDescent="0.4">
      <c r="A328" t="s">
        <v>1613</v>
      </c>
      <c r="B328" t="s">
        <v>476</v>
      </c>
      <c r="C328" t="s">
        <v>54</v>
      </c>
      <c r="D328" t="s">
        <v>1614</v>
      </c>
      <c r="E328" t="s">
        <v>1615</v>
      </c>
      <c r="F328">
        <v>30</v>
      </c>
      <c r="G328">
        <v>59</v>
      </c>
      <c r="H328">
        <v>76</v>
      </c>
      <c r="I328" t="s">
        <v>57</v>
      </c>
      <c r="J328" t="s">
        <v>300</v>
      </c>
      <c r="K328" t="s">
        <v>1217</v>
      </c>
      <c r="L328" s="1">
        <v>45600</v>
      </c>
      <c r="M328" t="s">
        <v>1616</v>
      </c>
      <c r="N328">
        <v>61</v>
      </c>
      <c r="O328">
        <v>3</v>
      </c>
      <c r="P328" t="s">
        <v>26</v>
      </c>
    </row>
    <row r="329" spans="1:16" x14ac:dyDescent="0.4">
      <c r="A329" t="s">
        <v>1617</v>
      </c>
      <c r="B329" t="s">
        <v>176</v>
      </c>
      <c r="C329" t="s">
        <v>54</v>
      </c>
      <c r="D329" t="s">
        <v>1618</v>
      </c>
      <c r="E329" t="s">
        <v>1192</v>
      </c>
      <c r="F329">
        <v>31</v>
      </c>
      <c r="G329">
        <v>55</v>
      </c>
      <c r="H329">
        <v>5</v>
      </c>
      <c r="I329" t="s">
        <v>106</v>
      </c>
      <c r="J329" s="1">
        <v>45574</v>
      </c>
      <c r="K329" t="s">
        <v>1597</v>
      </c>
      <c r="L329" t="s">
        <v>654</v>
      </c>
      <c r="M329" t="s">
        <v>1619</v>
      </c>
      <c r="N329">
        <v>71</v>
      </c>
      <c r="O329">
        <v>46</v>
      </c>
      <c r="P329" t="s">
        <v>51</v>
      </c>
    </row>
    <row r="330" spans="1:16" x14ac:dyDescent="0.4">
      <c r="A330" t="s">
        <v>1620</v>
      </c>
      <c r="B330" t="s">
        <v>704</v>
      </c>
      <c r="C330" t="s">
        <v>169</v>
      </c>
      <c r="D330" t="s">
        <v>1621</v>
      </c>
      <c r="E330" t="s">
        <v>1335</v>
      </c>
      <c r="F330">
        <v>16</v>
      </c>
      <c r="G330">
        <v>20</v>
      </c>
      <c r="H330">
        <v>45</v>
      </c>
      <c r="I330" t="s">
        <v>147</v>
      </c>
      <c r="J330" t="s">
        <v>328</v>
      </c>
      <c r="K330" t="s">
        <v>359</v>
      </c>
      <c r="L330" s="1">
        <v>45479</v>
      </c>
      <c r="M330" t="s">
        <v>1622</v>
      </c>
      <c r="N330">
        <v>81</v>
      </c>
      <c r="O330">
        <v>62</v>
      </c>
      <c r="P330" t="s">
        <v>51</v>
      </c>
    </row>
    <row r="331" spans="1:16" x14ac:dyDescent="0.4">
      <c r="A331" t="s">
        <v>1623</v>
      </c>
      <c r="B331" t="s">
        <v>103</v>
      </c>
      <c r="C331" t="s">
        <v>18</v>
      </c>
      <c r="D331" t="s">
        <v>1624</v>
      </c>
      <c r="E331" t="s">
        <v>1625</v>
      </c>
      <c r="F331">
        <v>14</v>
      </c>
      <c r="G331">
        <v>16</v>
      </c>
      <c r="H331">
        <v>93</v>
      </c>
      <c r="I331" t="s">
        <v>106</v>
      </c>
      <c r="J331" t="s">
        <v>274</v>
      </c>
      <c r="K331" s="1">
        <v>45354</v>
      </c>
      <c r="L331" t="s">
        <v>1146</v>
      </c>
      <c r="M331" t="s">
        <v>1626</v>
      </c>
      <c r="N331">
        <v>39</v>
      </c>
      <c r="O331">
        <v>30</v>
      </c>
      <c r="P331" t="s">
        <v>51</v>
      </c>
    </row>
    <row r="332" spans="1:16" x14ac:dyDescent="0.4">
      <c r="A332" t="s">
        <v>1627</v>
      </c>
      <c r="B332" t="s">
        <v>1538</v>
      </c>
      <c r="C332" t="s">
        <v>54</v>
      </c>
      <c r="D332" t="s">
        <v>1628</v>
      </c>
      <c r="E332" t="s">
        <v>604</v>
      </c>
      <c r="F332">
        <v>44</v>
      </c>
      <c r="G332">
        <v>67</v>
      </c>
      <c r="H332">
        <v>15</v>
      </c>
      <c r="I332" t="s">
        <v>71</v>
      </c>
      <c r="J332" t="s">
        <v>1629</v>
      </c>
      <c r="K332" s="1">
        <v>45568</v>
      </c>
      <c r="L332" t="s">
        <v>1630</v>
      </c>
      <c r="M332" t="s">
        <v>1631</v>
      </c>
      <c r="N332">
        <v>82</v>
      </c>
      <c r="O332">
        <v>51</v>
      </c>
      <c r="P332" t="s">
        <v>51</v>
      </c>
    </row>
    <row r="333" spans="1:16" x14ac:dyDescent="0.4">
      <c r="A333" t="s">
        <v>1632</v>
      </c>
      <c r="B333" t="s">
        <v>44</v>
      </c>
      <c r="C333" t="s">
        <v>18</v>
      </c>
      <c r="D333" t="s">
        <v>1633</v>
      </c>
      <c r="E333" t="s">
        <v>1251</v>
      </c>
      <c r="F333">
        <v>69</v>
      </c>
      <c r="G333">
        <v>82</v>
      </c>
      <c r="H333">
        <v>58</v>
      </c>
      <c r="I333" t="s">
        <v>47</v>
      </c>
      <c r="J333" s="1">
        <v>45480</v>
      </c>
      <c r="K333" t="s">
        <v>644</v>
      </c>
      <c r="L333" t="s">
        <v>328</v>
      </c>
      <c r="M333" t="s">
        <v>1634</v>
      </c>
      <c r="N333">
        <v>34</v>
      </c>
      <c r="O333">
        <v>22</v>
      </c>
      <c r="P333" t="s">
        <v>26</v>
      </c>
    </row>
    <row r="334" spans="1:16" x14ac:dyDescent="0.4">
      <c r="A334" t="s">
        <v>1635</v>
      </c>
      <c r="B334" t="s">
        <v>44</v>
      </c>
      <c r="C334" t="s">
        <v>18</v>
      </c>
      <c r="D334" t="s">
        <v>1636</v>
      </c>
      <c r="E334" t="s">
        <v>1347</v>
      </c>
      <c r="F334">
        <v>71</v>
      </c>
      <c r="G334">
        <v>10</v>
      </c>
      <c r="H334">
        <v>49</v>
      </c>
      <c r="I334" t="s">
        <v>47</v>
      </c>
      <c r="J334" s="1">
        <v>45604</v>
      </c>
      <c r="K334" t="s">
        <v>495</v>
      </c>
      <c r="L334" t="s">
        <v>64</v>
      </c>
      <c r="M334" t="s">
        <v>1637</v>
      </c>
      <c r="N334">
        <v>66</v>
      </c>
      <c r="O334">
        <v>43</v>
      </c>
      <c r="P334" t="s">
        <v>51</v>
      </c>
    </row>
    <row r="335" spans="1:16" x14ac:dyDescent="0.4">
      <c r="A335" t="s">
        <v>1638</v>
      </c>
      <c r="B335" t="s">
        <v>425</v>
      </c>
      <c r="C335" t="s">
        <v>54</v>
      </c>
      <c r="D335" t="s">
        <v>1639</v>
      </c>
      <c r="E335" t="s">
        <v>653</v>
      </c>
      <c r="F335">
        <v>92</v>
      </c>
      <c r="G335">
        <v>39</v>
      </c>
      <c r="H335">
        <v>50</v>
      </c>
      <c r="I335" t="s">
        <v>98</v>
      </c>
      <c r="J335" t="s">
        <v>1508</v>
      </c>
      <c r="K335" s="1">
        <v>45485</v>
      </c>
      <c r="L335" s="1">
        <v>45546</v>
      </c>
      <c r="M335" t="s">
        <v>1640</v>
      </c>
      <c r="N335">
        <v>30</v>
      </c>
      <c r="O335">
        <v>41</v>
      </c>
      <c r="P335" t="s">
        <v>42</v>
      </c>
    </row>
    <row r="336" spans="1:16" x14ac:dyDescent="0.4">
      <c r="A336" t="s">
        <v>1641</v>
      </c>
      <c r="B336" t="s">
        <v>582</v>
      </c>
      <c r="C336" t="s">
        <v>68</v>
      </c>
      <c r="D336" t="s">
        <v>1642</v>
      </c>
      <c r="E336" t="s">
        <v>126</v>
      </c>
      <c r="F336">
        <v>49</v>
      </c>
      <c r="G336">
        <v>17</v>
      </c>
      <c r="H336">
        <v>54</v>
      </c>
      <c r="I336" t="s">
        <v>57</v>
      </c>
      <c r="J336" t="s">
        <v>435</v>
      </c>
      <c r="K336" t="s">
        <v>1165</v>
      </c>
      <c r="L336" t="s">
        <v>630</v>
      </c>
      <c r="M336" t="s">
        <v>1643</v>
      </c>
      <c r="N336">
        <v>45</v>
      </c>
      <c r="O336">
        <v>96</v>
      </c>
      <c r="P336" t="s">
        <v>26</v>
      </c>
    </row>
    <row r="337" spans="1:16" x14ac:dyDescent="0.4">
      <c r="A337" t="s">
        <v>1644</v>
      </c>
      <c r="B337" t="s">
        <v>722</v>
      </c>
      <c r="C337" t="s">
        <v>54</v>
      </c>
      <c r="D337" t="s">
        <v>1645</v>
      </c>
      <c r="E337" t="s">
        <v>1124</v>
      </c>
      <c r="F337">
        <v>52</v>
      </c>
      <c r="G337">
        <v>8</v>
      </c>
      <c r="H337">
        <v>37</v>
      </c>
      <c r="I337" t="s">
        <v>39</v>
      </c>
      <c r="J337" t="s">
        <v>826</v>
      </c>
      <c r="K337" t="s">
        <v>700</v>
      </c>
      <c r="L337" t="s">
        <v>22</v>
      </c>
      <c r="M337" t="s">
        <v>1646</v>
      </c>
      <c r="N337">
        <v>38</v>
      </c>
      <c r="O337">
        <v>81</v>
      </c>
      <c r="P337" t="s">
        <v>51</v>
      </c>
    </row>
    <row r="338" spans="1:16" x14ac:dyDescent="0.4">
      <c r="A338" t="s">
        <v>1647</v>
      </c>
      <c r="B338" t="s">
        <v>932</v>
      </c>
      <c r="C338" t="s">
        <v>77</v>
      </c>
      <c r="D338" t="s">
        <v>1648</v>
      </c>
      <c r="E338" t="s">
        <v>1649</v>
      </c>
      <c r="F338">
        <v>56</v>
      </c>
      <c r="G338">
        <v>97</v>
      </c>
      <c r="H338">
        <v>29</v>
      </c>
      <c r="I338" t="s">
        <v>71</v>
      </c>
      <c r="J338" t="s">
        <v>592</v>
      </c>
      <c r="K338" t="s">
        <v>1151</v>
      </c>
      <c r="L338" t="s">
        <v>1188</v>
      </c>
      <c r="M338" t="s">
        <v>1650</v>
      </c>
      <c r="N338">
        <v>82</v>
      </c>
      <c r="O338">
        <v>100</v>
      </c>
      <c r="P338" t="s">
        <v>42</v>
      </c>
    </row>
    <row r="339" spans="1:16" x14ac:dyDescent="0.4">
      <c r="A339" t="s">
        <v>1651</v>
      </c>
      <c r="B339" t="s">
        <v>124</v>
      </c>
      <c r="C339" t="s">
        <v>54</v>
      </c>
      <c r="D339" t="s">
        <v>1652</v>
      </c>
      <c r="E339" t="s">
        <v>881</v>
      </c>
      <c r="F339">
        <v>16</v>
      </c>
      <c r="G339">
        <v>23</v>
      </c>
      <c r="H339">
        <v>76</v>
      </c>
      <c r="I339" t="s">
        <v>717</v>
      </c>
      <c r="J339" t="s">
        <v>397</v>
      </c>
      <c r="K339" s="1">
        <v>45902</v>
      </c>
      <c r="L339" s="1">
        <v>45871</v>
      </c>
      <c r="M339" t="s">
        <v>1653</v>
      </c>
      <c r="N339">
        <v>50</v>
      </c>
      <c r="O339">
        <v>27</v>
      </c>
      <c r="P339" t="s">
        <v>42</v>
      </c>
    </row>
    <row r="340" spans="1:16" x14ac:dyDescent="0.4">
      <c r="A340" t="s">
        <v>1654</v>
      </c>
      <c r="B340" t="s">
        <v>290</v>
      </c>
      <c r="C340" t="s">
        <v>54</v>
      </c>
      <c r="D340" t="s">
        <v>1655</v>
      </c>
      <c r="E340" t="s">
        <v>914</v>
      </c>
      <c r="F340">
        <v>52</v>
      </c>
      <c r="G340">
        <v>79</v>
      </c>
      <c r="H340">
        <v>87</v>
      </c>
      <c r="I340" t="s">
        <v>71</v>
      </c>
      <c r="J340" s="1">
        <v>45602</v>
      </c>
      <c r="K340" s="1">
        <v>45386</v>
      </c>
      <c r="L340" s="1">
        <v>45568</v>
      </c>
      <c r="M340" t="s">
        <v>1656</v>
      </c>
      <c r="N340">
        <v>36</v>
      </c>
      <c r="O340">
        <v>100</v>
      </c>
      <c r="P340" t="s">
        <v>26</v>
      </c>
    </row>
    <row r="341" spans="1:16" x14ac:dyDescent="0.4">
      <c r="A341" t="s">
        <v>1657</v>
      </c>
      <c r="B341" t="s">
        <v>168</v>
      </c>
      <c r="C341" t="s">
        <v>169</v>
      </c>
      <c r="D341" t="s">
        <v>1658</v>
      </c>
      <c r="E341" t="s">
        <v>345</v>
      </c>
      <c r="F341">
        <v>91</v>
      </c>
      <c r="G341">
        <v>68</v>
      </c>
      <c r="H341">
        <v>80</v>
      </c>
      <c r="I341" t="s">
        <v>1433</v>
      </c>
      <c r="J341" s="1">
        <v>45634</v>
      </c>
      <c r="K341" t="s">
        <v>108</v>
      </c>
      <c r="L341" t="s">
        <v>229</v>
      </c>
      <c r="M341" t="s">
        <v>1659</v>
      </c>
      <c r="N341">
        <v>81</v>
      </c>
      <c r="O341">
        <v>85</v>
      </c>
      <c r="P341" t="s">
        <v>42</v>
      </c>
    </row>
    <row r="342" spans="1:16" x14ac:dyDescent="0.4">
      <c r="A342" t="s">
        <v>1660</v>
      </c>
      <c r="B342" t="s">
        <v>304</v>
      </c>
      <c r="C342" t="s">
        <v>54</v>
      </c>
      <c r="D342" t="s">
        <v>1661</v>
      </c>
      <c r="E342" t="s">
        <v>1662</v>
      </c>
      <c r="F342">
        <v>58</v>
      </c>
      <c r="G342">
        <v>58</v>
      </c>
      <c r="H342">
        <v>28</v>
      </c>
      <c r="I342" t="s">
        <v>1663</v>
      </c>
      <c r="J342" t="s">
        <v>72</v>
      </c>
      <c r="K342" s="1">
        <v>45420</v>
      </c>
      <c r="L342" t="s">
        <v>1664</v>
      </c>
      <c r="M342" t="s">
        <v>1665</v>
      </c>
      <c r="N342">
        <v>85</v>
      </c>
      <c r="O342">
        <v>63</v>
      </c>
      <c r="P342" t="s">
        <v>51</v>
      </c>
    </row>
    <row r="343" spans="1:16" x14ac:dyDescent="0.4">
      <c r="A343" t="s">
        <v>1666</v>
      </c>
      <c r="B343" t="s">
        <v>1428</v>
      </c>
      <c r="C343" t="s">
        <v>169</v>
      </c>
      <c r="D343" t="s">
        <v>1667</v>
      </c>
      <c r="E343" t="s">
        <v>1668</v>
      </c>
      <c r="F343">
        <v>47</v>
      </c>
      <c r="G343">
        <v>29</v>
      </c>
      <c r="H343">
        <v>70</v>
      </c>
      <c r="I343" t="s">
        <v>32</v>
      </c>
      <c r="J343" s="1">
        <v>45543</v>
      </c>
      <c r="K343" s="1">
        <v>45485</v>
      </c>
      <c r="L343" t="s">
        <v>915</v>
      </c>
      <c r="M343" t="s">
        <v>1669</v>
      </c>
      <c r="N343">
        <v>61</v>
      </c>
      <c r="O343">
        <v>44</v>
      </c>
      <c r="P343" t="s">
        <v>51</v>
      </c>
    </row>
    <row r="344" spans="1:16" x14ac:dyDescent="0.4">
      <c r="A344" t="s">
        <v>1670</v>
      </c>
      <c r="B344" t="s">
        <v>111</v>
      </c>
      <c r="C344" t="s">
        <v>112</v>
      </c>
      <c r="D344" t="s">
        <v>1671</v>
      </c>
      <c r="E344" t="s">
        <v>1672</v>
      </c>
      <c r="F344">
        <v>50</v>
      </c>
      <c r="G344">
        <v>56</v>
      </c>
      <c r="H344">
        <v>63</v>
      </c>
      <c r="I344" t="s">
        <v>85</v>
      </c>
      <c r="J344" t="s">
        <v>909</v>
      </c>
      <c r="K344" t="s">
        <v>347</v>
      </c>
      <c r="L344" t="s">
        <v>712</v>
      </c>
      <c r="M344" t="s">
        <v>1673</v>
      </c>
      <c r="N344">
        <v>70</v>
      </c>
      <c r="O344">
        <v>100</v>
      </c>
      <c r="P344" t="s">
        <v>26</v>
      </c>
    </row>
    <row r="345" spans="1:16" x14ac:dyDescent="0.4">
      <c r="A345" t="s">
        <v>1674</v>
      </c>
      <c r="B345" t="s">
        <v>839</v>
      </c>
      <c r="C345" t="s">
        <v>77</v>
      </c>
      <c r="D345" t="s">
        <v>1675</v>
      </c>
      <c r="E345" t="s">
        <v>126</v>
      </c>
      <c r="F345">
        <v>43</v>
      </c>
      <c r="G345">
        <v>73</v>
      </c>
      <c r="H345">
        <v>14</v>
      </c>
      <c r="I345" t="s">
        <v>57</v>
      </c>
      <c r="J345" t="s">
        <v>358</v>
      </c>
      <c r="K345" s="1">
        <v>45482</v>
      </c>
      <c r="L345" t="s">
        <v>893</v>
      </c>
      <c r="M345" t="s">
        <v>1676</v>
      </c>
      <c r="N345">
        <v>59</v>
      </c>
      <c r="O345">
        <v>65</v>
      </c>
      <c r="P345" t="s">
        <v>51</v>
      </c>
    </row>
    <row r="346" spans="1:16" x14ac:dyDescent="0.4">
      <c r="A346" t="s">
        <v>1677</v>
      </c>
      <c r="B346" t="s">
        <v>923</v>
      </c>
      <c r="C346" t="s">
        <v>77</v>
      </c>
      <c r="D346" t="s">
        <v>1678</v>
      </c>
      <c r="E346" t="s">
        <v>1581</v>
      </c>
      <c r="F346">
        <v>68</v>
      </c>
      <c r="G346">
        <v>60</v>
      </c>
      <c r="H346">
        <v>21</v>
      </c>
      <c r="I346" t="s">
        <v>1679</v>
      </c>
      <c r="J346" t="s">
        <v>135</v>
      </c>
      <c r="K346" s="1">
        <v>45332</v>
      </c>
      <c r="L346" t="s">
        <v>644</v>
      </c>
      <c r="M346" t="s">
        <v>1680</v>
      </c>
      <c r="N346">
        <v>79</v>
      </c>
      <c r="O346">
        <v>46</v>
      </c>
      <c r="P346" t="s">
        <v>51</v>
      </c>
    </row>
    <row r="347" spans="1:16" x14ac:dyDescent="0.4">
      <c r="A347" t="s">
        <v>1681</v>
      </c>
      <c r="B347" t="s">
        <v>932</v>
      </c>
      <c r="C347" t="s">
        <v>77</v>
      </c>
      <c r="D347" t="s">
        <v>1682</v>
      </c>
      <c r="E347" t="s">
        <v>1196</v>
      </c>
      <c r="F347">
        <v>19</v>
      </c>
      <c r="G347">
        <v>100</v>
      </c>
      <c r="H347">
        <v>83</v>
      </c>
      <c r="I347" t="s">
        <v>71</v>
      </c>
      <c r="J347" t="s">
        <v>181</v>
      </c>
      <c r="K347" t="s">
        <v>397</v>
      </c>
      <c r="L347" t="s">
        <v>1683</v>
      </c>
      <c r="M347" t="s">
        <v>1684</v>
      </c>
      <c r="N347">
        <v>66</v>
      </c>
      <c r="O347">
        <v>28</v>
      </c>
      <c r="P347" t="s">
        <v>26</v>
      </c>
    </row>
    <row r="348" spans="1:16" x14ac:dyDescent="0.4">
      <c r="A348" t="s">
        <v>1685</v>
      </c>
      <c r="B348" t="s">
        <v>144</v>
      </c>
      <c r="C348" t="s">
        <v>77</v>
      </c>
      <c r="D348" t="s">
        <v>1686</v>
      </c>
      <c r="E348" t="s">
        <v>1373</v>
      </c>
      <c r="F348">
        <v>70</v>
      </c>
      <c r="G348">
        <v>84</v>
      </c>
      <c r="H348">
        <v>72</v>
      </c>
      <c r="I348" t="s">
        <v>147</v>
      </c>
      <c r="J348" t="s">
        <v>1111</v>
      </c>
      <c r="K348" s="1">
        <v>45516</v>
      </c>
      <c r="L348" t="s">
        <v>730</v>
      </c>
      <c r="M348" t="s">
        <v>1687</v>
      </c>
      <c r="N348">
        <v>71</v>
      </c>
      <c r="O348">
        <v>20</v>
      </c>
      <c r="P348" t="s">
        <v>51</v>
      </c>
    </row>
    <row r="349" spans="1:16" x14ac:dyDescent="0.4">
      <c r="A349" t="s">
        <v>1688</v>
      </c>
      <c r="B349" t="s">
        <v>482</v>
      </c>
      <c r="C349" t="s">
        <v>54</v>
      </c>
      <c r="D349" t="s">
        <v>1689</v>
      </c>
      <c r="E349" t="s">
        <v>1013</v>
      </c>
      <c r="F349">
        <v>97</v>
      </c>
      <c r="G349">
        <v>20</v>
      </c>
      <c r="H349">
        <v>72</v>
      </c>
      <c r="I349" t="s">
        <v>85</v>
      </c>
      <c r="J349" t="s">
        <v>462</v>
      </c>
      <c r="K349" s="1">
        <v>45810</v>
      </c>
      <c r="L349" s="1">
        <v>45577</v>
      </c>
      <c r="M349" t="s">
        <v>1690</v>
      </c>
      <c r="N349">
        <v>29</v>
      </c>
      <c r="O349">
        <v>59</v>
      </c>
      <c r="P349" t="s">
        <v>42</v>
      </c>
    </row>
    <row r="350" spans="1:16" x14ac:dyDescent="0.4">
      <c r="A350" t="s">
        <v>1691</v>
      </c>
      <c r="B350" t="s">
        <v>1086</v>
      </c>
      <c r="C350" t="s">
        <v>68</v>
      </c>
      <c r="D350" t="s">
        <v>1692</v>
      </c>
      <c r="E350" t="s">
        <v>1061</v>
      </c>
      <c r="F350">
        <v>87</v>
      </c>
      <c r="G350">
        <v>24</v>
      </c>
      <c r="H350">
        <v>19</v>
      </c>
      <c r="I350" t="s">
        <v>71</v>
      </c>
      <c r="J350" s="1">
        <v>45601</v>
      </c>
      <c r="K350" t="s">
        <v>115</v>
      </c>
      <c r="L350" t="s">
        <v>49</v>
      </c>
      <c r="M350" t="s">
        <v>1693</v>
      </c>
      <c r="N350">
        <v>83</v>
      </c>
      <c r="O350">
        <v>3</v>
      </c>
      <c r="P350" t="s">
        <v>26</v>
      </c>
    </row>
    <row r="351" spans="1:16" x14ac:dyDescent="0.4">
      <c r="A351" t="s">
        <v>1694</v>
      </c>
      <c r="B351" t="s">
        <v>458</v>
      </c>
      <c r="C351" t="s">
        <v>29</v>
      </c>
      <c r="D351" t="s">
        <v>1695</v>
      </c>
      <c r="E351" t="s">
        <v>1204</v>
      </c>
      <c r="F351">
        <v>58</v>
      </c>
      <c r="G351">
        <v>81</v>
      </c>
      <c r="H351">
        <v>66</v>
      </c>
      <c r="I351" t="s">
        <v>461</v>
      </c>
      <c r="J351" t="s">
        <v>213</v>
      </c>
      <c r="K351" t="s">
        <v>827</v>
      </c>
      <c r="L351" s="1">
        <v>45689</v>
      </c>
      <c r="M351" t="s">
        <v>1696</v>
      </c>
      <c r="N351">
        <v>85</v>
      </c>
      <c r="O351">
        <v>78</v>
      </c>
      <c r="P351" t="s">
        <v>51</v>
      </c>
    </row>
    <row r="352" spans="1:16" x14ac:dyDescent="0.4">
      <c r="A352" t="s">
        <v>1697</v>
      </c>
      <c r="B352" t="s">
        <v>698</v>
      </c>
      <c r="C352" t="s">
        <v>54</v>
      </c>
      <c r="D352" t="s">
        <v>1698</v>
      </c>
      <c r="E352" t="s">
        <v>1699</v>
      </c>
      <c r="F352">
        <v>16</v>
      </c>
      <c r="G352">
        <v>53</v>
      </c>
      <c r="H352">
        <v>12</v>
      </c>
      <c r="I352" t="s">
        <v>220</v>
      </c>
      <c r="J352" s="1">
        <v>45602</v>
      </c>
      <c r="K352" t="s">
        <v>1174</v>
      </c>
      <c r="L352" s="1">
        <v>45449</v>
      </c>
      <c r="M352" t="s">
        <v>1700</v>
      </c>
      <c r="N352">
        <v>21</v>
      </c>
      <c r="O352">
        <v>29</v>
      </c>
      <c r="P352" t="s">
        <v>26</v>
      </c>
    </row>
    <row r="353" spans="1:16" x14ac:dyDescent="0.4">
      <c r="A353" t="s">
        <v>1701</v>
      </c>
      <c r="B353" t="s">
        <v>239</v>
      </c>
      <c r="C353" t="s">
        <v>54</v>
      </c>
      <c r="D353" t="s">
        <v>1702</v>
      </c>
      <c r="E353" t="s">
        <v>1373</v>
      </c>
      <c r="F353">
        <v>65</v>
      </c>
      <c r="G353">
        <v>35</v>
      </c>
      <c r="H353">
        <v>3</v>
      </c>
      <c r="I353" t="s">
        <v>242</v>
      </c>
      <c r="J353" s="1">
        <v>45604</v>
      </c>
      <c r="K353" t="s">
        <v>649</v>
      </c>
      <c r="L353" t="s">
        <v>1351</v>
      </c>
      <c r="M353" t="s">
        <v>1703</v>
      </c>
      <c r="N353">
        <v>25</v>
      </c>
      <c r="O353">
        <v>13</v>
      </c>
      <c r="P353" t="s">
        <v>51</v>
      </c>
    </row>
    <row r="354" spans="1:16" x14ac:dyDescent="0.4">
      <c r="A354" t="s">
        <v>1704</v>
      </c>
      <c r="B354" t="s">
        <v>1046</v>
      </c>
      <c r="C354" t="s">
        <v>18</v>
      </c>
      <c r="D354" t="s">
        <v>1705</v>
      </c>
      <c r="E354" t="s">
        <v>825</v>
      </c>
      <c r="F354">
        <v>15</v>
      </c>
      <c r="G354">
        <v>49</v>
      </c>
      <c r="H354">
        <v>40</v>
      </c>
      <c r="I354" t="s">
        <v>21</v>
      </c>
      <c r="J354" s="1">
        <v>45455</v>
      </c>
      <c r="K354" t="s">
        <v>128</v>
      </c>
      <c r="L354" t="s">
        <v>636</v>
      </c>
      <c r="M354" t="s">
        <v>1706</v>
      </c>
      <c r="N354">
        <v>68</v>
      </c>
      <c r="O354">
        <v>74</v>
      </c>
      <c r="P354" t="s">
        <v>26</v>
      </c>
    </row>
    <row r="355" spans="1:16" x14ac:dyDescent="0.4">
      <c r="A355" t="s">
        <v>1707</v>
      </c>
      <c r="B355" t="s">
        <v>498</v>
      </c>
      <c r="C355" t="s">
        <v>54</v>
      </c>
      <c r="D355" t="s">
        <v>1708</v>
      </c>
      <c r="E355" t="s">
        <v>1709</v>
      </c>
      <c r="F355">
        <v>75</v>
      </c>
      <c r="G355">
        <v>85</v>
      </c>
      <c r="H355">
        <v>27</v>
      </c>
      <c r="I355" t="s">
        <v>21</v>
      </c>
      <c r="J355" t="s">
        <v>200</v>
      </c>
      <c r="K355" s="1">
        <v>45541</v>
      </c>
      <c r="L355" t="s">
        <v>213</v>
      </c>
      <c r="M355" t="s">
        <v>1710</v>
      </c>
      <c r="N355">
        <v>26</v>
      </c>
      <c r="O355">
        <v>68</v>
      </c>
      <c r="P355" t="s">
        <v>26</v>
      </c>
    </row>
    <row r="356" spans="1:16" x14ac:dyDescent="0.4">
      <c r="A356" t="s">
        <v>1711</v>
      </c>
      <c r="B356" t="s">
        <v>1712</v>
      </c>
      <c r="C356" t="s">
        <v>112</v>
      </c>
      <c r="D356" t="s">
        <v>1713</v>
      </c>
      <c r="E356" t="s">
        <v>1714</v>
      </c>
      <c r="F356">
        <v>80</v>
      </c>
      <c r="G356">
        <v>61</v>
      </c>
      <c r="H356">
        <v>23</v>
      </c>
      <c r="I356" t="s">
        <v>1386</v>
      </c>
      <c r="J356" t="s">
        <v>854</v>
      </c>
      <c r="K356" t="s">
        <v>609</v>
      </c>
      <c r="L356" s="1">
        <v>45385</v>
      </c>
      <c r="M356" t="s">
        <v>1715</v>
      </c>
      <c r="N356">
        <v>63</v>
      </c>
      <c r="O356">
        <v>75</v>
      </c>
      <c r="P356" t="s">
        <v>42</v>
      </c>
    </row>
    <row r="357" spans="1:16" x14ac:dyDescent="0.4">
      <c r="A357" t="s">
        <v>1716</v>
      </c>
      <c r="B357" t="s">
        <v>375</v>
      </c>
      <c r="C357" t="s">
        <v>54</v>
      </c>
      <c r="D357" t="s">
        <v>1717</v>
      </c>
      <c r="E357" t="s">
        <v>1718</v>
      </c>
      <c r="F357">
        <v>84</v>
      </c>
      <c r="G357">
        <v>95</v>
      </c>
      <c r="H357">
        <v>22</v>
      </c>
      <c r="I357" t="s">
        <v>1719</v>
      </c>
      <c r="J357" t="s">
        <v>73</v>
      </c>
      <c r="K357" t="s">
        <v>1720</v>
      </c>
      <c r="L357" s="1">
        <v>45483</v>
      </c>
      <c r="M357" t="s">
        <v>1721</v>
      </c>
      <c r="N357">
        <v>48</v>
      </c>
      <c r="O357">
        <v>82</v>
      </c>
      <c r="P357" t="s">
        <v>26</v>
      </c>
    </row>
    <row r="358" spans="1:16" x14ac:dyDescent="0.4">
      <c r="A358" t="s">
        <v>1722</v>
      </c>
      <c r="B358" t="s">
        <v>482</v>
      </c>
      <c r="C358" t="s">
        <v>54</v>
      </c>
      <c r="D358" t="s">
        <v>1723</v>
      </c>
      <c r="E358" t="s">
        <v>1724</v>
      </c>
      <c r="F358">
        <v>17</v>
      </c>
      <c r="G358">
        <v>3</v>
      </c>
      <c r="H358">
        <v>33</v>
      </c>
      <c r="I358" t="s">
        <v>85</v>
      </c>
      <c r="J358" t="s">
        <v>549</v>
      </c>
      <c r="K358" t="s">
        <v>636</v>
      </c>
      <c r="L358" t="s">
        <v>157</v>
      </c>
      <c r="M358" t="s">
        <v>1725</v>
      </c>
      <c r="N358">
        <v>49</v>
      </c>
      <c r="O358">
        <v>17</v>
      </c>
      <c r="P358" t="s">
        <v>42</v>
      </c>
    </row>
    <row r="359" spans="1:16" x14ac:dyDescent="0.4">
      <c r="A359" t="s">
        <v>1726</v>
      </c>
      <c r="B359" t="s">
        <v>1455</v>
      </c>
      <c r="C359" t="s">
        <v>77</v>
      </c>
      <c r="D359" t="s">
        <v>1727</v>
      </c>
      <c r="E359" t="s">
        <v>1649</v>
      </c>
      <c r="F359">
        <v>64</v>
      </c>
      <c r="G359">
        <v>31</v>
      </c>
      <c r="H359">
        <v>91</v>
      </c>
      <c r="I359" t="s">
        <v>1728</v>
      </c>
      <c r="J359" t="s">
        <v>792</v>
      </c>
      <c r="K359" s="1">
        <v>45390</v>
      </c>
      <c r="L359" s="1">
        <v>45575</v>
      </c>
      <c r="M359" t="s">
        <v>1729</v>
      </c>
      <c r="N359">
        <v>85</v>
      </c>
      <c r="O359">
        <v>42</v>
      </c>
      <c r="P359" t="s">
        <v>26</v>
      </c>
    </row>
    <row r="360" spans="1:16" x14ac:dyDescent="0.4">
      <c r="A360" t="s">
        <v>1730</v>
      </c>
      <c r="B360" t="s">
        <v>663</v>
      </c>
      <c r="C360" t="s">
        <v>77</v>
      </c>
      <c r="D360" t="s">
        <v>1731</v>
      </c>
      <c r="E360" t="s">
        <v>1732</v>
      </c>
      <c r="F360">
        <v>76</v>
      </c>
      <c r="G360">
        <v>81</v>
      </c>
      <c r="H360">
        <v>85</v>
      </c>
      <c r="I360" t="s">
        <v>57</v>
      </c>
      <c r="J360" s="1">
        <v>45385</v>
      </c>
      <c r="K360" s="1">
        <v>45577</v>
      </c>
      <c r="L360" s="1">
        <v>45513</v>
      </c>
      <c r="M360" t="s">
        <v>1733</v>
      </c>
      <c r="N360">
        <v>65</v>
      </c>
      <c r="O360">
        <v>68</v>
      </c>
      <c r="P360" t="s">
        <v>51</v>
      </c>
    </row>
    <row r="361" spans="1:16" x14ac:dyDescent="0.4">
      <c r="A361" t="s">
        <v>1734</v>
      </c>
      <c r="B361" t="s">
        <v>943</v>
      </c>
      <c r="C361" t="s">
        <v>68</v>
      </c>
      <c r="D361" t="s">
        <v>1735</v>
      </c>
      <c r="E361" t="s">
        <v>1736</v>
      </c>
      <c r="F361">
        <v>77</v>
      </c>
      <c r="G361">
        <v>95</v>
      </c>
      <c r="H361">
        <v>82</v>
      </c>
      <c r="I361" t="s">
        <v>945</v>
      </c>
      <c r="J361" t="s">
        <v>49</v>
      </c>
      <c r="K361" t="s">
        <v>107</v>
      </c>
      <c r="L361" t="s">
        <v>116</v>
      </c>
      <c r="M361" t="s">
        <v>1737</v>
      </c>
      <c r="N361">
        <v>29</v>
      </c>
      <c r="O361">
        <v>46</v>
      </c>
      <c r="P361" t="s">
        <v>42</v>
      </c>
    </row>
    <row r="362" spans="1:16" x14ac:dyDescent="0.4">
      <c r="A362" t="s">
        <v>1738</v>
      </c>
      <c r="B362" t="s">
        <v>545</v>
      </c>
      <c r="C362" t="s">
        <v>77</v>
      </c>
      <c r="D362" t="s">
        <v>1739</v>
      </c>
      <c r="E362" t="s">
        <v>801</v>
      </c>
      <c r="F362">
        <v>18</v>
      </c>
      <c r="G362">
        <v>14</v>
      </c>
      <c r="H362">
        <v>77</v>
      </c>
      <c r="I362" t="s">
        <v>71</v>
      </c>
      <c r="J362" s="1">
        <v>45778</v>
      </c>
      <c r="K362" s="1">
        <v>45631</v>
      </c>
      <c r="L362" t="s">
        <v>916</v>
      </c>
      <c r="M362" t="s">
        <v>1740</v>
      </c>
      <c r="N362">
        <v>78</v>
      </c>
      <c r="O362">
        <v>4</v>
      </c>
      <c r="P362" t="s">
        <v>42</v>
      </c>
    </row>
    <row r="363" spans="1:16" x14ac:dyDescent="0.4">
      <c r="A363" t="s">
        <v>1741</v>
      </c>
      <c r="B363" t="s">
        <v>1534</v>
      </c>
      <c r="C363" t="s">
        <v>18</v>
      </c>
      <c r="D363" t="s">
        <v>1742</v>
      </c>
      <c r="E363" t="s">
        <v>1743</v>
      </c>
      <c r="F363">
        <v>51</v>
      </c>
      <c r="G363">
        <v>55</v>
      </c>
      <c r="H363">
        <v>76</v>
      </c>
      <c r="I363" t="s">
        <v>220</v>
      </c>
      <c r="J363" t="s">
        <v>48</v>
      </c>
      <c r="K363" t="s">
        <v>428</v>
      </c>
      <c r="L363" t="s">
        <v>336</v>
      </c>
      <c r="M363" t="s">
        <v>1744</v>
      </c>
      <c r="N363">
        <v>21</v>
      </c>
      <c r="O363">
        <v>13</v>
      </c>
      <c r="P363" t="s">
        <v>26</v>
      </c>
    </row>
    <row r="364" spans="1:16" x14ac:dyDescent="0.4">
      <c r="A364" t="s">
        <v>1745</v>
      </c>
      <c r="B364" t="s">
        <v>962</v>
      </c>
      <c r="C364" t="s">
        <v>54</v>
      </c>
      <c r="D364" t="s">
        <v>1746</v>
      </c>
      <c r="E364" t="s">
        <v>1747</v>
      </c>
      <c r="F364">
        <v>68</v>
      </c>
      <c r="G364">
        <v>12</v>
      </c>
      <c r="H364">
        <v>73</v>
      </c>
      <c r="I364" t="s">
        <v>220</v>
      </c>
      <c r="J364" s="1">
        <v>45420</v>
      </c>
      <c r="K364" s="1">
        <v>45962</v>
      </c>
      <c r="L364" s="1">
        <v>45389</v>
      </c>
      <c r="M364" t="s">
        <v>1748</v>
      </c>
      <c r="N364">
        <v>84</v>
      </c>
      <c r="O364">
        <v>95</v>
      </c>
      <c r="P364" t="s">
        <v>42</v>
      </c>
    </row>
    <row r="365" spans="1:16" x14ac:dyDescent="0.4">
      <c r="A365" t="s">
        <v>1749</v>
      </c>
      <c r="B365" t="s">
        <v>1750</v>
      </c>
      <c r="C365" t="s">
        <v>18</v>
      </c>
      <c r="D365" t="s">
        <v>1751</v>
      </c>
      <c r="E365" t="s">
        <v>706</v>
      </c>
      <c r="F365">
        <v>46</v>
      </c>
      <c r="G365">
        <v>6</v>
      </c>
      <c r="H365">
        <v>64</v>
      </c>
      <c r="I365" t="s">
        <v>591</v>
      </c>
      <c r="J365" t="s">
        <v>274</v>
      </c>
      <c r="K365" t="s">
        <v>260</v>
      </c>
      <c r="L365" t="s">
        <v>293</v>
      </c>
      <c r="M365" t="s">
        <v>1752</v>
      </c>
      <c r="N365">
        <v>63</v>
      </c>
      <c r="O365">
        <v>29</v>
      </c>
      <c r="P365" t="s">
        <v>26</v>
      </c>
    </row>
    <row r="366" spans="1:16" x14ac:dyDescent="0.4">
      <c r="A366" t="s">
        <v>1753</v>
      </c>
      <c r="B366" t="s">
        <v>44</v>
      </c>
      <c r="C366" t="s">
        <v>18</v>
      </c>
      <c r="D366" t="s">
        <v>1754</v>
      </c>
      <c r="E366" t="s">
        <v>977</v>
      </c>
      <c r="F366">
        <v>98</v>
      </c>
      <c r="G366">
        <v>40</v>
      </c>
      <c r="H366">
        <v>93</v>
      </c>
      <c r="I366" t="s">
        <v>47</v>
      </c>
      <c r="J366" t="s">
        <v>48</v>
      </c>
      <c r="K366" s="1">
        <v>45963</v>
      </c>
      <c r="L366" t="s">
        <v>1035</v>
      </c>
      <c r="M366" t="s">
        <v>1755</v>
      </c>
      <c r="N366">
        <v>30</v>
      </c>
      <c r="O366">
        <v>53</v>
      </c>
      <c r="P366" t="s">
        <v>51</v>
      </c>
    </row>
    <row r="367" spans="1:16" x14ac:dyDescent="0.4">
      <c r="A367" t="s">
        <v>1756</v>
      </c>
      <c r="B367" t="s">
        <v>271</v>
      </c>
      <c r="C367" t="s">
        <v>54</v>
      </c>
      <c r="D367" t="s">
        <v>1757</v>
      </c>
      <c r="E367" t="s">
        <v>1758</v>
      </c>
      <c r="F367">
        <v>50</v>
      </c>
      <c r="G367">
        <v>20</v>
      </c>
      <c r="H367">
        <v>74</v>
      </c>
      <c r="I367" t="s">
        <v>106</v>
      </c>
      <c r="J367" t="s">
        <v>827</v>
      </c>
      <c r="K367" s="1">
        <v>45359</v>
      </c>
      <c r="L367" s="1">
        <v>45422</v>
      </c>
      <c r="M367" t="s">
        <v>1759</v>
      </c>
      <c r="N367">
        <v>30</v>
      </c>
      <c r="O367">
        <v>57</v>
      </c>
      <c r="P367" t="s">
        <v>42</v>
      </c>
    </row>
    <row r="368" spans="1:16" x14ac:dyDescent="0.4">
      <c r="A368" t="s">
        <v>1760</v>
      </c>
      <c r="B368" t="s">
        <v>1761</v>
      </c>
      <c r="C368" t="s">
        <v>169</v>
      </c>
      <c r="D368" t="s">
        <v>1762</v>
      </c>
      <c r="E368" t="s">
        <v>1520</v>
      </c>
      <c r="F368">
        <v>88</v>
      </c>
      <c r="G368">
        <v>83</v>
      </c>
      <c r="H368">
        <v>42</v>
      </c>
      <c r="I368" t="s">
        <v>320</v>
      </c>
      <c r="J368" t="s">
        <v>33</v>
      </c>
      <c r="K368" s="1">
        <v>45544</v>
      </c>
      <c r="L368" t="s">
        <v>455</v>
      </c>
      <c r="M368" t="s">
        <v>1763</v>
      </c>
      <c r="N368">
        <v>61</v>
      </c>
      <c r="O368">
        <v>59</v>
      </c>
      <c r="P368" t="s">
        <v>26</v>
      </c>
    </row>
    <row r="369" spans="1:16" x14ac:dyDescent="0.4">
      <c r="A369" t="s">
        <v>1764</v>
      </c>
      <c r="B369" t="s">
        <v>521</v>
      </c>
      <c r="C369" t="s">
        <v>54</v>
      </c>
      <c r="D369" t="s">
        <v>1765</v>
      </c>
      <c r="E369" t="s">
        <v>1758</v>
      </c>
      <c r="F369">
        <v>26</v>
      </c>
      <c r="G369">
        <v>16</v>
      </c>
      <c r="H369">
        <v>69</v>
      </c>
      <c r="I369" t="s">
        <v>523</v>
      </c>
      <c r="J369" t="s">
        <v>127</v>
      </c>
      <c r="K369" t="s">
        <v>360</v>
      </c>
      <c r="L369" t="s">
        <v>259</v>
      </c>
      <c r="M369" t="s">
        <v>1766</v>
      </c>
      <c r="N369">
        <v>64</v>
      </c>
      <c r="O369">
        <v>79</v>
      </c>
      <c r="P369" t="s">
        <v>26</v>
      </c>
    </row>
    <row r="370" spans="1:16" x14ac:dyDescent="0.4">
      <c r="A370" t="s">
        <v>1767</v>
      </c>
      <c r="B370" t="s">
        <v>391</v>
      </c>
      <c r="C370" t="s">
        <v>29</v>
      </c>
      <c r="D370" t="s">
        <v>1768</v>
      </c>
      <c r="E370" t="s">
        <v>1589</v>
      </c>
      <c r="F370">
        <v>43</v>
      </c>
      <c r="G370">
        <v>38</v>
      </c>
      <c r="H370">
        <v>63</v>
      </c>
      <c r="I370" t="s">
        <v>172</v>
      </c>
      <c r="J370" t="s">
        <v>1125</v>
      </c>
      <c r="K370" s="1">
        <v>45690</v>
      </c>
      <c r="L370" s="1">
        <v>45539</v>
      </c>
      <c r="M370" t="s">
        <v>1769</v>
      </c>
      <c r="N370">
        <v>88</v>
      </c>
      <c r="O370">
        <v>65</v>
      </c>
      <c r="P370" t="s">
        <v>42</v>
      </c>
    </row>
    <row r="371" spans="1:16" x14ac:dyDescent="0.4">
      <c r="A371" t="s">
        <v>1770</v>
      </c>
      <c r="B371" t="s">
        <v>885</v>
      </c>
      <c r="C371" t="s">
        <v>18</v>
      </c>
      <c r="D371" t="s">
        <v>1771</v>
      </c>
      <c r="E371" t="s">
        <v>706</v>
      </c>
      <c r="F371">
        <v>46</v>
      </c>
      <c r="G371">
        <v>20</v>
      </c>
      <c r="H371">
        <v>30</v>
      </c>
      <c r="I371" t="s">
        <v>71</v>
      </c>
      <c r="J371" s="1">
        <v>45446</v>
      </c>
      <c r="K371" t="s">
        <v>462</v>
      </c>
      <c r="L371" t="s">
        <v>556</v>
      </c>
      <c r="M371" t="s">
        <v>1772</v>
      </c>
      <c r="N371">
        <v>54</v>
      </c>
      <c r="O371">
        <v>24</v>
      </c>
      <c r="P371" t="s">
        <v>42</v>
      </c>
    </row>
    <row r="372" spans="1:16" x14ac:dyDescent="0.4">
      <c r="A372" t="s">
        <v>1773</v>
      </c>
      <c r="B372" t="s">
        <v>779</v>
      </c>
      <c r="C372" t="s">
        <v>54</v>
      </c>
      <c r="D372" t="s">
        <v>1774</v>
      </c>
      <c r="E372" t="s">
        <v>977</v>
      </c>
      <c r="F372">
        <v>19</v>
      </c>
      <c r="G372">
        <v>73</v>
      </c>
      <c r="H372">
        <v>60</v>
      </c>
      <c r="I372" t="s">
        <v>1593</v>
      </c>
      <c r="J372" s="1">
        <v>45629</v>
      </c>
      <c r="K372" s="1">
        <v>45604</v>
      </c>
      <c r="L372" s="1">
        <v>45632</v>
      </c>
      <c r="M372" t="s">
        <v>1775</v>
      </c>
      <c r="N372">
        <v>70</v>
      </c>
      <c r="O372">
        <v>48</v>
      </c>
      <c r="P372" t="s">
        <v>42</v>
      </c>
    </row>
    <row r="373" spans="1:16" x14ac:dyDescent="0.4">
      <c r="A373" t="s">
        <v>1776</v>
      </c>
      <c r="B373" t="s">
        <v>1249</v>
      </c>
      <c r="C373" t="s">
        <v>54</v>
      </c>
      <c r="D373" t="s">
        <v>1777</v>
      </c>
      <c r="E373" t="s">
        <v>46</v>
      </c>
      <c r="F373">
        <v>61</v>
      </c>
      <c r="G373">
        <v>100</v>
      </c>
      <c r="H373">
        <v>94</v>
      </c>
      <c r="I373" t="s">
        <v>57</v>
      </c>
      <c r="J373" t="s">
        <v>1111</v>
      </c>
      <c r="K373" t="s">
        <v>1217</v>
      </c>
      <c r="L373" s="1">
        <v>45392</v>
      </c>
      <c r="M373" t="s">
        <v>1778</v>
      </c>
      <c r="N373">
        <v>76</v>
      </c>
      <c r="O373">
        <v>2</v>
      </c>
      <c r="P373" t="s">
        <v>42</v>
      </c>
    </row>
    <row r="374" spans="1:16" x14ac:dyDescent="0.4">
      <c r="A374" t="s">
        <v>1779</v>
      </c>
      <c r="B374" t="s">
        <v>616</v>
      </c>
      <c r="C374" t="s">
        <v>54</v>
      </c>
      <c r="D374" t="s">
        <v>1780</v>
      </c>
      <c r="E374" t="s">
        <v>1781</v>
      </c>
      <c r="F374">
        <v>43</v>
      </c>
      <c r="G374">
        <v>40</v>
      </c>
      <c r="H374">
        <v>30</v>
      </c>
      <c r="I374" t="s">
        <v>134</v>
      </c>
      <c r="J374" t="s">
        <v>866</v>
      </c>
      <c r="K374" s="1">
        <v>45332</v>
      </c>
      <c r="L374" t="s">
        <v>1057</v>
      </c>
      <c r="M374" t="s">
        <v>1782</v>
      </c>
      <c r="N374">
        <v>95</v>
      </c>
      <c r="O374">
        <v>26</v>
      </c>
      <c r="P374" t="s">
        <v>51</v>
      </c>
    </row>
    <row r="375" spans="1:16" x14ac:dyDescent="0.4">
      <c r="A375" t="s">
        <v>1783</v>
      </c>
      <c r="B375" t="s">
        <v>869</v>
      </c>
      <c r="C375" t="s">
        <v>29</v>
      </c>
      <c r="D375" t="s">
        <v>1784</v>
      </c>
      <c r="E375" t="s">
        <v>352</v>
      </c>
      <c r="F375">
        <v>80</v>
      </c>
      <c r="G375">
        <v>54</v>
      </c>
      <c r="H375">
        <v>21</v>
      </c>
      <c r="I375" t="s">
        <v>1785</v>
      </c>
      <c r="J375" t="s">
        <v>301</v>
      </c>
      <c r="K375" t="s">
        <v>179</v>
      </c>
      <c r="L375" t="s">
        <v>1141</v>
      </c>
      <c r="M375" t="s">
        <v>1786</v>
      </c>
      <c r="N375">
        <v>81</v>
      </c>
      <c r="O375">
        <v>37</v>
      </c>
      <c r="P375" t="s">
        <v>51</v>
      </c>
    </row>
    <row r="376" spans="1:16" x14ac:dyDescent="0.4">
      <c r="A376" t="s">
        <v>1787</v>
      </c>
      <c r="B376" t="s">
        <v>869</v>
      </c>
      <c r="C376" t="s">
        <v>29</v>
      </c>
      <c r="D376" t="s">
        <v>1788</v>
      </c>
      <c r="E376" t="s">
        <v>1159</v>
      </c>
      <c r="F376">
        <v>34</v>
      </c>
      <c r="G376">
        <v>47</v>
      </c>
      <c r="H376">
        <v>99</v>
      </c>
      <c r="I376" t="s">
        <v>147</v>
      </c>
      <c r="J376" t="s">
        <v>444</v>
      </c>
      <c r="K376" s="1">
        <v>45358</v>
      </c>
      <c r="L376" t="s">
        <v>1418</v>
      </c>
      <c r="M376" t="s">
        <v>1789</v>
      </c>
      <c r="N376">
        <v>97</v>
      </c>
      <c r="O376">
        <v>47</v>
      </c>
      <c r="P376" t="s">
        <v>42</v>
      </c>
    </row>
    <row r="377" spans="1:16" x14ac:dyDescent="0.4">
      <c r="A377" t="s">
        <v>1790</v>
      </c>
      <c r="B377" t="s">
        <v>869</v>
      </c>
      <c r="C377" t="s">
        <v>29</v>
      </c>
      <c r="D377" t="s">
        <v>1791</v>
      </c>
      <c r="E377" t="s">
        <v>1356</v>
      </c>
      <c r="F377">
        <v>88</v>
      </c>
      <c r="G377">
        <v>50</v>
      </c>
      <c r="H377">
        <v>88</v>
      </c>
      <c r="I377" t="s">
        <v>147</v>
      </c>
      <c r="J377" t="s">
        <v>243</v>
      </c>
      <c r="K377" t="s">
        <v>408</v>
      </c>
      <c r="L377" s="1">
        <v>45362</v>
      </c>
      <c r="M377" t="s">
        <v>1792</v>
      </c>
      <c r="N377">
        <v>78</v>
      </c>
      <c r="O377">
        <v>28</v>
      </c>
      <c r="P377" t="s">
        <v>26</v>
      </c>
    </row>
    <row r="378" spans="1:16" x14ac:dyDescent="0.4">
      <c r="A378" t="s">
        <v>1793</v>
      </c>
      <c r="B378" t="s">
        <v>659</v>
      </c>
      <c r="C378" t="s">
        <v>77</v>
      </c>
      <c r="D378" t="s">
        <v>1794</v>
      </c>
      <c r="E378" t="s">
        <v>1795</v>
      </c>
      <c r="F378">
        <v>89</v>
      </c>
      <c r="G378">
        <v>42</v>
      </c>
      <c r="H378">
        <v>76</v>
      </c>
      <c r="I378" t="s">
        <v>220</v>
      </c>
      <c r="J378" t="s">
        <v>1179</v>
      </c>
      <c r="K378" t="s">
        <v>1165</v>
      </c>
      <c r="L378" s="1">
        <v>45577</v>
      </c>
      <c r="M378" t="s">
        <v>1796</v>
      </c>
      <c r="N378">
        <v>94</v>
      </c>
      <c r="O378">
        <v>81</v>
      </c>
      <c r="P378" t="s">
        <v>42</v>
      </c>
    </row>
    <row r="379" spans="1:16" x14ac:dyDescent="0.4">
      <c r="A379" t="s">
        <v>1797</v>
      </c>
      <c r="B379" t="s">
        <v>1750</v>
      </c>
      <c r="C379" t="s">
        <v>18</v>
      </c>
      <c r="D379" t="s">
        <v>1798</v>
      </c>
      <c r="E379" t="s">
        <v>1799</v>
      </c>
      <c r="F379">
        <v>26</v>
      </c>
      <c r="G379">
        <v>21</v>
      </c>
      <c r="H379">
        <v>47</v>
      </c>
      <c r="I379" t="s">
        <v>591</v>
      </c>
      <c r="J379" s="1">
        <v>45359</v>
      </c>
      <c r="K379" t="s">
        <v>22</v>
      </c>
      <c r="L379" s="1">
        <v>45327</v>
      </c>
      <c r="M379" t="s">
        <v>1800</v>
      </c>
      <c r="N379">
        <v>40</v>
      </c>
      <c r="O379">
        <v>59</v>
      </c>
      <c r="P379" t="s">
        <v>26</v>
      </c>
    </row>
    <row r="380" spans="1:16" x14ac:dyDescent="0.4">
      <c r="A380" t="s">
        <v>1801</v>
      </c>
      <c r="B380" t="s">
        <v>225</v>
      </c>
      <c r="C380" t="s">
        <v>54</v>
      </c>
      <c r="D380" t="s">
        <v>1802</v>
      </c>
      <c r="E380" t="s">
        <v>1527</v>
      </c>
      <c r="F380">
        <v>26</v>
      </c>
      <c r="G380">
        <v>95</v>
      </c>
      <c r="H380">
        <v>36</v>
      </c>
      <c r="I380" t="s">
        <v>21</v>
      </c>
      <c r="J380" t="s">
        <v>525</v>
      </c>
      <c r="K380" s="1">
        <v>45809</v>
      </c>
      <c r="L380" s="1">
        <v>45932</v>
      </c>
      <c r="M380" t="s">
        <v>1803</v>
      </c>
      <c r="N380">
        <v>92</v>
      </c>
      <c r="O380">
        <v>14</v>
      </c>
      <c r="P380" t="s">
        <v>51</v>
      </c>
    </row>
    <row r="381" spans="1:16" x14ac:dyDescent="0.4">
      <c r="A381" t="s">
        <v>1804</v>
      </c>
      <c r="B381" t="s">
        <v>733</v>
      </c>
      <c r="C381" t="s">
        <v>54</v>
      </c>
      <c r="D381" t="s">
        <v>1805</v>
      </c>
      <c r="E381" t="s">
        <v>1564</v>
      </c>
      <c r="F381">
        <v>37</v>
      </c>
      <c r="G381">
        <v>38</v>
      </c>
      <c r="H381">
        <v>24</v>
      </c>
      <c r="I381" t="s">
        <v>57</v>
      </c>
      <c r="J381" t="s">
        <v>1005</v>
      </c>
      <c r="K381" s="1">
        <v>45331</v>
      </c>
      <c r="L381" t="s">
        <v>421</v>
      </c>
      <c r="M381" t="s">
        <v>1806</v>
      </c>
      <c r="N381">
        <v>93</v>
      </c>
      <c r="O381">
        <v>32</v>
      </c>
      <c r="P381" t="s">
        <v>51</v>
      </c>
    </row>
    <row r="382" spans="1:16" x14ac:dyDescent="0.4">
      <c r="A382" t="s">
        <v>1807</v>
      </c>
      <c r="B382" t="s">
        <v>1485</v>
      </c>
      <c r="C382" t="s">
        <v>77</v>
      </c>
      <c r="D382" t="s">
        <v>1808</v>
      </c>
      <c r="E382" t="s">
        <v>939</v>
      </c>
      <c r="F382">
        <v>76</v>
      </c>
      <c r="G382">
        <v>98</v>
      </c>
      <c r="H382">
        <v>41</v>
      </c>
      <c r="I382" t="s">
        <v>63</v>
      </c>
      <c r="J382" t="s">
        <v>93</v>
      </c>
      <c r="K382" t="s">
        <v>811</v>
      </c>
      <c r="L382" t="s">
        <v>108</v>
      </c>
      <c r="M382" t="s">
        <v>1809</v>
      </c>
      <c r="N382">
        <v>62</v>
      </c>
      <c r="O382">
        <v>48</v>
      </c>
      <c r="P382" t="s">
        <v>42</v>
      </c>
    </row>
    <row r="383" spans="1:16" x14ac:dyDescent="0.4">
      <c r="A383" t="s">
        <v>1810</v>
      </c>
      <c r="B383" t="s">
        <v>131</v>
      </c>
      <c r="C383" t="s">
        <v>77</v>
      </c>
      <c r="D383" t="s">
        <v>1811</v>
      </c>
      <c r="E383" t="s">
        <v>1399</v>
      </c>
      <c r="F383">
        <v>80</v>
      </c>
      <c r="G383">
        <v>43</v>
      </c>
      <c r="H383">
        <v>80</v>
      </c>
      <c r="I383" t="s">
        <v>134</v>
      </c>
      <c r="J383" t="s">
        <v>207</v>
      </c>
      <c r="K383" s="1">
        <v>45421</v>
      </c>
      <c r="L383" s="1">
        <v>45630</v>
      </c>
      <c r="M383" t="s">
        <v>1812</v>
      </c>
      <c r="N383">
        <v>64</v>
      </c>
      <c r="O383">
        <v>53</v>
      </c>
      <c r="P383" t="s">
        <v>51</v>
      </c>
    </row>
    <row r="384" spans="1:16" x14ac:dyDescent="0.4">
      <c r="A384" t="s">
        <v>1813</v>
      </c>
      <c r="B384" t="s">
        <v>1814</v>
      </c>
      <c r="C384" t="s">
        <v>54</v>
      </c>
      <c r="D384" t="s">
        <v>1815</v>
      </c>
      <c r="E384" t="s">
        <v>212</v>
      </c>
      <c r="F384">
        <v>100</v>
      </c>
      <c r="G384">
        <v>3</v>
      </c>
      <c r="H384">
        <v>32</v>
      </c>
      <c r="I384" t="s">
        <v>106</v>
      </c>
      <c r="J384" t="s">
        <v>259</v>
      </c>
      <c r="K384" s="1">
        <v>45301</v>
      </c>
      <c r="L384" s="1">
        <v>45932</v>
      </c>
      <c r="M384" t="s">
        <v>1816</v>
      </c>
      <c r="N384">
        <v>98</v>
      </c>
      <c r="O384">
        <v>91</v>
      </c>
      <c r="P384" t="s">
        <v>42</v>
      </c>
    </row>
    <row r="385" spans="1:16" x14ac:dyDescent="0.4">
      <c r="A385" t="s">
        <v>1817</v>
      </c>
      <c r="B385" t="s">
        <v>325</v>
      </c>
      <c r="C385" t="s">
        <v>77</v>
      </c>
      <c r="D385" t="s">
        <v>1818</v>
      </c>
      <c r="E385" t="s">
        <v>1339</v>
      </c>
      <c r="F385">
        <v>21</v>
      </c>
      <c r="G385">
        <v>87</v>
      </c>
      <c r="H385">
        <v>67</v>
      </c>
      <c r="I385" t="s">
        <v>1316</v>
      </c>
      <c r="J385" s="1">
        <v>45717</v>
      </c>
      <c r="K385" t="s">
        <v>444</v>
      </c>
      <c r="L385" t="s">
        <v>1125</v>
      </c>
      <c r="M385" t="s">
        <v>1819</v>
      </c>
      <c r="N385">
        <v>64</v>
      </c>
      <c r="O385">
        <v>69</v>
      </c>
      <c r="P385" t="s">
        <v>26</v>
      </c>
    </row>
    <row r="386" spans="1:16" x14ac:dyDescent="0.4">
      <c r="A386" t="s">
        <v>1820</v>
      </c>
      <c r="B386" t="s">
        <v>1821</v>
      </c>
      <c r="C386" t="s">
        <v>68</v>
      </c>
      <c r="D386" t="s">
        <v>1822</v>
      </c>
      <c r="E386" t="s">
        <v>973</v>
      </c>
      <c r="F386">
        <v>33</v>
      </c>
      <c r="G386">
        <v>78</v>
      </c>
      <c r="H386">
        <v>79</v>
      </c>
      <c r="I386" t="s">
        <v>220</v>
      </c>
      <c r="J386" s="1">
        <v>45423</v>
      </c>
      <c r="K386" s="1">
        <v>45603</v>
      </c>
      <c r="L386" t="s">
        <v>335</v>
      </c>
      <c r="M386" t="s">
        <v>1823</v>
      </c>
      <c r="N386">
        <v>60</v>
      </c>
      <c r="O386">
        <v>25</v>
      </c>
      <c r="P386" t="s">
        <v>26</v>
      </c>
    </row>
    <row r="387" spans="1:16" x14ac:dyDescent="0.4">
      <c r="A387" t="s">
        <v>1824</v>
      </c>
      <c r="B387" t="s">
        <v>1503</v>
      </c>
      <c r="C387" t="s">
        <v>54</v>
      </c>
      <c r="D387" t="s">
        <v>1825</v>
      </c>
      <c r="E387" t="s">
        <v>1380</v>
      </c>
      <c r="F387">
        <v>43</v>
      </c>
      <c r="G387">
        <v>63</v>
      </c>
      <c r="H387">
        <v>99</v>
      </c>
      <c r="I387" t="s">
        <v>242</v>
      </c>
      <c r="J387" s="1">
        <v>45515</v>
      </c>
      <c r="K387" t="s">
        <v>115</v>
      </c>
      <c r="L387" s="1">
        <v>45992</v>
      </c>
      <c r="M387" t="s">
        <v>1826</v>
      </c>
      <c r="N387">
        <v>39</v>
      </c>
      <c r="O387">
        <v>77</v>
      </c>
      <c r="P387" t="s">
        <v>26</v>
      </c>
    </row>
    <row r="388" spans="1:16" x14ac:dyDescent="0.4">
      <c r="A388" t="s">
        <v>1827</v>
      </c>
      <c r="B388" t="s">
        <v>210</v>
      </c>
      <c r="C388" t="s">
        <v>54</v>
      </c>
      <c r="D388" t="s">
        <v>1828</v>
      </c>
      <c r="E388" t="s">
        <v>1039</v>
      </c>
      <c r="F388">
        <v>34</v>
      </c>
      <c r="G388">
        <v>1</v>
      </c>
      <c r="H388">
        <v>79</v>
      </c>
      <c r="I388" t="s">
        <v>1829</v>
      </c>
      <c r="J388" s="1">
        <v>45632</v>
      </c>
      <c r="K388" t="s">
        <v>230</v>
      </c>
      <c r="L388" s="1">
        <v>45513</v>
      </c>
      <c r="M388" t="s">
        <v>1830</v>
      </c>
      <c r="N388">
        <v>58</v>
      </c>
      <c r="O388">
        <v>36</v>
      </c>
      <c r="P388" t="s">
        <v>26</v>
      </c>
    </row>
    <row r="389" spans="1:16" x14ac:dyDescent="0.4">
      <c r="A389" t="s">
        <v>1831</v>
      </c>
      <c r="B389" t="s">
        <v>1290</v>
      </c>
      <c r="C389" t="s">
        <v>169</v>
      </c>
      <c r="D389" t="s">
        <v>1832</v>
      </c>
      <c r="E389" t="s">
        <v>1251</v>
      </c>
      <c r="F389">
        <v>82</v>
      </c>
      <c r="G389">
        <v>25</v>
      </c>
      <c r="H389">
        <v>94</v>
      </c>
      <c r="I389" t="s">
        <v>1293</v>
      </c>
      <c r="J389" t="s">
        <v>666</v>
      </c>
      <c r="K389" t="s">
        <v>495</v>
      </c>
      <c r="L389" t="s">
        <v>353</v>
      </c>
      <c r="M389" t="s">
        <v>1833</v>
      </c>
      <c r="N389">
        <v>66</v>
      </c>
      <c r="O389">
        <v>14</v>
      </c>
      <c r="P389" t="s">
        <v>42</v>
      </c>
    </row>
    <row r="390" spans="1:16" x14ac:dyDescent="0.4">
      <c r="A390" t="s">
        <v>1834</v>
      </c>
      <c r="B390" t="s">
        <v>1835</v>
      </c>
      <c r="C390" t="s">
        <v>112</v>
      </c>
      <c r="D390" t="s">
        <v>1836</v>
      </c>
      <c r="E390" t="s">
        <v>1527</v>
      </c>
      <c r="F390">
        <v>17</v>
      </c>
      <c r="G390">
        <v>63</v>
      </c>
      <c r="H390">
        <v>3</v>
      </c>
      <c r="I390" t="s">
        <v>242</v>
      </c>
      <c r="J390" s="1">
        <v>45330</v>
      </c>
      <c r="K390" t="s">
        <v>301</v>
      </c>
      <c r="L390" t="s">
        <v>1508</v>
      </c>
      <c r="M390" t="s">
        <v>1837</v>
      </c>
      <c r="N390">
        <v>93</v>
      </c>
      <c r="O390">
        <v>26</v>
      </c>
      <c r="P390" t="s">
        <v>42</v>
      </c>
    </row>
    <row r="391" spans="1:16" x14ac:dyDescent="0.4">
      <c r="A391" t="s">
        <v>1838</v>
      </c>
      <c r="B391" t="s">
        <v>17</v>
      </c>
      <c r="C391" t="s">
        <v>18</v>
      </c>
      <c r="D391" t="s">
        <v>1839</v>
      </c>
      <c r="E391" t="s">
        <v>1531</v>
      </c>
      <c r="F391">
        <v>36</v>
      </c>
      <c r="G391">
        <v>81</v>
      </c>
      <c r="H391">
        <v>54</v>
      </c>
      <c r="I391" t="s">
        <v>624</v>
      </c>
      <c r="J391" s="1">
        <v>45480</v>
      </c>
      <c r="K391" t="s">
        <v>230</v>
      </c>
      <c r="L391" t="s">
        <v>826</v>
      </c>
      <c r="M391" t="s">
        <v>1840</v>
      </c>
      <c r="N391">
        <v>73</v>
      </c>
      <c r="O391">
        <v>60</v>
      </c>
      <c r="P391" t="s">
        <v>26</v>
      </c>
    </row>
    <row r="392" spans="1:16" x14ac:dyDescent="0.4">
      <c r="A392" t="s">
        <v>1841</v>
      </c>
      <c r="B392" t="s">
        <v>704</v>
      </c>
      <c r="C392" t="s">
        <v>169</v>
      </c>
      <c r="D392" t="s">
        <v>1842</v>
      </c>
      <c r="E392" t="s">
        <v>334</v>
      </c>
      <c r="F392">
        <v>65</v>
      </c>
      <c r="G392">
        <v>79</v>
      </c>
      <c r="H392">
        <v>52</v>
      </c>
      <c r="I392" t="s">
        <v>147</v>
      </c>
      <c r="J392" s="1">
        <v>45631</v>
      </c>
      <c r="K392" s="1">
        <v>45361</v>
      </c>
      <c r="L392" t="s">
        <v>200</v>
      </c>
      <c r="M392" t="s">
        <v>1843</v>
      </c>
      <c r="N392">
        <v>56</v>
      </c>
      <c r="O392">
        <v>94</v>
      </c>
      <c r="P392" t="s">
        <v>26</v>
      </c>
    </row>
    <row r="393" spans="1:16" x14ac:dyDescent="0.4">
      <c r="A393" t="s">
        <v>1844</v>
      </c>
      <c r="B393" t="s">
        <v>1470</v>
      </c>
      <c r="C393" t="s">
        <v>54</v>
      </c>
      <c r="D393" t="s">
        <v>1845</v>
      </c>
      <c r="E393" t="s">
        <v>427</v>
      </c>
      <c r="F393">
        <v>45</v>
      </c>
      <c r="G393">
        <v>28</v>
      </c>
      <c r="H393">
        <v>6</v>
      </c>
      <c r="I393" t="s">
        <v>21</v>
      </c>
      <c r="J393" t="s">
        <v>72</v>
      </c>
      <c r="K393" t="s">
        <v>444</v>
      </c>
      <c r="L393" t="s">
        <v>1173</v>
      </c>
      <c r="M393" t="s">
        <v>1846</v>
      </c>
      <c r="N393">
        <v>35</v>
      </c>
      <c r="O393">
        <v>16</v>
      </c>
      <c r="P393" t="s">
        <v>26</v>
      </c>
    </row>
    <row r="394" spans="1:16" x14ac:dyDescent="0.4">
      <c r="A394" t="s">
        <v>1847</v>
      </c>
      <c r="B394" t="s">
        <v>76</v>
      </c>
      <c r="C394" t="s">
        <v>77</v>
      </c>
      <c r="D394" t="s">
        <v>1848</v>
      </c>
      <c r="E394" t="s">
        <v>553</v>
      </c>
      <c r="F394">
        <v>35</v>
      </c>
      <c r="G394">
        <v>78</v>
      </c>
      <c r="H394">
        <v>68</v>
      </c>
      <c r="I394" t="s">
        <v>71</v>
      </c>
      <c r="J394" s="1">
        <v>45630</v>
      </c>
      <c r="K394" t="s">
        <v>279</v>
      </c>
      <c r="L394" s="1">
        <v>45389</v>
      </c>
      <c r="M394" t="s">
        <v>1849</v>
      </c>
      <c r="N394">
        <v>95</v>
      </c>
      <c r="O394">
        <v>91</v>
      </c>
      <c r="P394" t="s">
        <v>26</v>
      </c>
    </row>
    <row r="395" spans="1:16" x14ac:dyDescent="0.4">
      <c r="A395" t="s">
        <v>1850</v>
      </c>
      <c r="B395" t="s">
        <v>138</v>
      </c>
      <c r="C395" t="s">
        <v>18</v>
      </c>
      <c r="D395" t="s">
        <v>1851</v>
      </c>
      <c r="E395" t="s">
        <v>1852</v>
      </c>
      <c r="F395">
        <v>96</v>
      </c>
      <c r="G395">
        <v>83</v>
      </c>
      <c r="H395">
        <v>50</v>
      </c>
      <c r="I395" t="s">
        <v>47</v>
      </c>
      <c r="J395" s="1">
        <v>45392</v>
      </c>
      <c r="K395" t="s">
        <v>666</v>
      </c>
      <c r="L395" t="s">
        <v>200</v>
      </c>
      <c r="M395" t="s">
        <v>1853</v>
      </c>
      <c r="N395">
        <v>81</v>
      </c>
      <c r="O395">
        <v>89</v>
      </c>
      <c r="P395" t="s">
        <v>26</v>
      </c>
    </row>
    <row r="396" spans="1:16" x14ac:dyDescent="0.4">
      <c r="A396" t="s">
        <v>1854</v>
      </c>
      <c r="B396" t="s">
        <v>698</v>
      </c>
      <c r="C396" t="s">
        <v>54</v>
      </c>
      <c r="D396" t="s">
        <v>1855</v>
      </c>
      <c r="E396" t="s">
        <v>371</v>
      </c>
      <c r="F396">
        <v>56</v>
      </c>
      <c r="G396">
        <v>75</v>
      </c>
      <c r="H396">
        <v>13</v>
      </c>
      <c r="I396" t="s">
        <v>220</v>
      </c>
      <c r="J396" s="1">
        <v>45391</v>
      </c>
      <c r="K396" s="1">
        <v>45386</v>
      </c>
      <c r="L396" t="s">
        <v>736</v>
      </c>
      <c r="M396" t="s">
        <v>1856</v>
      </c>
      <c r="N396">
        <v>42</v>
      </c>
      <c r="O396">
        <v>53</v>
      </c>
      <c r="P396" t="s">
        <v>42</v>
      </c>
    </row>
    <row r="397" spans="1:16" x14ac:dyDescent="0.4">
      <c r="A397" t="s">
        <v>1857</v>
      </c>
      <c r="B397" t="s">
        <v>447</v>
      </c>
      <c r="C397" t="s">
        <v>77</v>
      </c>
      <c r="D397" t="s">
        <v>1858</v>
      </c>
      <c r="E397" t="s">
        <v>781</v>
      </c>
      <c r="F397">
        <v>49</v>
      </c>
      <c r="G397">
        <v>94</v>
      </c>
      <c r="H397">
        <v>18</v>
      </c>
      <c r="I397" t="s">
        <v>39</v>
      </c>
      <c r="J397" s="1">
        <v>45638</v>
      </c>
      <c r="K397" s="1">
        <v>45573</v>
      </c>
      <c r="L397" t="s">
        <v>1141</v>
      </c>
      <c r="M397" t="s">
        <v>1859</v>
      </c>
      <c r="N397">
        <v>38</v>
      </c>
      <c r="O397">
        <v>11</v>
      </c>
      <c r="P397" t="s">
        <v>51</v>
      </c>
    </row>
    <row r="398" spans="1:16" x14ac:dyDescent="0.4">
      <c r="A398" t="s">
        <v>1860</v>
      </c>
      <c r="B398" t="s">
        <v>196</v>
      </c>
      <c r="C398" t="s">
        <v>18</v>
      </c>
      <c r="D398" t="s">
        <v>1861</v>
      </c>
      <c r="E398" t="s">
        <v>578</v>
      </c>
      <c r="F398">
        <v>100</v>
      </c>
      <c r="G398">
        <v>10</v>
      </c>
      <c r="H398">
        <v>89</v>
      </c>
      <c r="I398" t="s">
        <v>47</v>
      </c>
      <c r="J398" t="s">
        <v>956</v>
      </c>
      <c r="K398" s="1">
        <v>45658</v>
      </c>
      <c r="L398" t="s">
        <v>1146</v>
      </c>
      <c r="M398" t="s">
        <v>1862</v>
      </c>
      <c r="N398">
        <v>76</v>
      </c>
      <c r="O398">
        <v>38</v>
      </c>
      <c r="P398" t="s">
        <v>42</v>
      </c>
    </row>
    <row r="399" spans="1:16" x14ac:dyDescent="0.4">
      <c r="A399" t="s">
        <v>1863</v>
      </c>
      <c r="B399" t="s">
        <v>263</v>
      </c>
      <c r="C399" t="s">
        <v>169</v>
      </c>
      <c r="D399" t="s">
        <v>1864</v>
      </c>
      <c r="E399" t="s">
        <v>1865</v>
      </c>
      <c r="F399">
        <v>30</v>
      </c>
      <c r="G399">
        <v>81</v>
      </c>
      <c r="H399">
        <v>99</v>
      </c>
      <c r="I399" t="s">
        <v>266</v>
      </c>
      <c r="J399" t="s">
        <v>322</v>
      </c>
      <c r="K399" t="s">
        <v>585</v>
      </c>
      <c r="L399" t="s">
        <v>1005</v>
      </c>
      <c r="M399" t="s">
        <v>1866</v>
      </c>
      <c r="N399">
        <v>99</v>
      </c>
      <c r="O399">
        <v>3</v>
      </c>
      <c r="P399" t="s">
        <v>42</v>
      </c>
    </row>
    <row r="400" spans="1:16" x14ac:dyDescent="0.4">
      <c r="A400" t="s">
        <v>1867</v>
      </c>
      <c r="B400" t="s">
        <v>1470</v>
      </c>
      <c r="C400" t="s">
        <v>54</v>
      </c>
      <c r="D400" t="s">
        <v>1868</v>
      </c>
      <c r="E400" t="s">
        <v>46</v>
      </c>
      <c r="F400">
        <v>20</v>
      </c>
      <c r="G400">
        <v>91</v>
      </c>
      <c r="H400">
        <v>12</v>
      </c>
      <c r="I400" t="s">
        <v>21</v>
      </c>
      <c r="J400" t="s">
        <v>402</v>
      </c>
      <c r="K400" t="s">
        <v>115</v>
      </c>
      <c r="L400" s="1">
        <v>45303</v>
      </c>
      <c r="M400" t="s">
        <v>1869</v>
      </c>
      <c r="N400">
        <v>35</v>
      </c>
      <c r="O400">
        <v>50</v>
      </c>
      <c r="P400" t="s">
        <v>51</v>
      </c>
    </row>
    <row r="401" spans="1:16" x14ac:dyDescent="0.4">
      <c r="A401" t="s">
        <v>1870</v>
      </c>
      <c r="B401" t="s">
        <v>943</v>
      </c>
      <c r="C401" t="s">
        <v>68</v>
      </c>
      <c r="D401" t="s">
        <v>1871</v>
      </c>
      <c r="E401" t="s">
        <v>1872</v>
      </c>
      <c r="F401">
        <v>85</v>
      </c>
      <c r="G401">
        <v>15</v>
      </c>
      <c r="H401">
        <v>16</v>
      </c>
      <c r="I401" t="s">
        <v>945</v>
      </c>
      <c r="J401" t="s">
        <v>725</v>
      </c>
      <c r="K401" t="s">
        <v>48</v>
      </c>
      <c r="L401" t="s">
        <v>536</v>
      </c>
      <c r="M401" t="s">
        <v>1873</v>
      </c>
      <c r="N401">
        <v>46</v>
      </c>
      <c r="O401">
        <v>24</v>
      </c>
      <c r="P401" t="s">
        <v>26</v>
      </c>
    </row>
    <row r="402" spans="1:16" x14ac:dyDescent="0.4">
      <c r="A402" t="s">
        <v>1874</v>
      </c>
      <c r="B402" t="s">
        <v>176</v>
      </c>
      <c r="C402" t="s">
        <v>54</v>
      </c>
      <c r="D402" t="s">
        <v>1875</v>
      </c>
      <c r="E402" t="s">
        <v>1039</v>
      </c>
      <c r="F402">
        <v>86</v>
      </c>
      <c r="G402">
        <v>90</v>
      </c>
      <c r="H402">
        <v>39</v>
      </c>
      <c r="I402" t="s">
        <v>1876</v>
      </c>
      <c r="J402" t="s">
        <v>1035</v>
      </c>
      <c r="K402" t="s">
        <v>592</v>
      </c>
      <c r="L402" s="1">
        <v>45482</v>
      </c>
      <c r="M402" t="s">
        <v>1877</v>
      </c>
      <c r="N402">
        <v>98</v>
      </c>
      <c r="O402">
        <v>85</v>
      </c>
      <c r="P402" t="s">
        <v>51</v>
      </c>
    </row>
    <row r="403" spans="1:16" x14ac:dyDescent="0.4">
      <c r="A403" t="s">
        <v>1878</v>
      </c>
      <c r="B403" t="s">
        <v>363</v>
      </c>
      <c r="C403" t="s">
        <v>112</v>
      </c>
      <c r="D403" t="s">
        <v>1879</v>
      </c>
      <c r="E403" t="s">
        <v>1880</v>
      </c>
      <c r="F403">
        <v>65</v>
      </c>
      <c r="G403">
        <v>79</v>
      </c>
      <c r="H403">
        <v>49</v>
      </c>
      <c r="I403" t="s">
        <v>57</v>
      </c>
      <c r="J403" s="1">
        <v>45326</v>
      </c>
      <c r="K403" s="1">
        <v>45571</v>
      </c>
      <c r="L403" t="s">
        <v>383</v>
      </c>
      <c r="M403" t="s">
        <v>1881</v>
      </c>
      <c r="N403">
        <v>100</v>
      </c>
      <c r="O403">
        <v>9</v>
      </c>
      <c r="P403" t="s">
        <v>26</v>
      </c>
    </row>
    <row r="404" spans="1:16" x14ac:dyDescent="0.4">
      <c r="A404" t="s">
        <v>1882</v>
      </c>
      <c r="B404" t="s">
        <v>659</v>
      </c>
      <c r="C404" t="s">
        <v>77</v>
      </c>
      <c r="D404" t="s">
        <v>1883</v>
      </c>
      <c r="E404" t="s">
        <v>1069</v>
      </c>
      <c r="F404">
        <v>67</v>
      </c>
      <c r="G404">
        <v>98</v>
      </c>
      <c r="H404">
        <v>92</v>
      </c>
      <c r="I404" t="s">
        <v>220</v>
      </c>
      <c r="J404" t="s">
        <v>1884</v>
      </c>
      <c r="K404" t="s">
        <v>826</v>
      </c>
      <c r="L404" s="1">
        <v>45485</v>
      </c>
      <c r="M404" t="s">
        <v>1885</v>
      </c>
      <c r="N404">
        <v>35</v>
      </c>
      <c r="O404">
        <v>98</v>
      </c>
      <c r="P404" t="s">
        <v>42</v>
      </c>
    </row>
    <row r="405" spans="1:16" x14ac:dyDescent="0.4">
      <c r="A405" t="s">
        <v>1886</v>
      </c>
      <c r="B405" t="s">
        <v>447</v>
      </c>
      <c r="C405" t="s">
        <v>77</v>
      </c>
      <c r="D405" t="s">
        <v>1887</v>
      </c>
      <c r="E405" t="s">
        <v>1395</v>
      </c>
      <c r="F405">
        <v>88</v>
      </c>
      <c r="G405">
        <v>4</v>
      </c>
      <c r="H405">
        <v>79</v>
      </c>
      <c r="I405" t="s">
        <v>39</v>
      </c>
      <c r="J405" t="s">
        <v>1234</v>
      </c>
      <c r="K405" s="1">
        <v>45328</v>
      </c>
      <c r="L405" t="s">
        <v>882</v>
      </c>
      <c r="M405" t="s">
        <v>1888</v>
      </c>
      <c r="N405">
        <v>23</v>
      </c>
      <c r="O405">
        <v>39</v>
      </c>
      <c r="P405" t="s">
        <v>26</v>
      </c>
    </row>
    <row r="406" spans="1:16" x14ac:dyDescent="0.4">
      <c r="A406" t="s">
        <v>1889</v>
      </c>
      <c r="B406" t="s">
        <v>989</v>
      </c>
      <c r="C406" t="s">
        <v>29</v>
      </c>
      <c r="D406" t="s">
        <v>1890</v>
      </c>
      <c r="E406" t="s">
        <v>1891</v>
      </c>
      <c r="F406">
        <v>14</v>
      </c>
      <c r="G406">
        <v>77</v>
      </c>
      <c r="H406">
        <v>78</v>
      </c>
      <c r="I406" t="s">
        <v>591</v>
      </c>
      <c r="J406" s="1">
        <v>45330</v>
      </c>
      <c r="K406" t="s">
        <v>629</v>
      </c>
      <c r="L406" s="1">
        <v>45300</v>
      </c>
      <c r="M406" t="s">
        <v>1892</v>
      </c>
      <c r="N406">
        <v>32</v>
      </c>
      <c r="O406">
        <v>24</v>
      </c>
      <c r="P406" t="s">
        <v>26</v>
      </c>
    </row>
    <row r="407" spans="1:16" x14ac:dyDescent="0.4">
      <c r="A407" t="s">
        <v>1893</v>
      </c>
      <c r="B407" t="s">
        <v>677</v>
      </c>
      <c r="C407" t="s">
        <v>169</v>
      </c>
      <c r="D407" t="s">
        <v>1894</v>
      </c>
      <c r="E407" t="s">
        <v>1574</v>
      </c>
      <c r="F407">
        <v>85</v>
      </c>
      <c r="G407">
        <v>92</v>
      </c>
      <c r="H407">
        <v>66</v>
      </c>
      <c r="I407" t="s">
        <v>1895</v>
      </c>
      <c r="J407" t="s">
        <v>236</v>
      </c>
      <c r="K407" s="1">
        <v>45658</v>
      </c>
      <c r="L407" s="1">
        <v>45356</v>
      </c>
      <c r="M407" t="s">
        <v>1896</v>
      </c>
      <c r="N407">
        <v>54</v>
      </c>
      <c r="O407">
        <v>85</v>
      </c>
      <c r="P407" t="s">
        <v>42</v>
      </c>
    </row>
    <row r="408" spans="1:16" x14ac:dyDescent="0.4">
      <c r="A408" t="s">
        <v>1897</v>
      </c>
      <c r="B408" t="s">
        <v>131</v>
      </c>
      <c r="C408" t="s">
        <v>77</v>
      </c>
      <c r="D408" t="s">
        <v>1898</v>
      </c>
      <c r="E408" t="s">
        <v>84</v>
      </c>
      <c r="F408">
        <v>74</v>
      </c>
      <c r="G408">
        <v>65</v>
      </c>
      <c r="H408">
        <v>5</v>
      </c>
      <c r="I408" t="s">
        <v>134</v>
      </c>
      <c r="J408" t="s">
        <v>585</v>
      </c>
      <c r="K408" t="s">
        <v>854</v>
      </c>
      <c r="L408" t="s">
        <v>495</v>
      </c>
      <c r="M408" t="s">
        <v>1899</v>
      </c>
      <c r="N408">
        <v>21</v>
      </c>
      <c r="O408">
        <v>42</v>
      </c>
      <c r="P408" t="s">
        <v>26</v>
      </c>
    </row>
    <row r="409" spans="1:16" x14ac:dyDescent="0.4">
      <c r="A409" t="s">
        <v>1900</v>
      </c>
      <c r="B409" t="s">
        <v>923</v>
      </c>
      <c r="C409" t="s">
        <v>77</v>
      </c>
      <c r="D409" t="s">
        <v>1901</v>
      </c>
      <c r="E409" t="s">
        <v>1902</v>
      </c>
      <c r="F409">
        <v>21</v>
      </c>
      <c r="G409">
        <v>28</v>
      </c>
      <c r="H409">
        <v>72</v>
      </c>
      <c r="I409" t="s">
        <v>266</v>
      </c>
      <c r="J409" t="s">
        <v>366</v>
      </c>
      <c r="K409" t="s">
        <v>592</v>
      </c>
      <c r="L409" t="s">
        <v>656</v>
      </c>
      <c r="M409" t="s">
        <v>1903</v>
      </c>
      <c r="N409">
        <v>69</v>
      </c>
      <c r="O409">
        <v>51</v>
      </c>
      <c r="P409" t="s">
        <v>42</v>
      </c>
    </row>
    <row r="410" spans="1:16" x14ac:dyDescent="0.4">
      <c r="A410" t="s">
        <v>1904</v>
      </c>
      <c r="B410" t="s">
        <v>533</v>
      </c>
      <c r="C410" t="s">
        <v>112</v>
      </c>
      <c r="D410" t="s">
        <v>1905</v>
      </c>
      <c r="E410" t="s">
        <v>1136</v>
      </c>
      <c r="F410">
        <v>22</v>
      </c>
      <c r="G410">
        <v>24</v>
      </c>
      <c r="H410">
        <v>94</v>
      </c>
      <c r="I410" t="s">
        <v>39</v>
      </c>
      <c r="J410" t="s">
        <v>1357</v>
      </c>
      <c r="K410" t="s">
        <v>397</v>
      </c>
      <c r="L410" t="s">
        <v>408</v>
      </c>
      <c r="M410" t="s">
        <v>1906</v>
      </c>
      <c r="N410">
        <v>47</v>
      </c>
      <c r="O410">
        <v>71</v>
      </c>
      <c r="P410" t="s">
        <v>51</v>
      </c>
    </row>
    <row r="411" spans="1:16" x14ac:dyDescent="0.4">
      <c r="A411" t="s">
        <v>1907</v>
      </c>
      <c r="B411" t="s">
        <v>447</v>
      </c>
      <c r="C411" t="s">
        <v>77</v>
      </c>
      <c r="D411" t="s">
        <v>1908</v>
      </c>
      <c r="E411" t="s">
        <v>801</v>
      </c>
      <c r="F411">
        <v>91</v>
      </c>
      <c r="G411">
        <v>14</v>
      </c>
      <c r="H411">
        <v>99</v>
      </c>
      <c r="I411" t="s">
        <v>39</v>
      </c>
      <c r="J411" s="1">
        <v>45932</v>
      </c>
      <c r="K411" t="s">
        <v>286</v>
      </c>
      <c r="L411" t="s">
        <v>1106</v>
      </c>
      <c r="M411" t="s">
        <v>1909</v>
      </c>
      <c r="N411">
        <v>50</v>
      </c>
      <c r="O411">
        <v>5</v>
      </c>
      <c r="P411" t="s">
        <v>42</v>
      </c>
    </row>
    <row r="412" spans="1:16" x14ac:dyDescent="0.4">
      <c r="A412" t="s">
        <v>1910</v>
      </c>
      <c r="B412" t="s">
        <v>332</v>
      </c>
      <c r="C412" t="s">
        <v>112</v>
      </c>
      <c r="D412" t="s">
        <v>1911</v>
      </c>
      <c r="E412" t="s">
        <v>1891</v>
      </c>
      <c r="F412">
        <v>85</v>
      </c>
      <c r="G412">
        <v>57</v>
      </c>
      <c r="H412">
        <v>25</v>
      </c>
      <c r="I412" t="s">
        <v>242</v>
      </c>
      <c r="J412" t="s">
        <v>1597</v>
      </c>
      <c r="K412" t="s">
        <v>428</v>
      </c>
      <c r="L412" t="s">
        <v>73</v>
      </c>
      <c r="M412" t="s">
        <v>1912</v>
      </c>
      <c r="N412">
        <v>30</v>
      </c>
      <c r="O412">
        <v>42</v>
      </c>
      <c r="P412" t="s">
        <v>26</v>
      </c>
    </row>
    <row r="413" spans="1:16" x14ac:dyDescent="0.4">
      <c r="A413" t="s">
        <v>1913</v>
      </c>
      <c r="B413" t="s">
        <v>539</v>
      </c>
      <c r="C413" t="s">
        <v>54</v>
      </c>
      <c r="D413" t="s">
        <v>1914</v>
      </c>
      <c r="E413" t="s">
        <v>1915</v>
      </c>
      <c r="F413">
        <v>12</v>
      </c>
      <c r="G413">
        <v>28</v>
      </c>
      <c r="H413">
        <v>11</v>
      </c>
      <c r="I413" t="s">
        <v>85</v>
      </c>
      <c r="J413" t="s">
        <v>566</v>
      </c>
      <c r="K413" s="1">
        <v>45778</v>
      </c>
      <c r="L413" t="s">
        <v>49</v>
      </c>
      <c r="M413" t="s">
        <v>1916</v>
      </c>
      <c r="N413">
        <v>46</v>
      </c>
      <c r="O413">
        <v>88</v>
      </c>
      <c r="P413" t="s">
        <v>42</v>
      </c>
    </row>
    <row r="414" spans="1:16" x14ac:dyDescent="0.4">
      <c r="A414" t="s">
        <v>1917</v>
      </c>
      <c r="B414" t="s">
        <v>722</v>
      </c>
      <c r="C414" t="s">
        <v>54</v>
      </c>
      <c r="D414" t="s">
        <v>1918</v>
      </c>
      <c r="E414" t="s">
        <v>1919</v>
      </c>
      <c r="F414">
        <v>43</v>
      </c>
      <c r="G414">
        <v>65</v>
      </c>
      <c r="H414">
        <v>66</v>
      </c>
      <c r="I414" t="s">
        <v>39</v>
      </c>
      <c r="J414" t="s">
        <v>192</v>
      </c>
      <c r="K414" s="1">
        <v>45360</v>
      </c>
      <c r="L414" t="s">
        <v>467</v>
      </c>
      <c r="M414" t="s">
        <v>1920</v>
      </c>
      <c r="N414">
        <v>78</v>
      </c>
      <c r="O414">
        <v>73</v>
      </c>
      <c r="P414" t="s">
        <v>42</v>
      </c>
    </row>
    <row r="415" spans="1:16" x14ac:dyDescent="0.4">
      <c r="A415" t="s">
        <v>1921</v>
      </c>
      <c r="B415" t="s">
        <v>1485</v>
      </c>
      <c r="C415" t="s">
        <v>77</v>
      </c>
      <c r="D415" t="s">
        <v>1922</v>
      </c>
      <c r="E415" t="s">
        <v>1271</v>
      </c>
      <c r="F415">
        <v>92</v>
      </c>
      <c r="G415">
        <v>92</v>
      </c>
      <c r="H415">
        <v>28</v>
      </c>
      <c r="I415" t="s">
        <v>63</v>
      </c>
      <c r="J415" t="s">
        <v>299</v>
      </c>
      <c r="K415" s="1">
        <v>45574</v>
      </c>
      <c r="L415" t="s">
        <v>293</v>
      </c>
      <c r="M415" t="s">
        <v>1923</v>
      </c>
      <c r="N415">
        <v>50</v>
      </c>
      <c r="O415">
        <v>67</v>
      </c>
      <c r="P415" t="s">
        <v>26</v>
      </c>
    </row>
    <row r="416" spans="1:16" x14ac:dyDescent="0.4">
      <c r="A416" t="s">
        <v>1924</v>
      </c>
      <c r="B416" t="s">
        <v>994</v>
      </c>
      <c r="C416" t="s">
        <v>54</v>
      </c>
      <c r="D416" t="s">
        <v>1925</v>
      </c>
      <c r="E416" t="s">
        <v>1926</v>
      </c>
      <c r="F416">
        <v>23</v>
      </c>
      <c r="G416">
        <v>85</v>
      </c>
      <c r="H416">
        <v>94</v>
      </c>
      <c r="I416" t="s">
        <v>85</v>
      </c>
      <c r="J416" s="1">
        <v>45636</v>
      </c>
      <c r="K416" t="s">
        <v>274</v>
      </c>
      <c r="L416" t="s">
        <v>366</v>
      </c>
      <c r="M416" t="s">
        <v>1927</v>
      </c>
      <c r="N416">
        <v>92</v>
      </c>
      <c r="O416">
        <v>72</v>
      </c>
      <c r="P416" t="s">
        <v>42</v>
      </c>
    </row>
    <row r="417" spans="1:16" x14ac:dyDescent="0.4">
      <c r="A417" t="s">
        <v>1928</v>
      </c>
      <c r="B417" t="s">
        <v>88</v>
      </c>
      <c r="C417" t="s">
        <v>77</v>
      </c>
      <c r="D417" t="s">
        <v>1929</v>
      </c>
      <c r="E417" t="s">
        <v>1930</v>
      </c>
      <c r="F417">
        <v>77</v>
      </c>
      <c r="G417">
        <v>1</v>
      </c>
      <c r="H417">
        <v>41</v>
      </c>
      <c r="I417" t="s">
        <v>91</v>
      </c>
      <c r="J417" s="1">
        <v>45423</v>
      </c>
      <c r="K417" s="1">
        <v>45779</v>
      </c>
      <c r="L417" t="s">
        <v>549</v>
      </c>
      <c r="M417" t="s">
        <v>1931</v>
      </c>
      <c r="N417">
        <v>58</v>
      </c>
      <c r="O417">
        <v>55</v>
      </c>
      <c r="P417" t="s">
        <v>26</v>
      </c>
    </row>
    <row r="418" spans="1:16" x14ac:dyDescent="0.4">
      <c r="A418" t="s">
        <v>1932</v>
      </c>
      <c r="B418" t="s">
        <v>1814</v>
      </c>
      <c r="C418" t="s">
        <v>54</v>
      </c>
      <c r="D418" t="s">
        <v>1933</v>
      </c>
      <c r="E418" t="s">
        <v>968</v>
      </c>
      <c r="F418">
        <v>65</v>
      </c>
      <c r="G418">
        <v>10</v>
      </c>
      <c r="H418">
        <v>81</v>
      </c>
      <c r="I418" t="s">
        <v>106</v>
      </c>
      <c r="J418" t="s">
        <v>422</v>
      </c>
      <c r="K418" s="1">
        <v>45993</v>
      </c>
      <c r="L418" s="1">
        <v>45509</v>
      </c>
      <c r="M418" t="s">
        <v>1934</v>
      </c>
      <c r="N418">
        <v>71</v>
      </c>
      <c r="O418">
        <v>61</v>
      </c>
      <c r="P418" t="s">
        <v>42</v>
      </c>
    </row>
    <row r="419" spans="1:16" x14ac:dyDescent="0.4">
      <c r="A419" t="s">
        <v>1935</v>
      </c>
      <c r="B419" t="s">
        <v>709</v>
      </c>
      <c r="C419" t="s">
        <v>54</v>
      </c>
      <c r="D419" t="s">
        <v>1936</v>
      </c>
      <c r="E419" t="s">
        <v>1385</v>
      </c>
      <c r="F419">
        <v>82</v>
      </c>
      <c r="G419">
        <v>29</v>
      </c>
      <c r="H419">
        <v>62</v>
      </c>
      <c r="I419" t="s">
        <v>1937</v>
      </c>
      <c r="J419" s="1">
        <v>45512</v>
      </c>
      <c r="K419" t="s">
        <v>72</v>
      </c>
      <c r="L419" s="1">
        <v>45547</v>
      </c>
      <c r="M419" t="s">
        <v>1938</v>
      </c>
      <c r="N419">
        <v>77</v>
      </c>
      <c r="O419">
        <v>27</v>
      </c>
      <c r="P419" t="s">
        <v>42</v>
      </c>
    </row>
    <row r="420" spans="1:16" x14ac:dyDescent="0.4">
      <c r="A420" t="s">
        <v>1939</v>
      </c>
      <c r="B420" t="s">
        <v>144</v>
      </c>
      <c r="C420" t="s">
        <v>77</v>
      </c>
      <c r="D420" t="s">
        <v>1940</v>
      </c>
      <c r="E420" t="s">
        <v>1292</v>
      </c>
      <c r="F420">
        <v>20</v>
      </c>
      <c r="G420">
        <v>17</v>
      </c>
      <c r="H420">
        <v>71</v>
      </c>
      <c r="I420" t="s">
        <v>147</v>
      </c>
      <c r="J420" t="s">
        <v>548</v>
      </c>
      <c r="K420" s="1">
        <v>45839</v>
      </c>
      <c r="L420" t="s">
        <v>141</v>
      </c>
      <c r="M420" t="s">
        <v>1941</v>
      </c>
      <c r="N420">
        <v>50</v>
      </c>
      <c r="O420">
        <v>65</v>
      </c>
      <c r="P420" t="s">
        <v>51</v>
      </c>
    </row>
    <row r="421" spans="1:16" x14ac:dyDescent="0.4">
      <c r="A421" t="s">
        <v>1942</v>
      </c>
      <c r="B421" t="s">
        <v>923</v>
      </c>
      <c r="C421" t="s">
        <v>77</v>
      </c>
      <c r="D421" t="s">
        <v>1943</v>
      </c>
      <c r="E421" t="s">
        <v>90</v>
      </c>
      <c r="F421">
        <v>31</v>
      </c>
      <c r="G421">
        <v>65</v>
      </c>
      <c r="H421">
        <v>94</v>
      </c>
      <c r="I421" t="s">
        <v>266</v>
      </c>
      <c r="J421" s="1">
        <v>45363</v>
      </c>
      <c r="K421" t="s">
        <v>383</v>
      </c>
      <c r="L421" s="1">
        <v>45446</v>
      </c>
      <c r="M421" t="s">
        <v>1944</v>
      </c>
      <c r="N421">
        <v>63</v>
      </c>
      <c r="O421">
        <v>7</v>
      </c>
      <c r="P421" t="s">
        <v>42</v>
      </c>
    </row>
    <row r="422" spans="1:16" x14ac:dyDescent="0.4">
      <c r="A422" t="s">
        <v>1945</v>
      </c>
      <c r="B422" t="s">
        <v>325</v>
      </c>
      <c r="C422" t="s">
        <v>77</v>
      </c>
      <c r="D422" t="s">
        <v>1946</v>
      </c>
      <c r="E422" t="s">
        <v>1947</v>
      </c>
      <c r="F422">
        <v>36</v>
      </c>
      <c r="G422">
        <v>75</v>
      </c>
      <c r="H422">
        <v>35</v>
      </c>
      <c r="I422" t="s">
        <v>407</v>
      </c>
      <c r="J422" t="s">
        <v>1053</v>
      </c>
      <c r="K422" t="s">
        <v>579</v>
      </c>
      <c r="L422" t="s">
        <v>1418</v>
      </c>
      <c r="M422" t="s">
        <v>1948</v>
      </c>
      <c r="N422">
        <v>26</v>
      </c>
      <c r="O422">
        <v>41</v>
      </c>
      <c r="P422" t="s">
        <v>26</v>
      </c>
    </row>
    <row r="423" spans="1:16" x14ac:dyDescent="0.4">
      <c r="A423" t="s">
        <v>1949</v>
      </c>
      <c r="B423" t="s">
        <v>431</v>
      </c>
      <c r="C423" t="s">
        <v>29</v>
      </c>
      <c r="D423" t="s">
        <v>1950</v>
      </c>
      <c r="E423" t="s">
        <v>535</v>
      </c>
      <c r="F423">
        <v>59</v>
      </c>
      <c r="G423">
        <v>20</v>
      </c>
      <c r="H423">
        <v>17</v>
      </c>
      <c r="I423" t="s">
        <v>220</v>
      </c>
      <c r="J423" s="1">
        <v>45455</v>
      </c>
      <c r="K423" t="s">
        <v>127</v>
      </c>
      <c r="L423" s="1">
        <v>45632</v>
      </c>
      <c r="M423" t="s">
        <v>1951</v>
      </c>
      <c r="N423">
        <v>45</v>
      </c>
      <c r="O423">
        <v>15</v>
      </c>
      <c r="P423" t="s">
        <v>26</v>
      </c>
    </row>
    <row r="424" spans="1:16" x14ac:dyDescent="0.4">
      <c r="A424" t="s">
        <v>1952</v>
      </c>
      <c r="B424" t="s">
        <v>44</v>
      </c>
      <c r="C424" t="s">
        <v>18</v>
      </c>
      <c r="D424" t="s">
        <v>1953</v>
      </c>
      <c r="E424" t="s">
        <v>365</v>
      </c>
      <c r="F424">
        <v>11</v>
      </c>
      <c r="G424">
        <v>10</v>
      </c>
      <c r="H424">
        <v>80</v>
      </c>
      <c r="I424" t="s">
        <v>47</v>
      </c>
      <c r="J424" s="1">
        <v>45418</v>
      </c>
      <c r="K424" t="s">
        <v>1351</v>
      </c>
      <c r="L424" s="1">
        <v>45330</v>
      </c>
      <c r="M424" t="s">
        <v>1954</v>
      </c>
      <c r="N424">
        <v>48</v>
      </c>
      <c r="O424">
        <v>65</v>
      </c>
      <c r="P424" t="s">
        <v>26</v>
      </c>
    </row>
    <row r="425" spans="1:16" x14ac:dyDescent="0.4">
      <c r="A425" t="s">
        <v>1955</v>
      </c>
      <c r="B425" t="s">
        <v>318</v>
      </c>
      <c r="C425" t="s">
        <v>29</v>
      </c>
      <c r="D425" t="s">
        <v>1956</v>
      </c>
      <c r="E425" t="s">
        <v>1957</v>
      </c>
      <c r="F425">
        <v>24</v>
      </c>
      <c r="G425">
        <v>77</v>
      </c>
      <c r="H425">
        <v>32</v>
      </c>
      <c r="I425" t="s">
        <v>1958</v>
      </c>
      <c r="J425" t="s">
        <v>72</v>
      </c>
      <c r="K425" s="1">
        <v>45571</v>
      </c>
      <c r="L425" s="1">
        <v>45385</v>
      </c>
      <c r="M425" t="s">
        <v>1959</v>
      </c>
      <c r="N425">
        <v>80</v>
      </c>
      <c r="O425">
        <v>42</v>
      </c>
      <c r="P425" t="s">
        <v>26</v>
      </c>
    </row>
    <row r="426" spans="1:16" x14ac:dyDescent="0.4">
      <c r="A426" t="s">
        <v>1960</v>
      </c>
      <c r="B426" t="s">
        <v>263</v>
      </c>
      <c r="C426" t="s">
        <v>169</v>
      </c>
      <c r="D426" t="s">
        <v>1961</v>
      </c>
      <c r="E426" t="s">
        <v>1962</v>
      </c>
      <c r="F426">
        <v>75</v>
      </c>
      <c r="G426">
        <v>80</v>
      </c>
      <c r="H426">
        <v>87</v>
      </c>
      <c r="I426" t="s">
        <v>266</v>
      </c>
      <c r="J426" s="1">
        <v>45450</v>
      </c>
      <c r="K426" s="1">
        <v>45361</v>
      </c>
      <c r="L426" t="s">
        <v>301</v>
      </c>
      <c r="M426" t="s">
        <v>1963</v>
      </c>
      <c r="N426">
        <v>49</v>
      </c>
      <c r="O426">
        <v>40</v>
      </c>
      <c r="P426" t="s">
        <v>42</v>
      </c>
    </row>
    <row r="427" spans="1:16" x14ac:dyDescent="0.4">
      <c r="A427" t="s">
        <v>1964</v>
      </c>
      <c r="B427" t="s">
        <v>318</v>
      </c>
      <c r="C427" t="s">
        <v>29</v>
      </c>
      <c r="D427" t="s">
        <v>1965</v>
      </c>
      <c r="E427" t="s">
        <v>133</v>
      </c>
      <c r="F427">
        <v>11</v>
      </c>
      <c r="G427">
        <v>72</v>
      </c>
      <c r="H427">
        <v>5</v>
      </c>
      <c r="I427" t="s">
        <v>320</v>
      </c>
      <c r="J427" s="1">
        <v>45511</v>
      </c>
      <c r="K427" s="1">
        <v>45606</v>
      </c>
      <c r="L427" s="1">
        <v>45963</v>
      </c>
      <c r="M427" t="s">
        <v>1966</v>
      </c>
      <c r="N427">
        <v>89</v>
      </c>
      <c r="O427">
        <v>4</v>
      </c>
      <c r="P427" t="s">
        <v>51</v>
      </c>
    </row>
    <row r="428" spans="1:16" x14ac:dyDescent="0.4">
      <c r="A428" t="s">
        <v>1967</v>
      </c>
      <c r="B428" t="s">
        <v>1017</v>
      </c>
      <c r="C428" t="s">
        <v>169</v>
      </c>
      <c r="D428" t="s">
        <v>1968</v>
      </c>
      <c r="E428" t="s">
        <v>1718</v>
      </c>
      <c r="F428">
        <v>60</v>
      </c>
      <c r="G428">
        <v>64</v>
      </c>
      <c r="H428">
        <v>36</v>
      </c>
      <c r="I428" t="s">
        <v>591</v>
      </c>
      <c r="J428" s="1">
        <v>45331</v>
      </c>
      <c r="K428" t="s">
        <v>656</v>
      </c>
      <c r="L428" t="s">
        <v>353</v>
      </c>
      <c r="M428" t="s">
        <v>1969</v>
      </c>
      <c r="N428">
        <v>34</v>
      </c>
      <c r="O428">
        <v>48</v>
      </c>
      <c r="P428" t="s">
        <v>26</v>
      </c>
    </row>
    <row r="429" spans="1:16" x14ac:dyDescent="0.4">
      <c r="A429" t="s">
        <v>1970</v>
      </c>
      <c r="B429" t="s">
        <v>311</v>
      </c>
      <c r="C429" t="s">
        <v>54</v>
      </c>
      <c r="D429" t="s">
        <v>1971</v>
      </c>
      <c r="E429" t="s">
        <v>1467</v>
      </c>
      <c r="F429">
        <v>91</v>
      </c>
      <c r="G429">
        <v>6</v>
      </c>
      <c r="H429">
        <v>37</v>
      </c>
      <c r="I429" t="s">
        <v>554</v>
      </c>
      <c r="J429" s="1">
        <v>45296</v>
      </c>
      <c r="K429" s="1">
        <v>45481</v>
      </c>
      <c r="L429" s="1">
        <v>45451</v>
      </c>
      <c r="M429" t="s">
        <v>1972</v>
      </c>
      <c r="N429">
        <v>38</v>
      </c>
      <c r="O429">
        <v>70</v>
      </c>
      <c r="P429" t="s">
        <v>42</v>
      </c>
    </row>
    <row r="430" spans="1:16" x14ac:dyDescent="0.4">
      <c r="A430" t="s">
        <v>1973</v>
      </c>
      <c r="B430" t="s">
        <v>76</v>
      </c>
      <c r="C430" t="s">
        <v>77</v>
      </c>
      <c r="D430" t="s">
        <v>1974</v>
      </c>
      <c r="E430" t="s">
        <v>1975</v>
      </c>
      <c r="F430">
        <v>43</v>
      </c>
      <c r="G430">
        <v>78</v>
      </c>
      <c r="H430">
        <v>85</v>
      </c>
      <c r="I430" t="s">
        <v>71</v>
      </c>
      <c r="J430" s="1">
        <v>45538</v>
      </c>
      <c r="K430" t="s">
        <v>382</v>
      </c>
      <c r="L430" t="s">
        <v>165</v>
      </c>
      <c r="M430" t="s">
        <v>1976</v>
      </c>
      <c r="N430">
        <v>48</v>
      </c>
      <c r="O430">
        <v>98</v>
      </c>
      <c r="P430" t="s">
        <v>42</v>
      </c>
    </row>
    <row r="431" spans="1:16" x14ac:dyDescent="0.4">
      <c r="A431" t="s">
        <v>1977</v>
      </c>
      <c r="B431" t="s">
        <v>138</v>
      </c>
      <c r="C431" t="s">
        <v>18</v>
      </c>
      <c r="D431" t="s">
        <v>1978</v>
      </c>
      <c r="E431" t="s">
        <v>925</v>
      </c>
      <c r="F431">
        <v>25</v>
      </c>
      <c r="G431">
        <v>60</v>
      </c>
      <c r="H431">
        <v>36</v>
      </c>
      <c r="I431" t="s">
        <v>47</v>
      </c>
      <c r="J431" t="s">
        <v>280</v>
      </c>
      <c r="K431" t="s">
        <v>893</v>
      </c>
      <c r="L431" t="s">
        <v>287</v>
      </c>
      <c r="M431" t="s">
        <v>1979</v>
      </c>
      <c r="N431">
        <v>31</v>
      </c>
      <c r="O431">
        <v>41</v>
      </c>
      <c r="P431" t="s">
        <v>42</v>
      </c>
    </row>
    <row r="432" spans="1:16" x14ac:dyDescent="0.4">
      <c r="A432" t="s">
        <v>1980</v>
      </c>
      <c r="B432" t="s">
        <v>189</v>
      </c>
      <c r="C432" t="s">
        <v>77</v>
      </c>
      <c r="D432" t="s">
        <v>1981</v>
      </c>
      <c r="E432" t="s">
        <v>1585</v>
      </c>
      <c r="F432">
        <v>96</v>
      </c>
      <c r="G432">
        <v>9</v>
      </c>
      <c r="H432">
        <v>57</v>
      </c>
      <c r="I432" t="s">
        <v>1982</v>
      </c>
      <c r="J432" t="s">
        <v>321</v>
      </c>
      <c r="K432" t="s">
        <v>688</v>
      </c>
      <c r="L432" s="1">
        <v>45451</v>
      </c>
      <c r="M432" t="s">
        <v>1983</v>
      </c>
      <c r="N432">
        <v>78</v>
      </c>
      <c r="O432">
        <v>67</v>
      </c>
      <c r="P432" t="s">
        <v>51</v>
      </c>
    </row>
    <row r="433" spans="1:16" x14ac:dyDescent="0.4">
      <c r="A433" t="s">
        <v>1984</v>
      </c>
      <c r="B433" t="s">
        <v>1290</v>
      </c>
      <c r="C433" t="s">
        <v>169</v>
      </c>
      <c r="D433" t="s">
        <v>1985</v>
      </c>
      <c r="E433" t="s">
        <v>1986</v>
      </c>
      <c r="F433">
        <v>30</v>
      </c>
      <c r="G433">
        <v>29</v>
      </c>
      <c r="H433">
        <v>70</v>
      </c>
      <c r="I433" t="s">
        <v>1293</v>
      </c>
      <c r="J433" t="s">
        <v>165</v>
      </c>
      <c r="K433" t="s">
        <v>244</v>
      </c>
      <c r="L433" t="s">
        <v>567</v>
      </c>
      <c r="M433" t="s">
        <v>1987</v>
      </c>
      <c r="N433">
        <v>80</v>
      </c>
      <c r="O433">
        <v>43</v>
      </c>
      <c r="P433" t="s">
        <v>42</v>
      </c>
    </row>
    <row r="434" spans="1:16" x14ac:dyDescent="0.4">
      <c r="A434" t="s">
        <v>1988</v>
      </c>
      <c r="B434" t="s">
        <v>517</v>
      </c>
      <c r="C434" t="s">
        <v>18</v>
      </c>
      <c r="D434" t="s">
        <v>1989</v>
      </c>
      <c r="E434" t="s">
        <v>1990</v>
      </c>
      <c r="F434">
        <v>56</v>
      </c>
      <c r="G434">
        <v>4</v>
      </c>
      <c r="H434">
        <v>74</v>
      </c>
      <c r="I434" t="s">
        <v>21</v>
      </c>
      <c r="J434" t="s">
        <v>1014</v>
      </c>
      <c r="K434" s="1">
        <v>45389</v>
      </c>
      <c r="L434" t="s">
        <v>40</v>
      </c>
      <c r="M434" t="s">
        <v>1991</v>
      </c>
      <c r="N434">
        <v>61</v>
      </c>
      <c r="O434">
        <v>73</v>
      </c>
      <c r="P434" t="s">
        <v>51</v>
      </c>
    </row>
    <row r="435" spans="1:16" x14ac:dyDescent="0.4">
      <c r="A435" t="s">
        <v>1992</v>
      </c>
      <c r="B435" t="s">
        <v>1835</v>
      </c>
      <c r="C435" t="s">
        <v>112</v>
      </c>
      <c r="D435" t="s">
        <v>1993</v>
      </c>
      <c r="E435" t="s">
        <v>735</v>
      </c>
      <c r="F435">
        <v>91</v>
      </c>
      <c r="G435">
        <v>71</v>
      </c>
      <c r="H435">
        <v>17</v>
      </c>
      <c r="I435" t="s">
        <v>242</v>
      </c>
      <c r="J435" s="1">
        <v>45931</v>
      </c>
      <c r="K435" s="1">
        <v>45299</v>
      </c>
      <c r="L435" s="1">
        <v>45357</v>
      </c>
      <c r="M435" t="s">
        <v>1994</v>
      </c>
      <c r="N435">
        <v>74</v>
      </c>
      <c r="O435">
        <v>57</v>
      </c>
      <c r="P435" t="s">
        <v>51</v>
      </c>
    </row>
    <row r="436" spans="1:16" x14ac:dyDescent="0.4">
      <c r="A436" t="s">
        <v>1995</v>
      </c>
      <c r="B436" t="s">
        <v>103</v>
      </c>
      <c r="C436" t="s">
        <v>18</v>
      </c>
      <c r="D436" t="s">
        <v>1996</v>
      </c>
      <c r="E436" t="s">
        <v>1120</v>
      </c>
      <c r="F436">
        <v>27</v>
      </c>
      <c r="G436">
        <v>64</v>
      </c>
      <c r="H436">
        <v>78</v>
      </c>
      <c r="I436" t="s">
        <v>106</v>
      </c>
      <c r="J436" t="s">
        <v>173</v>
      </c>
      <c r="K436" s="1">
        <v>45387</v>
      </c>
      <c r="L436" t="s">
        <v>811</v>
      </c>
      <c r="M436" t="s">
        <v>1997</v>
      </c>
      <c r="N436">
        <v>57</v>
      </c>
      <c r="O436">
        <v>4</v>
      </c>
      <c r="P436" t="s">
        <v>51</v>
      </c>
    </row>
    <row r="437" spans="1:16" x14ac:dyDescent="0.4">
      <c r="A437" t="s">
        <v>1998</v>
      </c>
      <c r="B437" t="s">
        <v>820</v>
      </c>
      <c r="C437" t="s">
        <v>77</v>
      </c>
      <c r="D437" t="s">
        <v>1999</v>
      </c>
      <c r="E437" t="s">
        <v>641</v>
      </c>
      <c r="F437">
        <v>28</v>
      </c>
      <c r="G437">
        <v>90</v>
      </c>
      <c r="H437">
        <v>70</v>
      </c>
      <c r="I437" t="s">
        <v>1593</v>
      </c>
      <c r="J437" s="1">
        <v>45423</v>
      </c>
      <c r="K437" t="s">
        <v>180</v>
      </c>
      <c r="L437" t="s">
        <v>366</v>
      </c>
      <c r="M437" t="s">
        <v>2000</v>
      </c>
      <c r="N437">
        <v>76</v>
      </c>
      <c r="O437">
        <v>78</v>
      </c>
      <c r="P437" t="s">
        <v>51</v>
      </c>
    </row>
    <row r="438" spans="1:16" x14ac:dyDescent="0.4">
      <c r="A438" t="s">
        <v>2001</v>
      </c>
      <c r="B438" t="s">
        <v>839</v>
      </c>
      <c r="C438" t="s">
        <v>77</v>
      </c>
      <c r="D438" t="s">
        <v>2002</v>
      </c>
      <c r="E438" t="s">
        <v>186</v>
      </c>
      <c r="F438">
        <v>92</v>
      </c>
      <c r="G438">
        <v>67</v>
      </c>
      <c r="H438">
        <v>51</v>
      </c>
      <c r="I438" t="s">
        <v>57</v>
      </c>
      <c r="J438" s="1">
        <v>45416</v>
      </c>
      <c r="K438" s="1">
        <v>45547</v>
      </c>
      <c r="L438" t="s">
        <v>148</v>
      </c>
      <c r="M438" t="s">
        <v>2003</v>
      </c>
      <c r="N438">
        <v>23</v>
      </c>
      <c r="O438">
        <v>78</v>
      </c>
      <c r="P438" t="s">
        <v>26</v>
      </c>
    </row>
    <row r="439" spans="1:16" x14ac:dyDescent="0.4">
      <c r="A439" t="s">
        <v>2004</v>
      </c>
      <c r="B439" t="s">
        <v>814</v>
      </c>
      <c r="C439" t="s">
        <v>169</v>
      </c>
      <c r="D439" t="s">
        <v>2005</v>
      </c>
      <c r="E439" t="s">
        <v>1242</v>
      </c>
      <c r="F439">
        <v>37</v>
      </c>
      <c r="G439">
        <v>33</v>
      </c>
      <c r="H439">
        <v>80</v>
      </c>
      <c r="I439" t="s">
        <v>817</v>
      </c>
      <c r="J439" t="s">
        <v>192</v>
      </c>
      <c r="K439" s="1">
        <v>45570</v>
      </c>
      <c r="L439" s="1">
        <v>45387</v>
      </c>
      <c r="M439" t="s">
        <v>2006</v>
      </c>
      <c r="N439">
        <v>27</v>
      </c>
      <c r="O439">
        <v>73</v>
      </c>
      <c r="P439" t="s">
        <v>42</v>
      </c>
    </row>
    <row r="440" spans="1:16" x14ac:dyDescent="0.4">
      <c r="A440" t="s">
        <v>2007</v>
      </c>
      <c r="B440" t="s">
        <v>885</v>
      </c>
      <c r="C440" t="s">
        <v>18</v>
      </c>
      <c r="D440" t="s">
        <v>2008</v>
      </c>
      <c r="E440" t="s">
        <v>2009</v>
      </c>
      <c r="F440">
        <v>28</v>
      </c>
      <c r="G440">
        <v>24</v>
      </c>
      <c r="H440">
        <v>97</v>
      </c>
      <c r="I440" t="s">
        <v>71</v>
      </c>
      <c r="J440" t="s">
        <v>40</v>
      </c>
      <c r="K440" s="1">
        <v>45631</v>
      </c>
      <c r="L440" s="1">
        <v>45542</v>
      </c>
      <c r="M440" t="s">
        <v>2010</v>
      </c>
      <c r="N440">
        <v>82</v>
      </c>
      <c r="O440">
        <v>5</v>
      </c>
      <c r="P440" t="s">
        <v>26</v>
      </c>
    </row>
    <row r="441" spans="1:16" x14ac:dyDescent="0.4">
      <c r="A441" t="s">
        <v>2011</v>
      </c>
      <c r="B441" t="s">
        <v>677</v>
      </c>
      <c r="C441" t="s">
        <v>169</v>
      </c>
      <c r="D441" t="s">
        <v>2012</v>
      </c>
      <c r="E441" t="s">
        <v>38</v>
      </c>
      <c r="F441">
        <v>30</v>
      </c>
      <c r="G441">
        <v>42</v>
      </c>
      <c r="H441">
        <v>8</v>
      </c>
      <c r="I441" t="s">
        <v>134</v>
      </c>
      <c r="J441" s="1">
        <v>45327</v>
      </c>
      <c r="K441" s="1">
        <v>45809</v>
      </c>
      <c r="L441" s="1">
        <v>45603</v>
      </c>
      <c r="M441" t="s">
        <v>2013</v>
      </c>
      <c r="N441">
        <v>48</v>
      </c>
      <c r="O441">
        <v>23</v>
      </c>
      <c r="P441" t="s">
        <v>51</v>
      </c>
    </row>
    <row r="442" spans="1:16" x14ac:dyDescent="0.4">
      <c r="A442" t="s">
        <v>2014</v>
      </c>
      <c r="B442" t="s">
        <v>28</v>
      </c>
      <c r="C442" t="s">
        <v>29</v>
      </c>
      <c r="D442" t="s">
        <v>2015</v>
      </c>
      <c r="E442" t="s">
        <v>1069</v>
      </c>
      <c r="F442">
        <v>98</v>
      </c>
      <c r="G442">
        <v>83</v>
      </c>
      <c r="H442">
        <v>5</v>
      </c>
      <c r="I442" t="s">
        <v>32</v>
      </c>
      <c r="J442" s="1">
        <v>45450</v>
      </c>
      <c r="K442" t="s">
        <v>450</v>
      </c>
      <c r="L442" t="s">
        <v>268</v>
      </c>
      <c r="M442" t="s">
        <v>2016</v>
      </c>
      <c r="N442">
        <v>39</v>
      </c>
      <c r="O442">
        <v>79</v>
      </c>
      <c r="P442" t="s">
        <v>51</v>
      </c>
    </row>
    <row r="443" spans="1:16" x14ac:dyDescent="0.4">
      <c r="A443" t="s">
        <v>2017</v>
      </c>
      <c r="B443" t="s">
        <v>311</v>
      </c>
      <c r="C443" t="s">
        <v>54</v>
      </c>
      <c r="D443" t="s">
        <v>2018</v>
      </c>
      <c r="E443" t="s">
        <v>634</v>
      </c>
      <c r="F443">
        <v>65</v>
      </c>
      <c r="G443">
        <v>88</v>
      </c>
      <c r="H443">
        <v>20</v>
      </c>
      <c r="I443" t="s">
        <v>71</v>
      </c>
      <c r="J443" t="s">
        <v>366</v>
      </c>
      <c r="K443" t="s">
        <v>473</v>
      </c>
      <c r="L443" t="s">
        <v>525</v>
      </c>
      <c r="M443" t="s">
        <v>2019</v>
      </c>
      <c r="N443">
        <v>89</v>
      </c>
      <c r="O443">
        <v>37</v>
      </c>
      <c r="P443" t="s">
        <v>42</v>
      </c>
    </row>
    <row r="444" spans="1:16" x14ac:dyDescent="0.4">
      <c r="A444" t="s">
        <v>2020</v>
      </c>
      <c r="B444" t="s">
        <v>627</v>
      </c>
      <c r="C444" t="s">
        <v>18</v>
      </c>
      <c r="D444" t="s">
        <v>2021</v>
      </c>
      <c r="E444" t="s">
        <v>1364</v>
      </c>
      <c r="F444">
        <v>42</v>
      </c>
      <c r="G444">
        <v>3</v>
      </c>
      <c r="H444">
        <v>21</v>
      </c>
      <c r="I444" t="s">
        <v>106</v>
      </c>
      <c r="J444" t="s">
        <v>24</v>
      </c>
      <c r="K444" t="s">
        <v>542</v>
      </c>
      <c r="L444" t="s">
        <v>935</v>
      </c>
      <c r="M444" t="s">
        <v>2022</v>
      </c>
      <c r="N444">
        <v>35</v>
      </c>
      <c r="O444">
        <v>22</v>
      </c>
      <c r="P444" t="s">
        <v>51</v>
      </c>
    </row>
    <row r="445" spans="1:16" x14ac:dyDescent="0.4">
      <c r="A445" t="s">
        <v>2023</v>
      </c>
      <c r="B445" t="s">
        <v>311</v>
      </c>
      <c r="C445" t="s">
        <v>54</v>
      </c>
      <c r="D445" t="s">
        <v>2024</v>
      </c>
      <c r="E445" t="s">
        <v>2025</v>
      </c>
      <c r="F445">
        <v>63</v>
      </c>
      <c r="G445">
        <v>60</v>
      </c>
      <c r="H445">
        <v>54</v>
      </c>
      <c r="I445" t="s">
        <v>71</v>
      </c>
      <c r="J445" t="s">
        <v>268</v>
      </c>
      <c r="K445" t="s">
        <v>736</v>
      </c>
      <c r="L445" t="s">
        <v>643</v>
      </c>
      <c r="M445" t="s">
        <v>2026</v>
      </c>
      <c r="N445">
        <v>33</v>
      </c>
      <c r="O445">
        <v>31</v>
      </c>
      <c r="P445" t="s">
        <v>42</v>
      </c>
    </row>
    <row r="446" spans="1:16" x14ac:dyDescent="0.4">
      <c r="A446" t="s">
        <v>2027</v>
      </c>
      <c r="B446" t="s">
        <v>476</v>
      </c>
      <c r="C446" t="s">
        <v>54</v>
      </c>
      <c r="D446" t="s">
        <v>2028</v>
      </c>
      <c r="E446" t="s">
        <v>1581</v>
      </c>
      <c r="F446">
        <v>85</v>
      </c>
      <c r="G446">
        <v>54</v>
      </c>
      <c r="H446">
        <v>18</v>
      </c>
      <c r="I446" t="s">
        <v>57</v>
      </c>
      <c r="J446" t="s">
        <v>358</v>
      </c>
      <c r="K446" t="s">
        <v>415</v>
      </c>
      <c r="L446" t="s">
        <v>866</v>
      </c>
      <c r="M446" t="s">
        <v>2029</v>
      </c>
      <c r="N446">
        <v>85</v>
      </c>
      <c r="O446">
        <v>44</v>
      </c>
      <c r="P446" t="s">
        <v>26</v>
      </c>
    </row>
    <row r="447" spans="1:16" x14ac:dyDescent="0.4">
      <c r="A447" t="s">
        <v>2030</v>
      </c>
      <c r="B447" t="s">
        <v>88</v>
      </c>
      <c r="C447" t="s">
        <v>77</v>
      </c>
      <c r="D447" t="s">
        <v>2031</v>
      </c>
      <c r="E447" t="s">
        <v>881</v>
      </c>
      <c r="F447">
        <v>44</v>
      </c>
      <c r="G447">
        <v>75</v>
      </c>
      <c r="H447">
        <v>72</v>
      </c>
      <c r="I447" t="s">
        <v>91</v>
      </c>
      <c r="J447" t="s">
        <v>524</v>
      </c>
      <c r="K447" t="s">
        <v>1188</v>
      </c>
      <c r="L447" s="1">
        <v>45330</v>
      </c>
      <c r="M447" t="s">
        <v>2032</v>
      </c>
      <c r="N447">
        <v>96</v>
      </c>
      <c r="O447">
        <v>38</v>
      </c>
      <c r="P447" t="s">
        <v>26</v>
      </c>
    </row>
    <row r="448" spans="1:16" x14ac:dyDescent="0.4">
      <c r="A448" t="s">
        <v>2033</v>
      </c>
      <c r="B448" t="s">
        <v>53</v>
      </c>
      <c r="C448" t="s">
        <v>54</v>
      </c>
      <c r="D448" t="s">
        <v>2034</v>
      </c>
      <c r="E448" t="s">
        <v>191</v>
      </c>
      <c r="F448">
        <v>26</v>
      </c>
      <c r="G448">
        <v>69</v>
      </c>
      <c r="H448">
        <v>90</v>
      </c>
      <c r="I448" t="s">
        <v>57</v>
      </c>
      <c r="J448" s="1">
        <v>45638</v>
      </c>
      <c r="K448" s="1">
        <v>45510</v>
      </c>
      <c r="L448" t="s">
        <v>1357</v>
      </c>
      <c r="M448" t="s">
        <v>2035</v>
      </c>
      <c r="N448">
        <v>47</v>
      </c>
      <c r="O448">
        <v>35</v>
      </c>
      <c r="P448" t="s">
        <v>51</v>
      </c>
    </row>
    <row r="449" spans="1:16" x14ac:dyDescent="0.4">
      <c r="A449" t="s">
        <v>2036</v>
      </c>
      <c r="B449" t="s">
        <v>1534</v>
      </c>
      <c r="C449" t="s">
        <v>18</v>
      </c>
      <c r="D449" t="s">
        <v>2037</v>
      </c>
      <c r="E449" t="s">
        <v>934</v>
      </c>
      <c r="F449">
        <v>49</v>
      </c>
      <c r="G449">
        <v>59</v>
      </c>
      <c r="H449">
        <v>73</v>
      </c>
      <c r="I449" t="s">
        <v>220</v>
      </c>
      <c r="J449" t="s">
        <v>946</v>
      </c>
      <c r="K449" s="1">
        <v>45447</v>
      </c>
      <c r="L449" t="s">
        <v>64</v>
      </c>
      <c r="M449" t="s">
        <v>2038</v>
      </c>
      <c r="N449">
        <v>93</v>
      </c>
      <c r="O449">
        <v>45</v>
      </c>
      <c r="P449" t="s">
        <v>26</v>
      </c>
    </row>
    <row r="450" spans="1:16" x14ac:dyDescent="0.4">
      <c r="A450" t="s">
        <v>2039</v>
      </c>
      <c r="B450" t="s">
        <v>722</v>
      </c>
      <c r="C450" t="s">
        <v>54</v>
      </c>
      <c r="D450" t="s">
        <v>2040</v>
      </c>
      <c r="E450" t="s">
        <v>887</v>
      </c>
      <c r="F450">
        <v>59</v>
      </c>
      <c r="G450">
        <v>79</v>
      </c>
      <c r="H450">
        <v>87</v>
      </c>
      <c r="I450" t="s">
        <v>39</v>
      </c>
      <c r="J450" s="1">
        <v>45360</v>
      </c>
      <c r="K450" s="1">
        <v>45361</v>
      </c>
      <c r="L450" t="s">
        <v>609</v>
      </c>
      <c r="M450" t="s">
        <v>2041</v>
      </c>
      <c r="N450">
        <v>47</v>
      </c>
      <c r="O450">
        <v>18</v>
      </c>
      <c r="P450" t="s">
        <v>51</v>
      </c>
    </row>
    <row r="451" spans="1:16" x14ac:dyDescent="0.4">
      <c r="A451" t="s">
        <v>2042</v>
      </c>
      <c r="B451" t="s">
        <v>196</v>
      </c>
      <c r="C451" t="s">
        <v>18</v>
      </c>
      <c r="D451" t="s">
        <v>2043</v>
      </c>
      <c r="E451" t="s">
        <v>1461</v>
      </c>
      <c r="F451">
        <v>19</v>
      </c>
      <c r="G451">
        <v>81</v>
      </c>
      <c r="H451">
        <v>33</v>
      </c>
      <c r="I451" t="s">
        <v>47</v>
      </c>
      <c r="J451" t="s">
        <v>23</v>
      </c>
      <c r="K451" t="s">
        <v>199</v>
      </c>
      <c r="L451" t="s">
        <v>898</v>
      </c>
      <c r="M451" t="s">
        <v>2044</v>
      </c>
      <c r="N451">
        <v>39</v>
      </c>
      <c r="O451">
        <v>85</v>
      </c>
      <c r="P451" t="s">
        <v>42</v>
      </c>
    </row>
    <row r="452" spans="1:16" x14ac:dyDescent="0.4">
      <c r="A452" t="s">
        <v>2045</v>
      </c>
      <c r="B452" t="s">
        <v>482</v>
      </c>
      <c r="C452" t="s">
        <v>54</v>
      </c>
      <c r="D452" t="s">
        <v>2046</v>
      </c>
      <c r="E452" t="s">
        <v>334</v>
      </c>
      <c r="F452">
        <v>47</v>
      </c>
      <c r="G452">
        <v>41</v>
      </c>
      <c r="H452">
        <v>63</v>
      </c>
      <c r="I452" t="s">
        <v>85</v>
      </c>
      <c r="J452" t="s">
        <v>643</v>
      </c>
      <c r="K452" s="1">
        <v>45297</v>
      </c>
      <c r="L452" s="1">
        <v>45901</v>
      </c>
      <c r="M452" t="s">
        <v>2047</v>
      </c>
      <c r="N452">
        <v>39</v>
      </c>
      <c r="O452">
        <v>54</v>
      </c>
      <c r="P452" t="s">
        <v>51</v>
      </c>
    </row>
    <row r="453" spans="1:16" x14ac:dyDescent="0.4">
      <c r="A453" t="s">
        <v>2048</v>
      </c>
      <c r="B453" t="s">
        <v>1383</v>
      </c>
      <c r="C453" t="s">
        <v>54</v>
      </c>
      <c r="D453" t="s">
        <v>2049</v>
      </c>
      <c r="E453" t="s">
        <v>1758</v>
      </c>
      <c r="F453">
        <v>98</v>
      </c>
      <c r="G453">
        <v>62</v>
      </c>
      <c r="H453">
        <v>97</v>
      </c>
      <c r="I453" t="s">
        <v>1386</v>
      </c>
      <c r="J453" t="s">
        <v>666</v>
      </c>
      <c r="K453" t="s">
        <v>1331</v>
      </c>
      <c r="L453" s="1">
        <v>45902</v>
      </c>
      <c r="M453" t="s">
        <v>2050</v>
      </c>
      <c r="N453">
        <v>59</v>
      </c>
      <c r="O453">
        <v>19</v>
      </c>
      <c r="P453" t="s">
        <v>51</v>
      </c>
    </row>
    <row r="454" spans="1:16" x14ac:dyDescent="0.4">
      <c r="A454" t="s">
        <v>2051</v>
      </c>
      <c r="B454" t="s">
        <v>994</v>
      </c>
      <c r="C454" t="s">
        <v>54</v>
      </c>
      <c r="D454" t="s">
        <v>2052</v>
      </c>
      <c r="E454" t="s">
        <v>2053</v>
      </c>
      <c r="F454">
        <v>51</v>
      </c>
      <c r="G454">
        <v>72</v>
      </c>
      <c r="H454">
        <v>85</v>
      </c>
      <c r="I454" t="s">
        <v>85</v>
      </c>
      <c r="J454" t="s">
        <v>1630</v>
      </c>
      <c r="K454" t="s">
        <v>1482</v>
      </c>
      <c r="L454" t="s">
        <v>415</v>
      </c>
      <c r="M454" t="s">
        <v>2054</v>
      </c>
      <c r="N454">
        <v>23</v>
      </c>
      <c r="O454">
        <v>17</v>
      </c>
      <c r="P454" t="s">
        <v>51</v>
      </c>
    </row>
    <row r="455" spans="1:16" x14ac:dyDescent="0.4">
      <c r="A455" t="s">
        <v>2055</v>
      </c>
      <c r="B455" t="s">
        <v>1017</v>
      </c>
      <c r="C455" t="s">
        <v>169</v>
      </c>
      <c r="D455" t="s">
        <v>2056</v>
      </c>
      <c r="E455" t="s">
        <v>832</v>
      </c>
      <c r="F455">
        <v>100</v>
      </c>
      <c r="G455">
        <v>99</v>
      </c>
      <c r="H455">
        <v>8</v>
      </c>
      <c r="I455" t="s">
        <v>591</v>
      </c>
      <c r="J455" t="s">
        <v>48</v>
      </c>
      <c r="K455" t="s">
        <v>1272</v>
      </c>
      <c r="L455" s="1">
        <v>45485</v>
      </c>
      <c r="M455" t="s">
        <v>2057</v>
      </c>
      <c r="N455">
        <v>54</v>
      </c>
      <c r="O455">
        <v>92</v>
      </c>
      <c r="P455" t="s">
        <v>26</v>
      </c>
    </row>
    <row r="456" spans="1:16" x14ac:dyDescent="0.4">
      <c r="A456" t="s">
        <v>2058</v>
      </c>
      <c r="B456" t="s">
        <v>1485</v>
      </c>
      <c r="C456" t="s">
        <v>77</v>
      </c>
      <c r="D456" t="s">
        <v>2059</v>
      </c>
      <c r="E456" t="s">
        <v>20</v>
      </c>
      <c r="F456">
        <v>55</v>
      </c>
      <c r="G456">
        <v>50</v>
      </c>
      <c r="H456">
        <v>56</v>
      </c>
      <c r="I456" t="s">
        <v>2060</v>
      </c>
      <c r="J456" s="1">
        <v>45297</v>
      </c>
      <c r="K456" s="1">
        <v>45546</v>
      </c>
      <c r="L456" t="s">
        <v>455</v>
      </c>
      <c r="M456" t="s">
        <v>2061</v>
      </c>
      <c r="N456">
        <v>62</v>
      </c>
      <c r="O456">
        <v>26</v>
      </c>
      <c r="P456" t="s">
        <v>42</v>
      </c>
    </row>
    <row r="457" spans="1:16" x14ac:dyDescent="0.4">
      <c r="A457" t="s">
        <v>2062</v>
      </c>
      <c r="B457" t="s">
        <v>663</v>
      </c>
      <c r="C457" t="s">
        <v>77</v>
      </c>
      <c r="D457" t="s">
        <v>2063</v>
      </c>
      <c r="E457" t="s">
        <v>2064</v>
      </c>
      <c r="F457">
        <v>14</v>
      </c>
      <c r="G457">
        <v>87</v>
      </c>
      <c r="H457">
        <v>8</v>
      </c>
      <c r="I457" t="s">
        <v>57</v>
      </c>
      <c r="J457" s="1">
        <v>45568</v>
      </c>
      <c r="K457" s="1">
        <v>45607</v>
      </c>
      <c r="L457" t="s">
        <v>585</v>
      </c>
      <c r="M457" t="s">
        <v>2065</v>
      </c>
      <c r="N457">
        <v>90</v>
      </c>
      <c r="O457">
        <v>14</v>
      </c>
      <c r="P457" t="s">
        <v>51</v>
      </c>
    </row>
    <row r="458" spans="1:16" x14ac:dyDescent="0.4">
      <c r="A458" t="s">
        <v>2066</v>
      </c>
      <c r="B458" t="s">
        <v>203</v>
      </c>
      <c r="C458" t="s">
        <v>77</v>
      </c>
      <c r="D458" t="s">
        <v>2067</v>
      </c>
      <c r="E458" t="s">
        <v>401</v>
      </c>
      <c r="F458">
        <v>29</v>
      </c>
      <c r="G458">
        <v>33</v>
      </c>
      <c r="H458">
        <v>88</v>
      </c>
      <c r="I458" t="s">
        <v>206</v>
      </c>
      <c r="J458" t="s">
        <v>1357</v>
      </c>
      <c r="K458" t="s">
        <v>243</v>
      </c>
      <c r="L458" t="s">
        <v>372</v>
      </c>
      <c r="M458" t="s">
        <v>2068</v>
      </c>
      <c r="N458">
        <v>50</v>
      </c>
      <c r="O458">
        <v>35</v>
      </c>
      <c r="P458" t="s">
        <v>26</v>
      </c>
    </row>
    <row r="459" spans="1:16" x14ac:dyDescent="0.4">
      <c r="A459" t="s">
        <v>2069</v>
      </c>
      <c r="B459" t="s">
        <v>595</v>
      </c>
      <c r="C459" t="s">
        <v>112</v>
      </c>
      <c r="D459" t="s">
        <v>2070</v>
      </c>
      <c r="E459" t="s">
        <v>1183</v>
      </c>
      <c r="F459">
        <v>100</v>
      </c>
      <c r="G459">
        <v>1</v>
      </c>
      <c r="H459">
        <v>26</v>
      </c>
      <c r="I459" t="s">
        <v>220</v>
      </c>
      <c r="J459" s="1">
        <v>45330</v>
      </c>
      <c r="K459" t="s">
        <v>549</v>
      </c>
      <c r="L459" t="s">
        <v>1357</v>
      </c>
      <c r="M459" t="s">
        <v>2071</v>
      </c>
      <c r="N459">
        <v>47</v>
      </c>
      <c r="O459">
        <v>79</v>
      </c>
      <c r="P459" t="s">
        <v>51</v>
      </c>
    </row>
    <row r="460" spans="1:16" x14ac:dyDescent="0.4">
      <c r="A460" t="s">
        <v>2072</v>
      </c>
      <c r="B460" t="s">
        <v>447</v>
      </c>
      <c r="C460" t="s">
        <v>77</v>
      </c>
      <c r="D460" t="s">
        <v>2073</v>
      </c>
      <c r="E460" t="s">
        <v>1292</v>
      </c>
      <c r="F460">
        <v>49</v>
      </c>
      <c r="G460">
        <v>28</v>
      </c>
      <c r="H460">
        <v>74</v>
      </c>
      <c r="I460" t="s">
        <v>39</v>
      </c>
      <c r="J460" s="1">
        <v>45901</v>
      </c>
      <c r="K460" t="s">
        <v>1217</v>
      </c>
      <c r="L460" t="s">
        <v>181</v>
      </c>
      <c r="M460" t="s">
        <v>2074</v>
      </c>
      <c r="N460">
        <v>70</v>
      </c>
      <c r="O460">
        <v>38</v>
      </c>
      <c r="P460" t="s">
        <v>26</v>
      </c>
    </row>
    <row r="461" spans="1:16" x14ac:dyDescent="0.4">
      <c r="A461" t="s">
        <v>2075</v>
      </c>
      <c r="B461" t="s">
        <v>912</v>
      </c>
      <c r="C461" t="s">
        <v>68</v>
      </c>
      <c r="D461" t="s">
        <v>2076</v>
      </c>
      <c r="E461" t="s">
        <v>1512</v>
      </c>
      <c r="F461">
        <v>75</v>
      </c>
      <c r="G461">
        <v>61</v>
      </c>
      <c r="H461">
        <v>19</v>
      </c>
      <c r="I461" t="s">
        <v>106</v>
      </c>
      <c r="J461" t="s">
        <v>1500</v>
      </c>
      <c r="K461" t="s">
        <v>1664</v>
      </c>
      <c r="L461" s="1">
        <v>45332</v>
      </c>
      <c r="M461" t="s">
        <v>2077</v>
      </c>
      <c r="N461">
        <v>79</v>
      </c>
      <c r="O461">
        <v>69</v>
      </c>
      <c r="P461" t="s">
        <v>42</v>
      </c>
    </row>
    <row r="462" spans="1:16" x14ac:dyDescent="0.4">
      <c r="A462" t="s">
        <v>2078</v>
      </c>
      <c r="B462" t="s">
        <v>492</v>
      </c>
      <c r="C462" t="s">
        <v>77</v>
      </c>
      <c r="D462" t="s">
        <v>2079</v>
      </c>
      <c r="E462" t="s">
        <v>2080</v>
      </c>
      <c r="F462">
        <v>82</v>
      </c>
      <c r="G462">
        <v>12</v>
      </c>
      <c r="H462">
        <v>94</v>
      </c>
      <c r="I462" t="s">
        <v>2081</v>
      </c>
      <c r="J462" t="s">
        <v>592</v>
      </c>
      <c r="K462" t="s">
        <v>73</v>
      </c>
      <c r="L462" t="s">
        <v>299</v>
      </c>
      <c r="M462" t="s">
        <v>2082</v>
      </c>
      <c r="N462">
        <v>69</v>
      </c>
      <c r="O462">
        <v>93</v>
      </c>
      <c r="P462" t="s">
        <v>51</v>
      </c>
    </row>
    <row r="463" spans="1:16" x14ac:dyDescent="0.4">
      <c r="A463" t="s">
        <v>2083</v>
      </c>
      <c r="B463" t="s">
        <v>659</v>
      </c>
      <c r="C463" t="s">
        <v>77</v>
      </c>
      <c r="D463" t="s">
        <v>2084</v>
      </c>
      <c r="E463" t="s">
        <v>31</v>
      </c>
      <c r="F463">
        <v>68</v>
      </c>
      <c r="G463">
        <v>82</v>
      </c>
      <c r="H463">
        <v>58</v>
      </c>
      <c r="I463" t="s">
        <v>978</v>
      </c>
      <c r="J463" s="1">
        <v>45508</v>
      </c>
      <c r="K463" t="s">
        <v>301</v>
      </c>
      <c r="L463" s="1">
        <v>45416</v>
      </c>
      <c r="M463" t="s">
        <v>2085</v>
      </c>
      <c r="N463">
        <v>90</v>
      </c>
      <c r="O463">
        <v>2</v>
      </c>
      <c r="P463" t="s">
        <v>42</v>
      </c>
    </row>
    <row r="464" spans="1:16" x14ac:dyDescent="0.4">
      <c r="A464" t="s">
        <v>2086</v>
      </c>
      <c r="B464" t="s">
        <v>67</v>
      </c>
      <c r="C464" t="s">
        <v>68</v>
      </c>
      <c r="D464" t="s">
        <v>2087</v>
      </c>
      <c r="E464" t="s">
        <v>2088</v>
      </c>
      <c r="F464">
        <v>70</v>
      </c>
      <c r="G464">
        <v>96</v>
      </c>
      <c r="H464">
        <v>85</v>
      </c>
      <c r="I464" t="s">
        <v>71</v>
      </c>
      <c r="J464" t="s">
        <v>555</v>
      </c>
      <c r="K464" s="1">
        <v>45360</v>
      </c>
      <c r="L464" t="s">
        <v>526</v>
      </c>
      <c r="M464" t="s">
        <v>2089</v>
      </c>
      <c r="N464">
        <v>34</v>
      </c>
      <c r="O464">
        <v>3</v>
      </c>
      <c r="P464" t="s">
        <v>51</v>
      </c>
    </row>
    <row r="465" spans="1:16" x14ac:dyDescent="0.4">
      <c r="A465" t="s">
        <v>2090</v>
      </c>
      <c r="B465" t="s">
        <v>1761</v>
      </c>
      <c r="C465" t="s">
        <v>169</v>
      </c>
      <c r="D465" t="s">
        <v>2091</v>
      </c>
      <c r="E465" t="s">
        <v>1124</v>
      </c>
      <c r="F465">
        <v>49</v>
      </c>
      <c r="G465">
        <v>48</v>
      </c>
      <c r="H465">
        <v>62</v>
      </c>
      <c r="I465" t="s">
        <v>320</v>
      </c>
      <c r="J465" t="s">
        <v>1080</v>
      </c>
      <c r="K465" t="s">
        <v>656</v>
      </c>
      <c r="L465" t="s">
        <v>882</v>
      </c>
      <c r="M465" t="s">
        <v>2092</v>
      </c>
      <c r="N465">
        <v>96</v>
      </c>
      <c r="O465">
        <v>37</v>
      </c>
      <c r="P465" t="s">
        <v>51</v>
      </c>
    </row>
    <row r="466" spans="1:16" x14ac:dyDescent="0.4">
      <c r="A466" t="s">
        <v>2093</v>
      </c>
      <c r="B466" t="s">
        <v>1290</v>
      </c>
      <c r="C466" t="s">
        <v>169</v>
      </c>
      <c r="D466" t="s">
        <v>2094</v>
      </c>
      <c r="E466" t="s">
        <v>2095</v>
      </c>
      <c r="F466">
        <v>89</v>
      </c>
      <c r="G466">
        <v>26</v>
      </c>
      <c r="H466">
        <v>36</v>
      </c>
      <c r="I466" t="s">
        <v>1293</v>
      </c>
      <c r="J466" t="s">
        <v>420</v>
      </c>
      <c r="K466" t="s">
        <v>1387</v>
      </c>
      <c r="L466" t="s">
        <v>128</v>
      </c>
      <c r="M466" t="s">
        <v>2096</v>
      </c>
      <c r="N466">
        <v>48</v>
      </c>
      <c r="O466">
        <v>94</v>
      </c>
      <c r="P466" t="s">
        <v>51</v>
      </c>
    </row>
    <row r="467" spans="1:16" x14ac:dyDescent="0.4">
      <c r="A467" t="s">
        <v>2097</v>
      </c>
      <c r="B467" t="s">
        <v>602</v>
      </c>
      <c r="C467" t="s">
        <v>77</v>
      </c>
      <c r="D467" t="s">
        <v>2098</v>
      </c>
      <c r="E467" t="s">
        <v>1192</v>
      </c>
      <c r="F467">
        <v>88</v>
      </c>
      <c r="G467">
        <v>53</v>
      </c>
      <c r="H467">
        <v>44</v>
      </c>
      <c r="I467" t="s">
        <v>266</v>
      </c>
      <c r="J467" s="1">
        <v>45748</v>
      </c>
      <c r="K467" t="s">
        <v>898</v>
      </c>
      <c r="L467" s="1">
        <v>45810</v>
      </c>
      <c r="M467" t="s">
        <v>2099</v>
      </c>
      <c r="N467">
        <v>56</v>
      </c>
      <c r="O467">
        <v>14</v>
      </c>
      <c r="P467" t="s">
        <v>26</v>
      </c>
    </row>
    <row r="468" spans="1:16" x14ac:dyDescent="0.4">
      <c r="A468" t="s">
        <v>2100</v>
      </c>
      <c r="B468" t="s">
        <v>869</v>
      </c>
      <c r="C468" t="s">
        <v>29</v>
      </c>
      <c r="D468" t="s">
        <v>2101</v>
      </c>
      <c r="E468" t="s">
        <v>1169</v>
      </c>
      <c r="F468">
        <v>39</v>
      </c>
      <c r="G468">
        <v>88</v>
      </c>
      <c r="H468">
        <v>100</v>
      </c>
      <c r="I468" t="s">
        <v>147</v>
      </c>
      <c r="J468" t="s">
        <v>308</v>
      </c>
      <c r="K468" t="s">
        <v>585</v>
      </c>
      <c r="L468" t="s">
        <v>372</v>
      </c>
      <c r="M468" t="s">
        <v>2102</v>
      </c>
      <c r="N468">
        <v>28</v>
      </c>
      <c r="O468">
        <v>18</v>
      </c>
      <c r="P468" t="s">
        <v>42</v>
      </c>
    </row>
    <row r="469" spans="1:16" x14ac:dyDescent="0.4">
      <c r="A469" t="s">
        <v>2103</v>
      </c>
      <c r="B469" t="s">
        <v>779</v>
      </c>
      <c r="C469" t="s">
        <v>54</v>
      </c>
      <c r="D469" t="s">
        <v>2104</v>
      </c>
      <c r="E469" t="s">
        <v>724</v>
      </c>
      <c r="F469">
        <v>87</v>
      </c>
      <c r="G469">
        <v>91</v>
      </c>
      <c r="H469">
        <v>94</v>
      </c>
      <c r="I469" t="s">
        <v>71</v>
      </c>
      <c r="J469" s="1">
        <v>45389</v>
      </c>
      <c r="K469" t="s">
        <v>935</v>
      </c>
      <c r="L469" t="s">
        <v>1110</v>
      </c>
      <c r="M469" t="s">
        <v>2105</v>
      </c>
      <c r="N469">
        <v>47</v>
      </c>
      <c r="O469">
        <v>4</v>
      </c>
      <c r="P469" t="s">
        <v>26</v>
      </c>
    </row>
    <row r="470" spans="1:16" x14ac:dyDescent="0.4">
      <c r="A470" t="s">
        <v>2106</v>
      </c>
      <c r="B470" t="s">
        <v>218</v>
      </c>
      <c r="C470" t="s">
        <v>112</v>
      </c>
      <c r="D470" t="s">
        <v>2107</v>
      </c>
      <c r="E470" t="s">
        <v>597</v>
      </c>
      <c r="F470">
        <v>93</v>
      </c>
      <c r="G470">
        <v>50</v>
      </c>
      <c r="H470">
        <v>43</v>
      </c>
      <c r="I470" t="s">
        <v>220</v>
      </c>
      <c r="J470" t="s">
        <v>1488</v>
      </c>
      <c r="K470" t="s">
        <v>347</v>
      </c>
      <c r="L470" s="1">
        <v>45545</v>
      </c>
      <c r="M470" t="s">
        <v>2108</v>
      </c>
      <c r="N470">
        <v>76</v>
      </c>
      <c r="O470">
        <v>35</v>
      </c>
      <c r="P470" t="s">
        <v>26</v>
      </c>
    </row>
    <row r="471" spans="1:16" x14ac:dyDescent="0.4">
      <c r="A471" t="s">
        <v>2109</v>
      </c>
      <c r="B471" t="s">
        <v>932</v>
      </c>
      <c r="C471" t="s">
        <v>77</v>
      </c>
      <c r="D471" t="s">
        <v>2110</v>
      </c>
      <c r="E471" t="s">
        <v>2111</v>
      </c>
      <c r="F471">
        <v>23</v>
      </c>
      <c r="G471">
        <v>21</v>
      </c>
      <c r="H471">
        <v>59</v>
      </c>
      <c r="I471" t="s">
        <v>554</v>
      </c>
      <c r="J471" t="s">
        <v>700</v>
      </c>
      <c r="K471" s="1">
        <v>45568</v>
      </c>
      <c r="L471" s="1">
        <v>45483</v>
      </c>
      <c r="M471" t="s">
        <v>2112</v>
      </c>
      <c r="N471">
        <v>81</v>
      </c>
      <c r="O471">
        <v>8</v>
      </c>
      <c r="P471" t="s">
        <v>51</v>
      </c>
    </row>
    <row r="472" spans="1:16" x14ac:dyDescent="0.4">
      <c r="A472" t="s">
        <v>2113</v>
      </c>
      <c r="B472" t="s">
        <v>1712</v>
      </c>
      <c r="C472" t="s">
        <v>112</v>
      </c>
      <c r="D472" t="s">
        <v>2114</v>
      </c>
      <c r="E472" t="s">
        <v>2115</v>
      </c>
      <c r="F472">
        <v>94</v>
      </c>
      <c r="G472">
        <v>34</v>
      </c>
      <c r="H472">
        <v>21</v>
      </c>
      <c r="I472" t="s">
        <v>1386</v>
      </c>
      <c r="J472" t="s">
        <v>72</v>
      </c>
      <c r="K472" t="s">
        <v>300</v>
      </c>
      <c r="L472" s="1">
        <v>45302</v>
      </c>
      <c r="M472" t="s">
        <v>2116</v>
      </c>
      <c r="N472">
        <v>74</v>
      </c>
      <c r="O472">
        <v>70</v>
      </c>
      <c r="P472" t="s">
        <v>42</v>
      </c>
    </row>
    <row r="473" spans="1:16" x14ac:dyDescent="0.4">
      <c r="A473" t="s">
        <v>2117</v>
      </c>
      <c r="B473" t="s">
        <v>1228</v>
      </c>
      <c r="C473" t="s">
        <v>112</v>
      </c>
      <c r="D473" t="s">
        <v>2118</v>
      </c>
      <c r="E473" t="s">
        <v>825</v>
      </c>
      <c r="F473">
        <v>38</v>
      </c>
      <c r="G473">
        <v>43</v>
      </c>
      <c r="H473">
        <v>91</v>
      </c>
      <c r="I473" t="s">
        <v>57</v>
      </c>
      <c r="J473" t="s">
        <v>635</v>
      </c>
      <c r="K473" t="s">
        <v>228</v>
      </c>
      <c r="L473" t="s">
        <v>1597</v>
      </c>
      <c r="M473" t="s">
        <v>2119</v>
      </c>
      <c r="N473">
        <v>72</v>
      </c>
      <c r="O473">
        <v>64</v>
      </c>
      <c r="P473" t="s">
        <v>51</v>
      </c>
    </row>
    <row r="474" spans="1:16" x14ac:dyDescent="0.4">
      <c r="A474" t="s">
        <v>2120</v>
      </c>
      <c r="B474" t="s">
        <v>1455</v>
      </c>
      <c r="C474" t="s">
        <v>77</v>
      </c>
      <c r="D474" t="s">
        <v>2121</v>
      </c>
      <c r="E474" t="s">
        <v>865</v>
      </c>
      <c r="F474">
        <v>11</v>
      </c>
      <c r="G474">
        <v>9</v>
      </c>
      <c r="H474">
        <v>65</v>
      </c>
      <c r="I474" t="s">
        <v>106</v>
      </c>
      <c r="J474" t="s">
        <v>244</v>
      </c>
      <c r="K474" s="1">
        <v>45394</v>
      </c>
      <c r="L474" s="1">
        <v>45571</v>
      </c>
      <c r="M474" t="s">
        <v>2122</v>
      </c>
      <c r="N474">
        <v>48</v>
      </c>
      <c r="O474">
        <v>96</v>
      </c>
      <c r="P474" t="s">
        <v>26</v>
      </c>
    </row>
    <row r="475" spans="1:16" x14ac:dyDescent="0.4">
      <c r="A475" t="s">
        <v>2123</v>
      </c>
      <c r="B475" t="s">
        <v>458</v>
      </c>
      <c r="C475" t="s">
        <v>29</v>
      </c>
      <c r="D475" t="s">
        <v>2124</v>
      </c>
      <c r="E475" t="s">
        <v>1872</v>
      </c>
      <c r="F475">
        <v>60</v>
      </c>
      <c r="G475">
        <v>27</v>
      </c>
      <c r="H475">
        <v>58</v>
      </c>
      <c r="I475" t="s">
        <v>2125</v>
      </c>
      <c r="J475" t="s">
        <v>268</v>
      </c>
      <c r="K475" t="s">
        <v>1488</v>
      </c>
      <c r="L475" t="s">
        <v>229</v>
      </c>
      <c r="M475" t="s">
        <v>2126</v>
      </c>
      <c r="N475">
        <v>43</v>
      </c>
      <c r="O475">
        <v>91</v>
      </c>
      <c r="P475" t="s">
        <v>51</v>
      </c>
    </row>
    <row r="476" spans="1:16" x14ac:dyDescent="0.4">
      <c r="A476" t="s">
        <v>2127</v>
      </c>
      <c r="B476" t="s">
        <v>789</v>
      </c>
      <c r="C476" t="s">
        <v>68</v>
      </c>
      <c r="D476" t="s">
        <v>2128</v>
      </c>
      <c r="E476" t="s">
        <v>406</v>
      </c>
      <c r="F476">
        <v>50</v>
      </c>
      <c r="G476">
        <v>36</v>
      </c>
      <c r="H476">
        <v>81</v>
      </c>
      <c r="I476" t="s">
        <v>591</v>
      </c>
      <c r="J476" t="s">
        <v>428</v>
      </c>
      <c r="K476" s="1">
        <v>45631</v>
      </c>
      <c r="L476" s="1">
        <v>45388</v>
      </c>
      <c r="M476" t="s">
        <v>2129</v>
      </c>
      <c r="N476">
        <v>27</v>
      </c>
      <c r="O476">
        <v>6</v>
      </c>
      <c r="P476" t="s">
        <v>26</v>
      </c>
    </row>
    <row r="477" spans="1:16" x14ac:dyDescent="0.4">
      <c r="A477" t="s">
        <v>2130</v>
      </c>
      <c r="B477" t="s">
        <v>76</v>
      </c>
      <c r="C477" t="s">
        <v>77</v>
      </c>
      <c r="D477" t="s">
        <v>2131</v>
      </c>
      <c r="E477" t="s">
        <v>1159</v>
      </c>
      <c r="F477">
        <v>90</v>
      </c>
      <c r="G477">
        <v>3</v>
      </c>
      <c r="H477">
        <v>49</v>
      </c>
      <c r="I477" t="s">
        <v>71</v>
      </c>
      <c r="J477" s="1">
        <v>45448</v>
      </c>
      <c r="K477" s="1">
        <v>45356</v>
      </c>
      <c r="L477" t="s">
        <v>827</v>
      </c>
      <c r="M477" t="s">
        <v>2132</v>
      </c>
      <c r="N477">
        <v>51</v>
      </c>
      <c r="O477">
        <v>87</v>
      </c>
      <c r="P477" t="s">
        <v>26</v>
      </c>
    </row>
    <row r="478" spans="1:16" x14ac:dyDescent="0.4">
      <c r="A478" t="s">
        <v>2133</v>
      </c>
      <c r="B478" t="s">
        <v>517</v>
      </c>
      <c r="C478" t="s">
        <v>18</v>
      </c>
      <c r="D478" t="s">
        <v>2134</v>
      </c>
      <c r="E478" t="s">
        <v>1531</v>
      </c>
      <c r="F478">
        <v>86</v>
      </c>
      <c r="G478">
        <v>80</v>
      </c>
      <c r="H478">
        <v>80</v>
      </c>
      <c r="I478" t="s">
        <v>21</v>
      </c>
      <c r="J478" t="s">
        <v>72</v>
      </c>
      <c r="K478" t="s">
        <v>725</v>
      </c>
      <c r="L478" t="s">
        <v>618</v>
      </c>
      <c r="M478" t="s">
        <v>2135</v>
      </c>
      <c r="N478">
        <v>22</v>
      </c>
      <c r="O478">
        <v>67</v>
      </c>
      <c r="P478" t="s">
        <v>26</v>
      </c>
    </row>
    <row r="479" spans="1:16" x14ac:dyDescent="0.4">
      <c r="A479" t="s">
        <v>2136</v>
      </c>
      <c r="B479" t="s">
        <v>779</v>
      </c>
      <c r="C479" t="s">
        <v>54</v>
      </c>
      <c r="D479" t="s">
        <v>2137</v>
      </c>
      <c r="E479" t="s">
        <v>846</v>
      </c>
      <c r="F479">
        <v>86</v>
      </c>
      <c r="G479">
        <v>66</v>
      </c>
      <c r="H479">
        <v>24</v>
      </c>
      <c r="I479" t="s">
        <v>71</v>
      </c>
      <c r="J479" t="s">
        <v>525</v>
      </c>
      <c r="K479" s="1">
        <v>45749</v>
      </c>
      <c r="L479" t="s">
        <v>1174</v>
      </c>
      <c r="M479" t="s">
        <v>2138</v>
      </c>
      <c r="N479">
        <v>30</v>
      </c>
      <c r="O479">
        <v>6</v>
      </c>
      <c r="P479" t="s">
        <v>26</v>
      </c>
    </row>
    <row r="480" spans="1:16" x14ac:dyDescent="0.4">
      <c r="A480" t="s">
        <v>2139</v>
      </c>
      <c r="B480" t="s">
        <v>669</v>
      </c>
      <c r="C480" t="s">
        <v>18</v>
      </c>
      <c r="D480" t="s">
        <v>2140</v>
      </c>
      <c r="E480" t="s">
        <v>257</v>
      </c>
      <c r="F480">
        <v>54</v>
      </c>
      <c r="G480">
        <v>17</v>
      </c>
      <c r="H480">
        <v>90</v>
      </c>
      <c r="I480" t="s">
        <v>671</v>
      </c>
      <c r="J480" t="s">
        <v>444</v>
      </c>
      <c r="K480" s="1">
        <v>45481</v>
      </c>
      <c r="L480" s="1">
        <v>45871</v>
      </c>
      <c r="M480" t="s">
        <v>2141</v>
      </c>
      <c r="N480">
        <v>60</v>
      </c>
      <c r="O480">
        <v>20</v>
      </c>
      <c r="P480" t="s">
        <v>51</v>
      </c>
    </row>
    <row r="481" spans="1:16" x14ac:dyDescent="0.4">
      <c r="A481" t="s">
        <v>2142</v>
      </c>
      <c r="B481" t="s">
        <v>994</v>
      </c>
      <c r="C481" t="s">
        <v>54</v>
      </c>
      <c r="D481" t="s">
        <v>2143</v>
      </c>
      <c r="E481" t="s">
        <v>1581</v>
      </c>
      <c r="F481">
        <v>27</v>
      </c>
      <c r="G481">
        <v>64</v>
      </c>
      <c r="H481">
        <v>43</v>
      </c>
      <c r="I481" t="s">
        <v>85</v>
      </c>
      <c r="J481" t="s">
        <v>93</v>
      </c>
      <c r="K481" t="s">
        <v>1165</v>
      </c>
      <c r="L481" t="s">
        <v>1683</v>
      </c>
      <c r="M481" t="s">
        <v>2144</v>
      </c>
      <c r="N481">
        <v>70</v>
      </c>
      <c r="O481">
        <v>58</v>
      </c>
      <c r="P481" t="s">
        <v>26</v>
      </c>
    </row>
    <row r="482" spans="1:16" x14ac:dyDescent="0.4">
      <c r="A482" t="s">
        <v>2145</v>
      </c>
      <c r="B482" t="s">
        <v>111</v>
      </c>
      <c r="C482" t="s">
        <v>112</v>
      </c>
      <c r="D482" t="s">
        <v>2146</v>
      </c>
      <c r="E482" t="s">
        <v>1672</v>
      </c>
      <c r="F482">
        <v>50</v>
      </c>
      <c r="G482">
        <v>58</v>
      </c>
      <c r="H482">
        <v>78</v>
      </c>
      <c r="I482" t="s">
        <v>85</v>
      </c>
      <c r="J482" t="s">
        <v>108</v>
      </c>
      <c r="K482" t="s">
        <v>49</v>
      </c>
      <c r="L482" t="s">
        <v>33</v>
      </c>
      <c r="M482" t="s">
        <v>2147</v>
      </c>
      <c r="N482">
        <v>83</v>
      </c>
      <c r="O482">
        <v>49</v>
      </c>
      <c r="P482" t="s">
        <v>51</v>
      </c>
    </row>
    <row r="483" spans="1:16" x14ac:dyDescent="0.4">
      <c r="A483" t="s">
        <v>2148</v>
      </c>
      <c r="B483" t="s">
        <v>271</v>
      </c>
      <c r="C483" t="s">
        <v>54</v>
      </c>
      <c r="D483" t="s">
        <v>2149</v>
      </c>
      <c r="E483" t="s">
        <v>1178</v>
      </c>
      <c r="F483">
        <v>68</v>
      </c>
      <c r="G483">
        <v>10</v>
      </c>
      <c r="H483">
        <v>29</v>
      </c>
      <c r="I483" t="s">
        <v>106</v>
      </c>
      <c r="J483" t="s">
        <v>969</v>
      </c>
      <c r="K483" s="1">
        <v>45479</v>
      </c>
      <c r="L483" t="s">
        <v>1630</v>
      </c>
      <c r="M483" t="s">
        <v>2150</v>
      </c>
      <c r="N483">
        <v>37</v>
      </c>
      <c r="O483">
        <v>11</v>
      </c>
      <c r="P483" t="s">
        <v>26</v>
      </c>
    </row>
    <row r="484" spans="1:16" x14ac:dyDescent="0.4">
      <c r="A484" t="s">
        <v>2151</v>
      </c>
      <c r="B484" t="s">
        <v>363</v>
      </c>
      <c r="C484" t="s">
        <v>112</v>
      </c>
      <c r="D484" t="s">
        <v>2152</v>
      </c>
      <c r="E484" t="s">
        <v>977</v>
      </c>
      <c r="F484">
        <v>22</v>
      </c>
      <c r="G484">
        <v>60</v>
      </c>
      <c r="H484">
        <v>73</v>
      </c>
      <c r="I484" t="s">
        <v>771</v>
      </c>
      <c r="J484" s="1">
        <v>45542</v>
      </c>
      <c r="K484" s="1">
        <v>45515</v>
      </c>
      <c r="L484" s="1">
        <v>45633</v>
      </c>
      <c r="M484" t="s">
        <v>2153</v>
      </c>
      <c r="N484">
        <v>62</v>
      </c>
      <c r="O484">
        <v>3</v>
      </c>
      <c r="P484" t="s">
        <v>42</v>
      </c>
    </row>
    <row r="485" spans="1:16" x14ac:dyDescent="0.4">
      <c r="A485" t="s">
        <v>2154</v>
      </c>
      <c r="B485" t="s">
        <v>602</v>
      </c>
      <c r="C485" t="s">
        <v>77</v>
      </c>
      <c r="D485" t="s">
        <v>2155</v>
      </c>
      <c r="E485" t="s">
        <v>1271</v>
      </c>
      <c r="F485">
        <v>50</v>
      </c>
      <c r="G485">
        <v>14</v>
      </c>
      <c r="H485">
        <v>6</v>
      </c>
      <c r="I485" t="s">
        <v>1368</v>
      </c>
      <c r="J485" s="1">
        <v>45328</v>
      </c>
      <c r="K485" t="s">
        <v>1057</v>
      </c>
      <c r="L485" s="1">
        <v>45513</v>
      </c>
      <c r="M485" t="s">
        <v>2156</v>
      </c>
      <c r="N485">
        <v>60</v>
      </c>
      <c r="O485">
        <v>72</v>
      </c>
      <c r="P485" t="s">
        <v>42</v>
      </c>
    </row>
    <row r="486" spans="1:16" x14ac:dyDescent="0.4">
      <c r="A486" t="s">
        <v>2157</v>
      </c>
      <c r="B486" t="s">
        <v>498</v>
      </c>
      <c r="C486" t="s">
        <v>54</v>
      </c>
      <c r="D486" t="s">
        <v>2158</v>
      </c>
      <c r="E486" t="s">
        <v>2159</v>
      </c>
      <c r="F486">
        <v>26</v>
      </c>
      <c r="G486">
        <v>12</v>
      </c>
      <c r="H486">
        <v>43</v>
      </c>
      <c r="I486" t="s">
        <v>2160</v>
      </c>
      <c r="J486" t="s">
        <v>719</v>
      </c>
      <c r="K486" t="s">
        <v>1080</v>
      </c>
      <c r="L486" t="s">
        <v>214</v>
      </c>
      <c r="M486" t="s">
        <v>2161</v>
      </c>
      <c r="N486">
        <v>73</v>
      </c>
      <c r="O486">
        <v>20</v>
      </c>
      <c r="P486" t="s">
        <v>42</v>
      </c>
    </row>
    <row r="487" spans="1:16" x14ac:dyDescent="0.4">
      <c r="A487" t="s">
        <v>2162</v>
      </c>
      <c r="B487" t="s">
        <v>458</v>
      </c>
      <c r="C487" t="s">
        <v>29</v>
      </c>
      <c r="D487" t="s">
        <v>2163</v>
      </c>
      <c r="E487" t="s">
        <v>2164</v>
      </c>
      <c r="F487">
        <v>62</v>
      </c>
      <c r="G487">
        <v>31</v>
      </c>
      <c r="H487">
        <v>24</v>
      </c>
      <c r="I487" t="s">
        <v>461</v>
      </c>
      <c r="J487" t="s">
        <v>328</v>
      </c>
      <c r="K487" s="1">
        <v>45571</v>
      </c>
      <c r="L487" s="1">
        <v>45810</v>
      </c>
      <c r="M487" t="s">
        <v>2165</v>
      </c>
      <c r="N487">
        <v>89</v>
      </c>
      <c r="O487">
        <v>100</v>
      </c>
      <c r="P487" t="s">
        <v>42</v>
      </c>
    </row>
    <row r="488" spans="1:16" x14ac:dyDescent="0.4">
      <c r="A488" t="s">
        <v>2166</v>
      </c>
      <c r="B488" t="s">
        <v>476</v>
      </c>
      <c r="C488" t="s">
        <v>54</v>
      </c>
      <c r="D488" t="s">
        <v>2167</v>
      </c>
      <c r="E488" t="s">
        <v>380</v>
      </c>
      <c r="F488">
        <v>79</v>
      </c>
      <c r="G488">
        <v>72</v>
      </c>
      <c r="H488">
        <v>6</v>
      </c>
      <c r="I488" t="s">
        <v>57</v>
      </c>
      <c r="J488" s="1">
        <v>45603</v>
      </c>
      <c r="K488" s="1">
        <v>45448</v>
      </c>
      <c r="L488" s="1">
        <v>45296</v>
      </c>
      <c r="M488" t="s">
        <v>2168</v>
      </c>
      <c r="N488">
        <v>67</v>
      </c>
      <c r="O488">
        <v>63</v>
      </c>
      <c r="P488" t="s">
        <v>51</v>
      </c>
    </row>
    <row r="489" spans="1:16" x14ac:dyDescent="0.4">
      <c r="A489" t="s">
        <v>2169</v>
      </c>
      <c r="B489" t="s">
        <v>733</v>
      </c>
      <c r="C489" t="s">
        <v>54</v>
      </c>
      <c r="D489" t="s">
        <v>2170</v>
      </c>
      <c r="E489" t="s">
        <v>1724</v>
      </c>
      <c r="F489">
        <v>73</v>
      </c>
      <c r="G489">
        <v>90</v>
      </c>
      <c r="H489">
        <v>77</v>
      </c>
      <c r="I489" t="s">
        <v>57</v>
      </c>
      <c r="J489" t="s">
        <v>555</v>
      </c>
      <c r="K489" t="s">
        <v>700</v>
      </c>
      <c r="L489" s="1">
        <v>45446</v>
      </c>
      <c r="M489" t="s">
        <v>2171</v>
      </c>
      <c r="N489">
        <v>75</v>
      </c>
      <c r="O489">
        <v>19</v>
      </c>
      <c r="P489" t="s">
        <v>42</v>
      </c>
    </row>
    <row r="490" spans="1:16" x14ac:dyDescent="0.4">
      <c r="A490" t="s">
        <v>2172</v>
      </c>
      <c r="B490" t="s">
        <v>425</v>
      </c>
      <c r="C490" t="s">
        <v>54</v>
      </c>
      <c r="D490" t="s">
        <v>2173</v>
      </c>
      <c r="E490" t="s">
        <v>973</v>
      </c>
      <c r="F490">
        <v>18</v>
      </c>
      <c r="G490">
        <v>50</v>
      </c>
      <c r="H490">
        <v>77</v>
      </c>
      <c r="I490" t="s">
        <v>2174</v>
      </c>
      <c r="J490" s="1">
        <v>45362</v>
      </c>
      <c r="K490" t="s">
        <v>382</v>
      </c>
      <c r="L490" t="s">
        <v>48</v>
      </c>
      <c r="M490" t="s">
        <v>2175</v>
      </c>
      <c r="N490">
        <v>44</v>
      </c>
      <c r="O490">
        <v>19</v>
      </c>
      <c r="P490" t="s">
        <v>51</v>
      </c>
    </row>
    <row r="491" spans="1:16" x14ac:dyDescent="0.4">
      <c r="A491" t="s">
        <v>2176</v>
      </c>
      <c r="B491" t="s">
        <v>1249</v>
      </c>
      <c r="C491" t="s">
        <v>54</v>
      </c>
      <c r="D491" t="s">
        <v>2177</v>
      </c>
      <c r="E491" t="s">
        <v>749</v>
      </c>
      <c r="F491">
        <v>79</v>
      </c>
      <c r="G491">
        <v>74</v>
      </c>
      <c r="H491">
        <v>87</v>
      </c>
      <c r="I491" t="s">
        <v>57</v>
      </c>
      <c r="J491" s="1">
        <v>45481</v>
      </c>
      <c r="K491" s="1">
        <v>45539</v>
      </c>
      <c r="L491" t="s">
        <v>359</v>
      </c>
      <c r="M491" t="s">
        <v>2178</v>
      </c>
      <c r="N491">
        <v>80</v>
      </c>
      <c r="O491">
        <v>26</v>
      </c>
      <c r="P491" t="s">
        <v>42</v>
      </c>
    </row>
    <row r="492" spans="1:16" x14ac:dyDescent="0.4">
      <c r="A492" t="s">
        <v>2179</v>
      </c>
      <c r="B492" t="s">
        <v>28</v>
      </c>
      <c r="C492" t="s">
        <v>29</v>
      </c>
      <c r="D492" t="s">
        <v>2180</v>
      </c>
      <c r="E492" t="s">
        <v>340</v>
      </c>
      <c r="F492">
        <v>23</v>
      </c>
      <c r="G492">
        <v>13</v>
      </c>
      <c r="H492">
        <v>15</v>
      </c>
      <c r="I492" t="s">
        <v>32</v>
      </c>
      <c r="J492" t="s">
        <v>909</v>
      </c>
      <c r="K492" t="s">
        <v>736</v>
      </c>
      <c r="L492" t="s">
        <v>1343</v>
      </c>
      <c r="M492" t="s">
        <v>2181</v>
      </c>
      <c r="N492">
        <v>31</v>
      </c>
      <c r="O492">
        <v>28</v>
      </c>
      <c r="P492" t="s">
        <v>42</v>
      </c>
    </row>
    <row r="493" spans="1:16" x14ac:dyDescent="0.4">
      <c r="A493" t="s">
        <v>2182</v>
      </c>
      <c r="B493" t="s">
        <v>1354</v>
      </c>
      <c r="C493" t="s">
        <v>77</v>
      </c>
      <c r="D493" t="s">
        <v>2183</v>
      </c>
      <c r="E493" t="s">
        <v>2184</v>
      </c>
      <c r="F493">
        <v>18</v>
      </c>
      <c r="G493">
        <v>64</v>
      </c>
      <c r="H493">
        <v>86</v>
      </c>
      <c r="I493" t="s">
        <v>91</v>
      </c>
      <c r="J493" t="s">
        <v>556</v>
      </c>
      <c r="K493" s="1">
        <v>45541</v>
      </c>
      <c r="L493" s="1">
        <v>45546</v>
      </c>
      <c r="M493" t="s">
        <v>2185</v>
      </c>
      <c r="N493">
        <v>73</v>
      </c>
      <c r="O493">
        <v>38</v>
      </c>
      <c r="P493" t="s">
        <v>51</v>
      </c>
    </row>
    <row r="494" spans="1:16" x14ac:dyDescent="0.4">
      <c r="A494" t="s">
        <v>2186</v>
      </c>
      <c r="B494" t="s">
        <v>1086</v>
      </c>
      <c r="C494" t="s">
        <v>68</v>
      </c>
      <c r="D494" t="s">
        <v>2187</v>
      </c>
      <c r="E494" t="s">
        <v>991</v>
      </c>
      <c r="F494">
        <v>24</v>
      </c>
      <c r="G494">
        <v>35</v>
      </c>
      <c r="H494">
        <v>14</v>
      </c>
      <c r="I494" t="s">
        <v>71</v>
      </c>
      <c r="J494" s="1">
        <v>45387</v>
      </c>
      <c r="K494" t="s">
        <v>213</v>
      </c>
      <c r="L494" s="1">
        <v>45303</v>
      </c>
      <c r="M494" t="s">
        <v>2188</v>
      </c>
      <c r="N494">
        <v>91</v>
      </c>
      <c r="O494">
        <v>71</v>
      </c>
      <c r="P494" t="s">
        <v>42</v>
      </c>
    </row>
    <row r="495" spans="1:16" x14ac:dyDescent="0.4">
      <c r="A495" t="s">
        <v>2189</v>
      </c>
      <c r="B495" t="s">
        <v>994</v>
      </c>
      <c r="C495" t="s">
        <v>54</v>
      </c>
      <c r="D495" t="s">
        <v>2190</v>
      </c>
      <c r="E495" t="s">
        <v>796</v>
      </c>
      <c r="F495">
        <v>53</v>
      </c>
      <c r="G495">
        <v>41</v>
      </c>
      <c r="H495">
        <v>30</v>
      </c>
      <c r="I495" t="s">
        <v>85</v>
      </c>
      <c r="J495" t="s">
        <v>495</v>
      </c>
      <c r="K495" t="s">
        <v>193</v>
      </c>
      <c r="L495" t="s">
        <v>24</v>
      </c>
      <c r="M495" t="s">
        <v>2191</v>
      </c>
      <c r="N495">
        <v>24</v>
      </c>
      <c r="O495">
        <v>77</v>
      </c>
      <c r="P495" t="s">
        <v>26</v>
      </c>
    </row>
    <row r="496" spans="1:16" x14ac:dyDescent="0.4">
      <c r="A496" t="s">
        <v>2192</v>
      </c>
      <c r="B496" t="s">
        <v>1485</v>
      </c>
      <c r="C496" t="s">
        <v>77</v>
      </c>
      <c r="D496" t="s">
        <v>2193</v>
      </c>
      <c r="E496" t="s">
        <v>574</v>
      </c>
      <c r="F496">
        <v>85</v>
      </c>
      <c r="G496">
        <v>83</v>
      </c>
      <c r="H496">
        <v>13</v>
      </c>
      <c r="I496" t="s">
        <v>63</v>
      </c>
      <c r="J496" s="1">
        <v>45416</v>
      </c>
      <c r="K496" t="s">
        <v>215</v>
      </c>
      <c r="L496" s="1">
        <v>45690</v>
      </c>
      <c r="M496" t="s">
        <v>2194</v>
      </c>
      <c r="N496">
        <v>49</v>
      </c>
      <c r="O496">
        <v>75</v>
      </c>
      <c r="P496" t="s">
        <v>42</v>
      </c>
    </row>
    <row r="497" spans="1:16" x14ac:dyDescent="0.4">
      <c r="A497" t="s">
        <v>2195</v>
      </c>
      <c r="B497" t="s">
        <v>943</v>
      </c>
      <c r="C497" t="s">
        <v>68</v>
      </c>
      <c r="D497" t="s">
        <v>2196</v>
      </c>
      <c r="E497" t="s">
        <v>1487</v>
      </c>
      <c r="F497">
        <v>15</v>
      </c>
      <c r="G497">
        <v>34</v>
      </c>
      <c r="H497">
        <v>57</v>
      </c>
      <c r="I497" t="s">
        <v>945</v>
      </c>
      <c r="J497" t="s">
        <v>1173</v>
      </c>
      <c r="K497" s="1">
        <v>45992</v>
      </c>
      <c r="L497" t="s">
        <v>467</v>
      </c>
      <c r="M497" t="s">
        <v>2197</v>
      </c>
      <c r="N497">
        <v>49</v>
      </c>
      <c r="O497">
        <v>96</v>
      </c>
      <c r="P497" t="s">
        <v>26</v>
      </c>
    </row>
    <row r="498" spans="1:16" x14ac:dyDescent="0.4">
      <c r="A498" t="s">
        <v>2198</v>
      </c>
      <c r="B498" t="s">
        <v>1017</v>
      </c>
      <c r="C498" t="s">
        <v>169</v>
      </c>
      <c r="D498" t="s">
        <v>2199</v>
      </c>
      <c r="E498" t="s">
        <v>1136</v>
      </c>
      <c r="F498">
        <v>66</v>
      </c>
      <c r="G498">
        <v>49</v>
      </c>
      <c r="H498">
        <v>41</v>
      </c>
      <c r="I498" t="s">
        <v>591</v>
      </c>
      <c r="J498" t="s">
        <v>1488</v>
      </c>
      <c r="K498" s="1">
        <v>45514</v>
      </c>
      <c r="L498" t="s">
        <v>955</v>
      </c>
      <c r="M498" t="s">
        <v>2200</v>
      </c>
      <c r="N498">
        <v>27</v>
      </c>
      <c r="O498">
        <v>37</v>
      </c>
      <c r="P498" t="s">
        <v>26</v>
      </c>
    </row>
    <row r="499" spans="1:16" x14ac:dyDescent="0.4">
      <c r="A499" t="s">
        <v>2201</v>
      </c>
      <c r="B499" t="s">
        <v>67</v>
      </c>
      <c r="C499" t="s">
        <v>68</v>
      </c>
      <c r="D499" t="s">
        <v>2202</v>
      </c>
      <c r="E499" t="s">
        <v>2080</v>
      </c>
      <c r="F499">
        <v>17</v>
      </c>
      <c r="G499">
        <v>63</v>
      </c>
      <c r="H499">
        <v>66</v>
      </c>
      <c r="I499" t="s">
        <v>71</v>
      </c>
      <c r="J499" t="s">
        <v>286</v>
      </c>
      <c r="K499" t="s">
        <v>336</v>
      </c>
      <c r="L499" t="s">
        <v>1343</v>
      </c>
      <c r="M499" t="s">
        <v>2203</v>
      </c>
      <c r="N499">
        <v>23</v>
      </c>
      <c r="O499">
        <v>46</v>
      </c>
      <c r="P499" t="s">
        <v>42</v>
      </c>
    </row>
    <row r="500" spans="1:16" x14ac:dyDescent="0.4">
      <c r="A500" t="s">
        <v>2204</v>
      </c>
      <c r="B500" t="s">
        <v>1383</v>
      </c>
      <c r="C500" t="s">
        <v>54</v>
      </c>
      <c r="D500" t="s">
        <v>2205</v>
      </c>
      <c r="E500" t="s">
        <v>1221</v>
      </c>
      <c r="F500">
        <v>13</v>
      </c>
      <c r="G500">
        <v>61</v>
      </c>
      <c r="H500">
        <v>77</v>
      </c>
      <c r="I500" t="s">
        <v>1386</v>
      </c>
      <c r="J500" t="s">
        <v>322</v>
      </c>
      <c r="K500" t="s">
        <v>1116</v>
      </c>
      <c r="L500" t="s">
        <v>1664</v>
      </c>
      <c r="M500" t="s">
        <v>2206</v>
      </c>
      <c r="N500">
        <v>42</v>
      </c>
      <c r="O500">
        <v>18</v>
      </c>
      <c r="P500" t="s">
        <v>42</v>
      </c>
    </row>
    <row r="501" spans="1:16" x14ac:dyDescent="0.4">
      <c r="A501" t="s">
        <v>2207</v>
      </c>
      <c r="B501" t="s">
        <v>1228</v>
      </c>
      <c r="C501" t="s">
        <v>112</v>
      </c>
      <c r="D501" t="s">
        <v>2208</v>
      </c>
      <c r="E501" t="s">
        <v>1271</v>
      </c>
      <c r="F501">
        <v>34</v>
      </c>
      <c r="G501">
        <v>49</v>
      </c>
      <c r="H501">
        <v>27</v>
      </c>
      <c r="I501" t="s">
        <v>57</v>
      </c>
      <c r="J501" s="1">
        <v>45538</v>
      </c>
      <c r="K501" t="s">
        <v>485</v>
      </c>
      <c r="L501" t="s">
        <v>827</v>
      </c>
      <c r="M501" t="s">
        <v>2209</v>
      </c>
      <c r="N501">
        <v>78</v>
      </c>
      <c r="O501">
        <v>20</v>
      </c>
      <c r="P501" t="s">
        <v>26</v>
      </c>
    </row>
    <row r="502" spans="1:16" x14ac:dyDescent="0.4">
      <c r="A502" t="s">
        <v>2210</v>
      </c>
      <c r="B502" t="s">
        <v>144</v>
      </c>
      <c r="C502" t="s">
        <v>77</v>
      </c>
      <c r="D502" t="s">
        <v>2211</v>
      </c>
      <c r="E502" t="s">
        <v>2212</v>
      </c>
      <c r="F502">
        <v>85</v>
      </c>
      <c r="G502">
        <v>89</v>
      </c>
      <c r="H502">
        <v>41</v>
      </c>
      <c r="I502" t="s">
        <v>147</v>
      </c>
      <c r="J502" t="s">
        <v>1884</v>
      </c>
      <c r="K502" s="1">
        <v>45477</v>
      </c>
      <c r="L502" t="s">
        <v>353</v>
      </c>
      <c r="M502" t="s">
        <v>2213</v>
      </c>
      <c r="N502">
        <v>68</v>
      </c>
      <c r="O502">
        <v>93</v>
      </c>
      <c r="P502" t="s">
        <v>26</v>
      </c>
    </row>
    <row r="503" spans="1:16" x14ac:dyDescent="0.4">
      <c r="A503" t="s">
        <v>2214</v>
      </c>
      <c r="B503" t="s">
        <v>184</v>
      </c>
      <c r="C503" t="s">
        <v>54</v>
      </c>
      <c r="D503" t="s">
        <v>2215</v>
      </c>
      <c r="E503" t="s">
        <v>977</v>
      </c>
      <c r="F503">
        <v>12</v>
      </c>
      <c r="G503">
        <v>95</v>
      </c>
      <c r="H503">
        <v>49</v>
      </c>
      <c r="I503" t="s">
        <v>91</v>
      </c>
      <c r="J503" s="1">
        <v>45541</v>
      </c>
      <c r="K503" t="s">
        <v>1369</v>
      </c>
      <c r="L503" s="1">
        <v>45576</v>
      </c>
      <c r="M503" t="s">
        <v>2216</v>
      </c>
      <c r="N503">
        <v>25</v>
      </c>
      <c r="O503">
        <v>23</v>
      </c>
      <c r="P503" t="s">
        <v>42</v>
      </c>
    </row>
    <row r="504" spans="1:16" x14ac:dyDescent="0.4">
      <c r="A504" t="s">
        <v>2217</v>
      </c>
      <c r="B504" t="s">
        <v>218</v>
      </c>
      <c r="C504" t="s">
        <v>112</v>
      </c>
      <c r="D504" t="s">
        <v>2218</v>
      </c>
      <c r="E504" t="s">
        <v>1276</v>
      </c>
      <c r="F504">
        <v>82</v>
      </c>
      <c r="G504">
        <v>6</v>
      </c>
      <c r="H504">
        <v>53</v>
      </c>
      <c r="I504" t="s">
        <v>220</v>
      </c>
      <c r="J504" s="1">
        <v>45484</v>
      </c>
      <c r="K504" t="s">
        <v>644</v>
      </c>
      <c r="L504" s="1">
        <v>45540</v>
      </c>
      <c r="M504" t="s">
        <v>2219</v>
      </c>
      <c r="N504">
        <v>21</v>
      </c>
      <c r="O504">
        <v>58</v>
      </c>
      <c r="P504" t="s">
        <v>51</v>
      </c>
    </row>
    <row r="505" spans="1:16" x14ac:dyDescent="0.4">
      <c r="A505" t="s">
        <v>2220</v>
      </c>
      <c r="B505" t="s">
        <v>363</v>
      </c>
      <c r="C505" t="s">
        <v>112</v>
      </c>
      <c r="D505" t="s">
        <v>2221</v>
      </c>
      <c r="E505" t="s">
        <v>2222</v>
      </c>
      <c r="F505">
        <v>71</v>
      </c>
      <c r="G505">
        <v>97</v>
      </c>
      <c r="H505">
        <v>44</v>
      </c>
      <c r="I505" t="s">
        <v>57</v>
      </c>
      <c r="J505" t="s">
        <v>630</v>
      </c>
      <c r="K505" t="s">
        <v>555</v>
      </c>
      <c r="L505" s="1">
        <v>45480</v>
      </c>
      <c r="M505" t="s">
        <v>2223</v>
      </c>
      <c r="N505">
        <v>58</v>
      </c>
      <c r="O505">
        <v>14</v>
      </c>
      <c r="P505" t="s">
        <v>26</v>
      </c>
    </row>
    <row r="506" spans="1:16" x14ac:dyDescent="0.4">
      <c r="A506" t="s">
        <v>2224</v>
      </c>
      <c r="B506" t="s">
        <v>470</v>
      </c>
      <c r="C506" t="s">
        <v>77</v>
      </c>
      <c r="D506" t="s">
        <v>2225</v>
      </c>
      <c r="E506" t="s">
        <v>419</v>
      </c>
      <c r="F506">
        <v>58</v>
      </c>
      <c r="G506">
        <v>17</v>
      </c>
      <c r="H506">
        <v>26</v>
      </c>
      <c r="I506" t="s">
        <v>134</v>
      </c>
      <c r="J506" t="s">
        <v>260</v>
      </c>
      <c r="K506" s="1">
        <v>45480</v>
      </c>
      <c r="L506" s="1">
        <v>45717</v>
      </c>
      <c r="M506" t="s">
        <v>2226</v>
      </c>
      <c r="N506">
        <v>62</v>
      </c>
      <c r="O506">
        <v>89</v>
      </c>
      <c r="P506" t="s">
        <v>42</v>
      </c>
    </row>
    <row r="507" spans="1:16" x14ac:dyDescent="0.4">
      <c r="A507" t="s">
        <v>2227</v>
      </c>
      <c r="B507" t="s">
        <v>627</v>
      </c>
      <c r="C507" t="s">
        <v>18</v>
      </c>
      <c r="D507" t="s">
        <v>2228</v>
      </c>
      <c r="E507" t="s">
        <v>648</v>
      </c>
      <c r="F507">
        <v>15</v>
      </c>
      <c r="G507">
        <v>76</v>
      </c>
      <c r="H507">
        <v>81</v>
      </c>
      <c r="I507" t="s">
        <v>106</v>
      </c>
      <c r="J507" t="s">
        <v>141</v>
      </c>
      <c r="K507" t="s">
        <v>579</v>
      </c>
      <c r="L507" s="1">
        <v>45810</v>
      </c>
      <c r="M507" t="s">
        <v>2229</v>
      </c>
      <c r="N507">
        <v>90</v>
      </c>
      <c r="O507">
        <v>26</v>
      </c>
      <c r="P507" t="s">
        <v>42</v>
      </c>
    </row>
    <row r="508" spans="1:16" x14ac:dyDescent="0.4">
      <c r="A508" t="s">
        <v>2230</v>
      </c>
      <c r="B508" t="s">
        <v>239</v>
      </c>
      <c r="C508" t="s">
        <v>54</v>
      </c>
      <c r="D508" t="s">
        <v>2231</v>
      </c>
      <c r="E508" t="s">
        <v>1373</v>
      </c>
      <c r="F508">
        <v>68</v>
      </c>
      <c r="G508">
        <v>25</v>
      </c>
      <c r="H508">
        <v>16</v>
      </c>
      <c r="I508" t="s">
        <v>242</v>
      </c>
      <c r="J508" s="1">
        <v>45386</v>
      </c>
      <c r="K508" t="s">
        <v>259</v>
      </c>
      <c r="L508" t="s">
        <v>1488</v>
      </c>
      <c r="M508" t="s">
        <v>2232</v>
      </c>
      <c r="N508">
        <v>25</v>
      </c>
      <c r="O508">
        <v>83</v>
      </c>
      <c r="P508" t="s">
        <v>51</v>
      </c>
    </row>
    <row r="509" spans="1:16" x14ac:dyDescent="0.4">
      <c r="A509" t="s">
        <v>2233</v>
      </c>
      <c r="B509" t="s">
        <v>103</v>
      </c>
      <c r="C509" t="s">
        <v>18</v>
      </c>
      <c r="D509" t="s">
        <v>2234</v>
      </c>
      <c r="E509" t="s">
        <v>2235</v>
      </c>
      <c r="F509">
        <v>13</v>
      </c>
      <c r="G509">
        <v>32</v>
      </c>
      <c r="H509">
        <v>79</v>
      </c>
      <c r="I509" t="s">
        <v>106</v>
      </c>
      <c r="J509" s="1">
        <v>45478</v>
      </c>
      <c r="K509" t="s">
        <v>280</v>
      </c>
      <c r="L509" s="1">
        <v>45606</v>
      </c>
      <c r="M509" t="s">
        <v>2236</v>
      </c>
      <c r="N509">
        <v>38</v>
      </c>
      <c r="O509">
        <v>61</v>
      </c>
      <c r="P509" t="s">
        <v>26</v>
      </c>
    </row>
    <row r="510" spans="1:16" x14ac:dyDescent="0.4">
      <c r="A510" t="s">
        <v>2237</v>
      </c>
      <c r="B510" t="s">
        <v>943</v>
      </c>
      <c r="C510" t="s">
        <v>68</v>
      </c>
      <c r="D510" t="s">
        <v>2238</v>
      </c>
      <c r="E510" t="s">
        <v>1990</v>
      </c>
      <c r="F510">
        <v>45</v>
      </c>
      <c r="G510">
        <v>7</v>
      </c>
      <c r="H510">
        <v>58</v>
      </c>
      <c r="I510" t="s">
        <v>945</v>
      </c>
      <c r="J510" s="1">
        <v>45331</v>
      </c>
      <c r="K510" s="1">
        <v>45416</v>
      </c>
      <c r="L510" t="s">
        <v>893</v>
      </c>
      <c r="M510" t="s">
        <v>2239</v>
      </c>
      <c r="N510">
        <v>86</v>
      </c>
      <c r="O510">
        <v>77</v>
      </c>
      <c r="P510" t="s">
        <v>26</v>
      </c>
    </row>
    <row r="511" spans="1:16" x14ac:dyDescent="0.4">
      <c r="A511" t="s">
        <v>2240</v>
      </c>
      <c r="B511" t="s">
        <v>76</v>
      </c>
      <c r="C511" t="s">
        <v>77</v>
      </c>
      <c r="D511" t="s">
        <v>2241</v>
      </c>
      <c r="E511" t="s">
        <v>126</v>
      </c>
      <c r="F511">
        <v>40</v>
      </c>
      <c r="G511">
        <v>22</v>
      </c>
      <c r="H511">
        <v>74</v>
      </c>
      <c r="I511" t="s">
        <v>1593</v>
      </c>
      <c r="J511" t="s">
        <v>1683</v>
      </c>
      <c r="K511" t="s">
        <v>435</v>
      </c>
      <c r="L511" t="s">
        <v>495</v>
      </c>
      <c r="M511" t="s">
        <v>2242</v>
      </c>
      <c r="N511">
        <v>76</v>
      </c>
      <c r="O511">
        <v>70</v>
      </c>
      <c r="P511" t="s">
        <v>42</v>
      </c>
    </row>
    <row r="512" spans="1:16" x14ac:dyDescent="0.4">
      <c r="A512" t="s">
        <v>2243</v>
      </c>
      <c r="B512" t="s">
        <v>318</v>
      </c>
      <c r="C512" t="s">
        <v>29</v>
      </c>
      <c r="D512" t="s">
        <v>2244</v>
      </c>
      <c r="E512" t="s">
        <v>2245</v>
      </c>
      <c r="F512">
        <v>62</v>
      </c>
      <c r="G512">
        <v>23</v>
      </c>
      <c r="H512">
        <v>25</v>
      </c>
      <c r="I512" t="s">
        <v>1958</v>
      </c>
      <c r="J512" t="s">
        <v>274</v>
      </c>
      <c r="K512" t="s">
        <v>644</v>
      </c>
      <c r="L512" s="1">
        <v>45507</v>
      </c>
      <c r="M512" t="s">
        <v>2246</v>
      </c>
      <c r="N512">
        <v>34</v>
      </c>
      <c r="O512">
        <v>68</v>
      </c>
      <c r="P512" t="s">
        <v>26</v>
      </c>
    </row>
    <row r="513" spans="1:16" x14ac:dyDescent="0.4">
      <c r="A513" t="s">
        <v>2247</v>
      </c>
      <c r="B513" t="s">
        <v>582</v>
      </c>
      <c r="C513" t="s">
        <v>68</v>
      </c>
      <c r="D513" t="s">
        <v>2248</v>
      </c>
      <c r="E513" t="s">
        <v>2249</v>
      </c>
      <c r="F513">
        <v>79</v>
      </c>
      <c r="G513">
        <v>3</v>
      </c>
      <c r="H513">
        <v>36</v>
      </c>
      <c r="I513" t="s">
        <v>57</v>
      </c>
      <c r="J513" t="s">
        <v>22</v>
      </c>
      <c r="K513" t="s">
        <v>286</v>
      </c>
      <c r="L513" t="s">
        <v>382</v>
      </c>
      <c r="M513" t="s">
        <v>2250</v>
      </c>
      <c r="N513">
        <v>46</v>
      </c>
      <c r="O513">
        <v>29</v>
      </c>
      <c r="P513" t="s">
        <v>26</v>
      </c>
    </row>
    <row r="514" spans="1:16" x14ac:dyDescent="0.4">
      <c r="A514" t="s">
        <v>2251</v>
      </c>
      <c r="B514" t="s">
        <v>539</v>
      </c>
      <c r="C514" t="s">
        <v>54</v>
      </c>
      <c r="D514" t="s">
        <v>2252</v>
      </c>
      <c r="E514" t="s">
        <v>897</v>
      </c>
      <c r="F514">
        <v>75</v>
      </c>
      <c r="G514">
        <v>91</v>
      </c>
      <c r="H514">
        <v>68</v>
      </c>
      <c r="I514" t="s">
        <v>85</v>
      </c>
      <c r="J514" t="s">
        <v>969</v>
      </c>
      <c r="K514" t="s">
        <v>956</v>
      </c>
      <c r="L514" s="1">
        <v>45577</v>
      </c>
      <c r="M514" t="s">
        <v>2253</v>
      </c>
      <c r="N514">
        <v>96</v>
      </c>
      <c r="O514">
        <v>73</v>
      </c>
      <c r="P514" t="s">
        <v>42</v>
      </c>
    </row>
    <row r="515" spans="1:16" x14ac:dyDescent="0.4">
      <c r="A515" t="s">
        <v>2254</v>
      </c>
      <c r="B515" t="s">
        <v>669</v>
      </c>
      <c r="C515" t="s">
        <v>18</v>
      </c>
      <c r="D515" t="s">
        <v>2255</v>
      </c>
      <c r="E515" t="s">
        <v>2256</v>
      </c>
      <c r="F515">
        <v>76</v>
      </c>
      <c r="G515">
        <v>8</v>
      </c>
      <c r="H515">
        <v>2</v>
      </c>
      <c r="I515" t="s">
        <v>671</v>
      </c>
      <c r="J515" s="1">
        <v>45392</v>
      </c>
      <c r="K515" s="1">
        <v>45515</v>
      </c>
      <c r="L515" t="s">
        <v>164</v>
      </c>
      <c r="M515" t="s">
        <v>2257</v>
      </c>
      <c r="N515">
        <v>24</v>
      </c>
      <c r="O515">
        <v>53</v>
      </c>
      <c r="P515" t="s">
        <v>51</v>
      </c>
    </row>
    <row r="516" spans="1:16" x14ac:dyDescent="0.4">
      <c r="A516" t="s">
        <v>2258</v>
      </c>
      <c r="B516" t="s">
        <v>784</v>
      </c>
      <c r="C516" t="s">
        <v>68</v>
      </c>
      <c r="D516" t="s">
        <v>2259</v>
      </c>
      <c r="E516" t="s">
        <v>740</v>
      </c>
      <c r="F516">
        <v>96</v>
      </c>
      <c r="G516">
        <v>51</v>
      </c>
      <c r="H516">
        <v>40</v>
      </c>
      <c r="I516" t="s">
        <v>314</v>
      </c>
      <c r="J516" t="s">
        <v>495</v>
      </c>
      <c r="K516" s="1">
        <v>45387</v>
      </c>
      <c r="L516" t="s">
        <v>402</v>
      </c>
      <c r="M516" t="s">
        <v>2260</v>
      </c>
      <c r="N516">
        <v>61</v>
      </c>
      <c r="O516">
        <v>4</v>
      </c>
      <c r="P516" t="s">
        <v>26</v>
      </c>
    </row>
    <row r="517" spans="1:16" x14ac:dyDescent="0.4">
      <c r="A517" t="s">
        <v>2261</v>
      </c>
      <c r="B517" t="s">
        <v>784</v>
      </c>
      <c r="C517" t="s">
        <v>68</v>
      </c>
      <c r="D517" t="s">
        <v>2262</v>
      </c>
      <c r="E517" t="s">
        <v>2263</v>
      </c>
      <c r="F517">
        <v>69</v>
      </c>
      <c r="G517">
        <v>17</v>
      </c>
      <c r="H517">
        <v>27</v>
      </c>
      <c r="I517" t="s">
        <v>314</v>
      </c>
      <c r="J517" t="s">
        <v>1217</v>
      </c>
      <c r="K517" t="s">
        <v>1463</v>
      </c>
      <c r="L517" t="s">
        <v>33</v>
      </c>
      <c r="M517" t="s">
        <v>2264</v>
      </c>
      <c r="N517">
        <v>79</v>
      </c>
      <c r="O517">
        <v>75</v>
      </c>
      <c r="P517" t="s">
        <v>42</v>
      </c>
    </row>
    <row r="518" spans="1:16" x14ac:dyDescent="0.4">
      <c r="A518" t="s">
        <v>2265</v>
      </c>
      <c r="B518" t="s">
        <v>325</v>
      </c>
      <c r="C518" t="s">
        <v>77</v>
      </c>
      <c r="D518" t="s">
        <v>2266</v>
      </c>
      <c r="E518" t="s">
        <v>1023</v>
      </c>
      <c r="F518">
        <v>48</v>
      </c>
      <c r="G518">
        <v>71</v>
      </c>
      <c r="H518">
        <v>86</v>
      </c>
      <c r="I518" t="s">
        <v>85</v>
      </c>
      <c r="J518" t="s">
        <v>644</v>
      </c>
      <c r="K518" s="1">
        <v>45329</v>
      </c>
      <c r="L518" t="s">
        <v>802</v>
      </c>
      <c r="M518" t="s">
        <v>2267</v>
      </c>
      <c r="N518">
        <v>95</v>
      </c>
      <c r="O518">
        <v>3</v>
      </c>
      <c r="P518" t="s">
        <v>26</v>
      </c>
    </row>
    <row r="519" spans="1:16" x14ac:dyDescent="0.4">
      <c r="A519" t="s">
        <v>2268</v>
      </c>
      <c r="B519" t="s">
        <v>545</v>
      </c>
      <c r="C519" t="s">
        <v>77</v>
      </c>
      <c r="D519" t="s">
        <v>2269</v>
      </c>
      <c r="E519" t="s">
        <v>2270</v>
      </c>
      <c r="F519">
        <v>82</v>
      </c>
      <c r="G519">
        <v>3</v>
      </c>
      <c r="H519">
        <v>82</v>
      </c>
      <c r="I519" t="s">
        <v>554</v>
      </c>
      <c r="J519" s="1">
        <v>45361</v>
      </c>
      <c r="K519" s="1">
        <v>45577</v>
      </c>
      <c r="L519" t="s">
        <v>893</v>
      </c>
      <c r="M519" t="s">
        <v>2271</v>
      </c>
      <c r="N519">
        <v>48</v>
      </c>
      <c r="O519">
        <v>31</v>
      </c>
      <c r="P519" t="s">
        <v>51</v>
      </c>
    </row>
    <row r="520" spans="1:16" x14ac:dyDescent="0.4">
      <c r="A520" t="s">
        <v>2272</v>
      </c>
      <c r="B520" t="s">
        <v>290</v>
      </c>
      <c r="C520" t="s">
        <v>54</v>
      </c>
      <c r="D520" t="s">
        <v>2273</v>
      </c>
      <c r="E520" t="s">
        <v>126</v>
      </c>
      <c r="F520">
        <v>43</v>
      </c>
      <c r="G520">
        <v>21</v>
      </c>
      <c r="H520">
        <v>31</v>
      </c>
      <c r="I520" t="s">
        <v>71</v>
      </c>
      <c r="J520" t="s">
        <v>48</v>
      </c>
      <c r="K520" t="s">
        <v>1110</v>
      </c>
      <c r="L520" t="s">
        <v>719</v>
      </c>
      <c r="M520" t="s">
        <v>2274</v>
      </c>
      <c r="N520">
        <v>22</v>
      </c>
      <c r="O520">
        <v>25</v>
      </c>
      <c r="P520" t="s">
        <v>42</v>
      </c>
    </row>
    <row r="521" spans="1:16" x14ac:dyDescent="0.4">
      <c r="A521" t="s">
        <v>2275</v>
      </c>
      <c r="B521" t="s">
        <v>391</v>
      </c>
      <c r="C521" t="s">
        <v>29</v>
      </c>
      <c r="D521" t="s">
        <v>2276</v>
      </c>
      <c r="E521" t="s">
        <v>1178</v>
      </c>
      <c r="F521">
        <v>90</v>
      </c>
      <c r="G521">
        <v>68</v>
      </c>
      <c r="H521">
        <v>74</v>
      </c>
      <c r="I521" t="s">
        <v>172</v>
      </c>
      <c r="J521" s="1">
        <v>45326</v>
      </c>
      <c r="K521" t="s">
        <v>402</v>
      </c>
      <c r="L521" t="s">
        <v>287</v>
      </c>
      <c r="M521" t="s">
        <v>2277</v>
      </c>
      <c r="N521">
        <v>81</v>
      </c>
      <c r="O521">
        <v>26</v>
      </c>
      <c r="P521" t="s">
        <v>42</v>
      </c>
    </row>
    <row r="522" spans="1:16" x14ac:dyDescent="0.4">
      <c r="A522" t="s">
        <v>2278</v>
      </c>
      <c r="B522" t="s">
        <v>1354</v>
      </c>
      <c r="C522" t="s">
        <v>77</v>
      </c>
      <c r="D522" t="s">
        <v>2279</v>
      </c>
      <c r="E522" t="s">
        <v>2280</v>
      </c>
      <c r="F522">
        <v>13</v>
      </c>
      <c r="G522">
        <v>39</v>
      </c>
      <c r="H522">
        <v>98</v>
      </c>
      <c r="I522" t="s">
        <v>2281</v>
      </c>
      <c r="J522" s="1">
        <v>45328</v>
      </c>
      <c r="K522" s="1">
        <v>45423</v>
      </c>
      <c r="L522" t="s">
        <v>514</v>
      </c>
      <c r="M522" t="s">
        <v>2282</v>
      </c>
      <c r="N522">
        <v>46</v>
      </c>
      <c r="O522">
        <v>46</v>
      </c>
      <c r="P522" t="s">
        <v>42</v>
      </c>
    </row>
    <row r="523" spans="1:16" x14ac:dyDescent="0.4">
      <c r="A523" t="s">
        <v>2283</v>
      </c>
      <c r="B523" t="s">
        <v>184</v>
      </c>
      <c r="C523" t="s">
        <v>54</v>
      </c>
      <c r="D523" t="s">
        <v>2284</v>
      </c>
      <c r="E523" t="s">
        <v>152</v>
      </c>
      <c r="F523">
        <v>62</v>
      </c>
      <c r="G523">
        <v>79</v>
      </c>
      <c r="H523">
        <v>95</v>
      </c>
      <c r="I523" t="s">
        <v>91</v>
      </c>
      <c r="J523" t="s">
        <v>347</v>
      </c>
      <c r="K523" s="1">
        <v>45450</v>
      </c>
      <c r="L523" t="s">
        <v>2285</v>
      </c>
      <c r="M523" t="s">
        <v>2286</v>
      </c>
      <c r="N523">
        <v>34</v>
      </c>
      <c r="O523">
        <v>12</v>
      </c>
      <c r="P523" t="s">
        <v>51</v>
      </c>
    </row>
    <row r="524" spans="1:16" x14ac:dyDescent="0.4">
      <c r="A524" t="s">
        <v>2287</v>
      </c>
      <c r="B524" t="s">
        <v>1534</v>
      </c>
      <c r="C524" t="s">
        <v>18</v>
      </c>
      <c r="D524" t="s">
        <v>2288</v>
      </c>
      <c r="E524" t="s">
        <v>1527</v>
      </c>
      <c r="F524">
        <v>17</v>
      </c>
      <c r="G524">
        <v>85</v>
      </c>
      <c r="H524">
        <v>74</v>
      </c>
      <c r="I524" t="s">
        <v>220</v>
      </c>
      <c r="J524" s="1">
        <v>45296</v>
      </c>
      <c r="K524" t="s">
        <v>1664</v>
      </c>
      <c r="L524" t="s">
        <v>666</v>
      </c>
      <c r="M524" t="s">
        <v>2289</v>
      </c>
      <c r="N524">
        <v>76</v>
      </c>
      <c r="O524">
        <v>89</v>
      </c>
      <c r="P524" t="s">
        <v>51</v>
      </c>
    </row>
    <row r="525" spans="1:16" x14ac:dyDescent="0.4">
      <c r="A525" t="s">
        <v>2290</v>
      </c>
      <c r="B525" t="s">
        <v>943</v>
      </c>
      <c r="C525" t="s">
        <v>68</v>
      </c>
      <c r="D525" t="s">
        <v>2291</v>
      </c>
      <c r="E525" t="s">
        <v>1615</v>
      </c>
      <c r="F525">
        <v>100</v>
      </c>
      <c r="G525">
        <v>86</v>
      </c>
      <c r="H525">
        <v>94</v>
      </c>
      <c r="I525" t="s">
        <v>945</v>
      </c>
      <c r="J525" s="1">
        <v>45604</v>
      </c>
      <c r="K525" s="1">
        <v>45630</v>
      </c>
      <c r="L525" s="1">
        <v>45388</v>
      </c>
      <c r="M525" t="s">
        <v>2292</v>
      </c>
      <c r="N525">
        <v>77</v>
      </c>
      <c r="O525">
        <v>57</v>
      </c>
      <c r="P525" t="s">
        <v>51</v>
      </c>
    </row>
    <row r="526" spans="1:16" x14ac:dyDescent="0.4">
      <c r="A526" t="s">
        <v>2293</v>
      </c>
      <c r="B526" t="s">
        <v>60</v>
      </c>
      <c r="C526" t="s">
        <v>18</v>
      </c>
      <c r="D526" t="s">
        <v>2294</v>
      </c>
      <c r="E526" t="s">
        <v>1668</v>
      </c>
      <c r="F526">
        <v>54</v>
      </c>
      <c r="G526">
        <v>69</v>
      </c>
      <c r="H526">
        <v>68</v>
      </c>
      <c r="I526" t="s">
        <v>63</v>
      </c>
      <c r="J526" t="s">
        <v>1049</v>
      </c>
      <c r="K526" s="1">
        <v>45423</v>
      </c>
      <c r="L526" t="s">
        <v>725</v>
      </c>
      <c r="M526" t="s">
        <v>2295</v>
      </c>
      <c r="N526">
        <v>77</v>
      </c>
      <c r="O526">
        <v>56</v>
      </c>
      <c r="P526" t="s">
        <v>26</v>
      </c>
    </row>
    <row r="527" spans="1:16" x14ac:dyDescent="0.4">
      <c r="A527" t="s">
        <v>2296</v>
      </c>
      <c r="B527" t="s">
        <v>663</v>
      </c>
      <c r="C527" t="s">
        <v>77</v>
      </c>
      <c r="D527" t="s">
        <v>2297</v>
      </c>
      <c r="E527" t="s">
        <v>929</v>
      </c>
      <c r="F527">
        <v>98</v>
      </c>
      <c r="G527">
        <v>24</v>
      </c>
      <c r="H527">
        <v>4</v>
      </c>
      <c r="I527" t="s">
        <v>2081</v>
      </c>
      <c r="J527" s="1">
        <v>45507</v>
      </c>
      <c r="K527" t="s">
        <v>192</v>
      </c>
      <c r="L527" t="s">
        <v>811</v>
      </c>
      <c r="M527" t="s">
        <v>2298</v>
      </c>
      <c r="N527">
        <v>89</v>
      </c>
      <c r="O527">
        <v>80</v>
      </c>
      <c r="P527" t="s">
        <v>51</v>
      </c>
    </row>
    <row r="528" spans="1:16" x14ac:dyDescent="0.4">
      <c r="A528" t="s">
        <v>2299</v>
      </c>
      <c r="B528" t="s">
        <v>255</v>
      </c>
      <c r="C528" t="s">
        <v>29</v>
      </c>
      <c r="D528" t="s">
        <v>2300</v>
      </c>
      <c r="E528" t="s">
        <v>2301</v>
      </c>
      <c r="F528">
        <v>20</v>
      </c>
      <c r="G528">
        <v>9</v>
      </c>
      <c r="H528">
        <v>12</v>
      </c>
      <c r="I528" t="s">
        <v>2302</v>
      </c>
      <c r="J528" t="s">
        <v>207</v>
      </c>
      <c r="K528" t="s">
        <v>199</v>
      </c>
      <c r="L528" t="s">
        <v>495</v>
      </c>
      <c r="M528" t="s">
        <v>2303</v>
      </c>
      <c r="N528">
        <v>46</v>
      </c>
      <c r="O528">
        <v>32</v>
      </c>
      <c r="P528" t="s">
        <v>26</v>
      </c>
    </row>
    <row r="529" spans="1:16" x14ac:dyDescent="0.4">
      <c r="A529" t="s">
        <v>2304</v>
      </c>
      <c r="B529" t="s">
        <v>263</v>
      </c>
      <c r="C529" t="s">
        <v>169</v>
      </c>
      <c r="D529" t="s">
        <v>2305</v>
      </c>
      <c r="E529" t="s">
        <v>1169</v>
      </c>
      <c r="F529">
        <v>43</v>
      </c>
      <c r="G529">
        <v>7</v>
      </c>
      <c r="H529">
        <v>63</v>
      </c>
      <c r="I529" t="s">
        <v>266</v>
      </c>
      <c r="J529" t="s">
        <v>428</v>
      </c>
      <c r="K529" t="s">
        <v>1049</v>
      </c>
      <c r="L529" s="1">
        <v>45507</v>
      </c>
      <c r="M529" t="s">
        <v>2306</v>
      </c>
      <c r="N529">
        <v>66</v>
      </c>
      <c r="O529">
        <v>71</v>
      </c>
      <c r="P529" t="s">
        <v>51</v>
      </c>
    </row>
    <row r="530" spans="1:16" x14ac:dyDescent="0.4">
      <c r="A530" t="s">
        <v>2307</v>
      </c>
      <c r="B530" t="s">
        <v>391</v>
      </c>
      <c r="C530" t="s">
        <v>29</v>
      </c>
      <c r="D530" t="s">
        <v>2308</v>
      </c>
      <c r="E530" t="s">
        <v>565</v>
      </c>
      <c r="F530">
        <v>29</v>
      </c>
      <c r="G530">
        <v>91</v>
      </c>
      <c r="H530">
        <v>48</v>
      </c>
      <c r="I530" t="s">
        <v>172</v>
      </c>
      <c r="J530" s="1">
        <v>45422</v>
      </c>
      <c r="K530" s="1">
        <v>45572</v>
      </c>
      <c r="L530" t="s">
        <v>22</v>
      </c>
      <c r="M530" t="s">
        <v>2309</v>
      </c>
      <c r="N530">
        <v>28</v>
      </c>
      <c r="O530">
        <v>40</v>
      </c>
      <c r="P530" t="s">
        <v>51</v>
      </c>
    </row>
    <row r="531" spans="1:16" x14ac:dyDescent="0.4">
      <c r="A531" t="s">
        <v>2310</v>
      </c>
      <c r="B531" t="s">
        <v>1383</v>
      </c>
      <c r="C531" t="s">
        <v>54</v>
      </c>
      <c r="D531" t="s">
        <v>2311</v>
      </c>
      <c r="E531" t="s">
        <v>832</v>
      </c>
      <c r="F531">
        <v>37</v>
      </c>
      <c r="G531">
        <v>45</v>
      </c>
      <c r="H531">
        <v>62</v>
      </c>
      <c r="I531" t="s">
        <v>1386</v>
      </c>
      <c r="J531" s="1">
        <v>45516</v>
      </c>
      <c r="K531" s="1">
        <v>45992</v>
      </c>
      <c r="L531" t="s">
        <v>635</v>
      </c>
      <c r="M531" t="s">
        <v>2312</v>
      </c>
      <c r="N531">
        <v>34</v>
      </c>
      <c r="O531">
        <v>23</v>
      </c>
      <c r="P531" t="s">
        <v>42</v>
      </c>
    </row>
    <row r="532" spans="1:16" x14ac:dyDescent="0.4">
      <c r="A532" t="s">
        <v>2313</v>
      </c>
      <c r="B532" t="s">
        <v>923</v>
      </c>
      <c r="C532" t="s">
        <v>77</v>
      </c>
      <c r="D532" t="s">
        <v>2314</v>
      </c>
      <c r="E532" t="s">
        <v>2315</v>
      </c>
      <c r="F532">
        <v>85</v>
      </c>
      <c r="G532">
        <v>28</v>
      </c>
      <c r="H532">
        <v>32</v>
      </c>
      <c r="I532" t="s">
        <v>1679</v>
      </c>
      <c r="J532" t="s">
        <v>719</v>
      </c>
      <c r="K532" t="s">
        <v>1110</v>
      </c>
      <c r="L532" t="s">
        <v>366</v>
      </c>
      <c r="M532" t="s">
        <v>2316</v>
      </c>
      <c r="N532">
        <v>57</v>
      </c>
      <c r="O532">
        <v>41</v>
      </c>
      <c r="P532" t="s">
        <v>42</v>
      </c>
    </row>
    <row r="533" spans="1:16" x14ac:dyDescent="0.4">
      <c r="A533" t="s">
        <v>2317</v>
      </c>
      <c r="B533" t="s">
        <v>1046</v>
      </c>
      <c r="C533" t="s">
        <v>18</v>
      </c>
      <c r="D533" t="s">
        <v>2318</v>
      </c>
      <c r="E533" t="s">
        <v>891</v>
      </c>
      <c r="F533">
        <v>26</v>
      </c>
      <c r="G533">
        <v>67</v>
      </c>
      <c r="H533">
        <v>46</v>
      </c>
      <c r="I533" t="s">
        <v>2160</v>
      </c>
      <c r="J533" s="1">
        <v>45516</v>
      </c>
      <c r="K533" s="1">
        <v>45635</v>
      </c>
      <c r="L533" s="1">
        <v>45386</v>
      </c>
      <c r="M533" t="s">
        <v>2319</v>
      </c>
      <c r="N533">
        <v>54</v>
      </c>
      <c r="O533">
        <v>46</v>
      </c>
      <c r="P533" t="s">
        <v>42</v>
      </c>
    </row>
    <row r="534" spans="1:16" x14ac:dyDescent="0.4">
      <c r="A534" t="s">
        <v>2320</v>
      </c>
      <c r="B534" t="s">
        <v>458</v>
      </c>
      <c r="C534" t="s">
        <v>29</v>
      </c>
      <c r="D534" t="s">
        <v>2321</v>
      </c>
      <c r="E534" t="s">
        <v>46</v>
      </c>
      <c r="F534">
        <v>91</v>
      </c>
      <c r="G534">
        <v>78</v>
      </c>
      <c r="H534">
        <v>61</v>
      </c>
      <c r="I534" t="s">
        <v>461</v>
      </c>
      <c r="J534" s="1">
        <v>45417</v>
      </c>
      <c r="K534" t="s">
        <v>526</v>
      </c>
      <c r="L534" s="1">
        <v>45573</v>
      </c>
      <c r="M534" t="s">
        <v>2322</v>
      </c>
      <c r="N534">
        <v>63</v>
      </c>
      <c r="O534">
        <v>15</v>
      </c>
      <c r="P534" t="s">
        <v>42</v>
      </c>
    </row>
    <row r="535" spans="1:16" x14ac:dyDescent="0.4">
      <c r="A535" t="s">
        <v>2323</v>
      </c>
      <c r="B535" t="s">
        <v>447</v>
      </c>
      <c r="C535" t="s">
        <v>77</v>
      </c>
      <c r="D535" t="s">
        <v>2324</v>
      </c>
      <c r="E535" t="s">
        <v>858</v>
      </c>
      <c r="F535">
        <v>50</v>
      </c>
      <c r="G535">
        <v>46</v>
      </c>
      <c r="H535">
        <v>38</v>
      </c>
      <c r="I535" t="s">
        <v>1829</v>
      </c>
      <c r="J535" s="1">
        <v>45301</v>
      </c>
      <c r="K535" s="1">
        <v>45358</v>
      </c>
      <c r="L535" t="s">
        <v>609</v>
      </c>
      <c r="M535" t="s">
        <v>2325</v>
      </c>
      <c r="N535">
        <v>88</v>
      </c>
      <c r="O535">
        <v>70</v>
      </c>
      <c r="P535" t="s">
        <v>51</v>
      </c>
    </row>
    <row r="536" spans="1:16" x14ac:dyDescent="0.4">
      <c r="A536" t="s">
        <v>2326</v>
      </c>
      <c r="B536" t="s">
        <v>168</v>
      </c>
      <c r="C536" t="s">
        <v>169</v>
      </c>
      <c r="D536" t="s">
        <v>2327</v>
      </c>
      <c r="E536" t="s">
        <v>1039</v>
      </c>
      <c r="F536">
        <v>98</v>
      </c>
      <c r="G536">
        <v>65</v>
      </c>
      <c r="H536">
        <v>76</v>
      </c>
      <c r="I536" t="s">
        <v>172</v>
      </c>
      <c r="J536" t="s">
        <v>1351</v>
      </c>
      <c r="K536" t="s">
        <v>1357</v>
      </c>
      <c r="L536" t="s">
        <v>1488</v>
      </c>
      <c r="M536" t="s">
        <v>2328</v>
      </c>
      <c r="N536">
        <v>62</v>
      </c>
      <c r="O536">
        <v>47</v>
      </c>
      <c r="P536" t="s">
        <v>51</v>
      </c>
    </row>
    <row r="537" spans="1:16" x14ac:dyDescent="0.4">
      <c r="A537" t="s">
        <v>2329</v>
      </c>
      <c r="B537" t="s">
        <v>88</v>
      </c>
      <c r="C537" t="s">
        <v>77</v>
      </c>
      <c r="D537" t="s">
        <v>2330</v>
      </c>
      <c r="E537" t="s">
        <v>371</v>
      </c>
      <c r="F537">
        <v>37</v>
      </c>
      <c r="G537">
        <v>53</v>
      </c>
      <c r="H537">
        <v>61</v>
      </c>
      <c r="I537" t="s">
        <v>91</v>
      </c>
      <c r="J537" s="1">
        <v>45355</v>
      </c>
      <c r="K537" t="s">
        <v>1151</v>
      </c>
      <c r="L537" t="s">
        <v>549</v>
      </c>
      <c r="M537" t="s">
        <v>2331</v>
      </c>
      <c r="N537">
        <v>90</v>
      </c>
      <c r="O537">
        <v>89</v>
      </c>
      <c r="P537" t="s">
        <v>42</v>
      </c>
    </row>
    <row r="538" spans="1:16" x14ac:dyDescent="0.4">
      <c r="A538" t="s">
        <v>2332</v>
      </c>
      <c r="B538" t="s">
        <v>386</v>
      </c>
      <c r="C538" t="s">
        <v>112</v>
      </c>
      <c r="D538" t="s">
        <v>2333</v>
      </c>
      <c r="E538" t="s">
        <v>964</v>
      </c>
      <c r="F538">
        <v>78</v>
      </c>
      <c r="G538">
        <v>68</v>
      </c>
      <c r="H538">
        <v>68</v>
      </c>
      <c r="I538" t="s">
        <v>71</v>
      </c>
      <c r="J538" s="1">
        <v>45635</v>
      </c>
      <c r="K538" s="1">
        <v>45415</v>
      </c>
      <c r="L538" t="s">
        <v>315</v>
      </c>
      <c r="M538" t="s">
        <v>2334</v>
      </c>
      <c r="N538">
        <v>89</v>
      </c>
      <c r="O538">
        <v>24</v>
      </c>
      <c r="P538" t="s">
        <v>42</v>
      </c>
    </row>
    <row r="539" spans="1:16" x14ac:dyDescent="0.4">
      <c r="A539" t="s">
        <v>2335</v>
      </c>
      <c r="B539" t="s">
        <v>779</v>
      </c>
      <c r="C539" t="s">
        <v>54</v>
      </c>
      <c r="D539" t="s">
        <v>2336</v>
      </c>
      <c r="E539" t="s">
        <v>205</v>
      </c>
      <c r="F539">
        <v>48</v>
      </c>
      <c r="G539">
        <v>27</v>
      </c>
      <c r="H539">
        <v>73</v>
      </c>
      <c r="I539" t="s">
        <v>2337</v>
      </c>
      <c r="J539" t="s">
        <v>193</v>
      </c>
      <c r="K539" s="1">
        <v>45630</v>
      </c>
      <c r="L539" t="s">
        <v>200</v>
      </c>
      <c r="M539" t="s">
        <v>2338</v>
      </c>
      <c r="N539">
        <v>52</v>
      </c>
      <c r="O539">
        <v>97</v>
      </c>
      <c r="P539" t="s">
        <v>26</v>
      </c>
    </row>
    <row r="540" spans="1:16" x14ac:dyDescent="0.4">
      <c r="A540" t="s">
        <v>2339</v>
      </c>
      <c r="B540" t="s">
        <v>28</v>
      </c>
      <c r="C540" t="s">
        <v>29</v>
      </c>
      <c r="D540" t="s">
        <v>2340</v>
      </c>
      <c r="E540" t="s">
        <v>2341</v>
      </c>
      <c r="F540">
        <v>74</v>
      </c>
      <c r="G540">
        <v>10</v>
      </c>
      <c r="H540">
        <v>74</v>
      </c>
      <c r="I540" t="s">
        <v>32</v>
      </c>
      <c r="J540" t="s">
        <v>854</v>
      </c>
      <c r="K540" s="1">
        <v>45332</v>
      </c>
      <c r="L540" t="s">
        <v>300</v>
      </c>
      <c r="M540" t="s">
        <v>2342</v>
      </c>
      <c r="N540">
        <v>100</v>
      </c>
      <c r="O540">
        <v>66</v>
      </c>
      <c r="P540" t="s">
        <v>42</v>
      </c>
    </row>
    <row r="541" spans="1:16" x14ac:dyDescent="0.4">
      <c r="A541" t="s">
        <v>2343</v>
      </c>
      <c r="B541" t="s">
        <v>239</v>
      </c>
      <c r="C541" t="s">
        <v>54</v>
      </c>
      <c r="D541" t="s">
        <v>2344</v>
      </c>
      <c r="E541" t="s">
        <v>1347</v>
      </c>
      <c r="F541">
        <v>18</v>
      </c>
      <c r="G541">
        <v>7</v>
      </c>
      <c r="H541">
        <v>58</v>
      </c>
      <c r="I541" t="s">
        <v>242</v>
      </c>
      <c r="J541" t="s">
        <v>402</v>
      </c>
      <c r="K541" s="1">
        <v>45420</v>
      </c>
      <c r="L541" t="s">
        <v>207</v>
      </c>
      <c r="M541" t="s">
        <v>2345</v>
      </c>
      <c r="N541">
        <v>88</v>
      </c>
      <c r="O541">
        <v>96</v>
      </c>
      <c r="P541" t="s">
        <v>26</v>
      </c>
    </row>
    <row r="542" spans="1:16" x14ac:dyDescent="0.4">
      <c r="A542" t="s">
        <v>2346</v>
      </c>
      <c r="B542" t="s">
        <v>779</v>
      </c>
      <c r="C542" t="s">
        <v>54</v>
      </c>
      <c r="D542" t="s">
        <v>2347</v>
      </c>
      <c r="E542" t="s">
        <v>648</v>
      </c>
      <c r="F542">
        <v>95</v>
      </c>
      <c r="G542">
        <v>66</v>
      </c>
      <c r="H542">
        <v>69</v>
      </c>
      <c r="I542" t="s">
        <v>2348</v>
      </c>
      <c r="J542" s="1">
        <v>45510</v>
      </c>
      <c r="K542" t="s">
        <v>236</v>
      </c>
      <c r="L542" s="1">
        <v>45749</v>
      </c>
      <c r="M542" t="s">
        <v>2349</v>
      </c>
      <c r="N542">
        <v>92</v>
      </c>
      <c r="O542">
        <v>72</v>
      </c>
      <c r="P542" t="s">
        <v>42</v>
      </c>
    </row>
    <row r="543" spans="1:16" x14ac:dyDescent="0.4">
      <c r="A543" t="s">
        <v>2350</v>
      </c>
      <c r="B543" t="s">
        <v>932</v>
      </c>
      <c r="C543" t="s">
        <v>77</v>
      </c>
      <c r="D543" t="s">
        <v>2351</v>
      </c>
      <c r="E543" t="s">
        <v>1373</v>
      </c>
      <c r="F543">
        <v>39</v>
      </c>
      <c r="G543">
        <v>93</v>
      </c>
      <c r="H543">
        <v>57</v>
      </c>
      <c r="I543" t="s">
        <v>71</v>
      </c>
      <c r="J543" s="1">
        <v>45388</v>
      </c>
      <c r="K543" t="s">
        <v>164</v>
      </c>
      <c r="L543" s="1">
        <v>45717</v>
      </c>
      <c r="M543" t="s">
        <v>2352</v>
      </c>
      <c r="N543">
        <v>26</v>
      </c>
      <c r="O543">
        <v>44</v>
      </c>
      <c r="P543" t="s">
        <v>42</v>
      </c>
    </row>
    <row r="544" spans="1:16" x14ac:dyDescent="0.4">
      <c r="A544" t="s">
        <v>2353</v>
      </c>
      <c r="B544" t="s">
        <v>539</v>
      </c>
      <c r="C544" t="s">
        <v>54</v>
      </c>
      <c r="D544" t="s">
        <v>2354</v>
      </c>
      <c r="E544" t="s">
        <v>2355</v>
      </c>
      <c r="F544">
        <v>48</v>
      </c>
      <c r="G544">
        <v>72</v>
      </c>
      <c r="H544">
        <v>55</v>
      </c>
      <c r="I544" t="s">
        <v>85</v>
      </c>
      <c r="J544" t="s">
        <v>514</v>
      </c>
      <c r="K544" s="1">
        <v>45631</v>
      </c>
      <c r="L544" t="s">
        <v>127</v>
      </c>
      <c r="M544" t="s">
        <v>2356</v>
      </c>
      <c r="N544">
        <v>51</v>
      </c>
      <c r="O544">
        <v>41</v>
      </c>
      <c r="P544" t="s">
        <v>51</v>
      </c>
    </row>
    <row r="545" spans="1:16" x14ac:dyDescent="0.4">
      <c r="A545" t="s">
        <v>2357</v>
      </c>
      <c r="B545" t="s">
        <v>124</v>
      </c>
      <c r="C545" t="s">
        <v>54</v>
      </c>
      <c r="D545" t="s">
        <v>2358</v>
      </c>
      <c r="E545" t="s">
        <v>977</v>
      </c>
      <c r="F545">
        <v>58</v>
      </c>
      <c r="G545">
        <v>15</v>
      </c>
      <c r="H545">
        <v>87</v>
      </c>
      <c r="I545" t="s">
        <v>1160</v>
      </c>
      <c r="J545" s="1">
        <v>45572</v>
      </c>
      <c r="K545" t="s">
        <v>127</v>
      </c>
      <c r="L545" t="s">
        <v>525</v>
      </c>
      <c r="M545" t="s">
        <v>2359</v>
      </c>
      <c r="N545">
        <v>52</v>
      </c>
      <c r="O545">
        <v>81</v>
      </c>
      <c r="P545" t="s">
        <v>42</v>
      </c>
    </row>
    <row r="546" spans="1:16" x14ac:dyDescent="0.4">
      <c r="A546" t="s">
        <v>2360</v>
      </c>
      <c r="B546" t="s">
        <v>82</v>
      </c>
      <c r="C546" t="s">
        <v>77</v>
      </c>
      <c r="D546" t="s">
        <v>2361</v>
      </c>
      <c r="E546" t="s">
        <v>781</v>
      </c>
      <c r="F546">
        <v>39</v>
      </c>
      <c r="G546">
        <v>55</v>
      </c>
      <c r="H546">
        <v>39</v>
      </c>
      <c r="I546" t="s">
        <v>85</v>
      </c>
      <c r="J546" t="s">
        <v>700</v>
      </c>
      <c r="K546" s="1">
        <v>45480</v>
      </c>
      <c r="L546" t="s">
        <v>73</v>
      </c>
      <c r="M546" t="s">
        <v>2362</v>
      </c>
      <c r="N546">
        <v>47</v>
      </c>
      <c r="O546">
        <v>59</v>
      </c>
      <c r="P546" t="s">
        <v>42</v>
      </c>
    </row>
    <row r="547" spans="1:16" x14ac:dyDescent="0.4">
      <c r="A547" t="s">
        <v>2363</v>
      </c>
      <c r="B547" t="s">
        <v>1470</v>
      </c>
      <c r="C547" t="s">
        <v>54</v>
      </c>
      <c r="D547" t="s">
        <v>2364</v>
      </c>
      <c r="E547" t="s">
        <v>414</v>
      </c>
      <c r="F547">
        <v>84</v>
      </c>
      <c r="G547">
        <v>28</v>
      </c>
      <c r="H547">
        <v>29</v>
      </c>
      <c r="I547" t="s">
        <v>2160</v>
      </c>
      <c r="J547" s="1">
        <v>45902</v>
      </c>
      <c r="K547" t="s">
        <v>353</v>
      </c>
      <c r="L547" t="s">
        <v>524</v>
      </c>
      <c r="M547" t="s">
        <v>2365</v>
      </c>
      <c r="N547">
        <v>54</v>
      </c>
      <c r="O547">
        <v>32</v>
      </c>
      <c r="P547" t="s">
        <v>26</v>
      </c>
    </row>
    <row r="548" spans="1:16" x14ac:dyDescent="0.4">
      <c r="A548" t="s">
        <v>2366</v>
      </c>
      <c r="B548" t="s">
        <v>412</v>
      </c>
      <c r="C548" t="s">
        <v>169</v>
      </c>
      <c r="D548" t="s">
        <v>2367</v>
      </c>
      <c r="E548" t="s">
        <v>278</v>
      </c>
      <c r="F548">
        <v>30</v>
      </c>
      <c r="G548">
        <v>55</v>
      </c>
      <c r="H548">
        <v>4</v>
      </c>
      <c r="I548" t="s">
        <v>39</v>
      </c>
      <c r="J548" t="s">
        <v>1331</v>
      </c>
      <c r="K548" t="s">
        <v>358</v>
      </c>
      <c r="L548" t="s">
        <v>450</v>
      </c>
      <c r="M548" t="s">
        <v>2368</v>
      </c>
      <c r="N548">
        <v>56</v>
      </c>
      <c r="O548">
        <v>31</v>
      </c>
      <c r="P548" t="s">
        <v>51</v>
      </c>
    </row>
    <row r="549" spans="1:16" x14ac:dyDescent="0.4">
      <c r="A549" t="s">
        <v>2369</v>
      </c>
      <c r="B549" t="s">
        <v>943</v>
      </c>
      <c r="C549" t="s">
        <v>68</v>
      </c>
      <c r="D549" t="s">
        <v>2370</v>
      </c>
      <c r="E549" t="s">
        <v>920</v>
      </c>
      <c r="F549">
        <v>14</v>
      </c>
      <c r="G549">
        <v>84</v>
      </c>
      <c r="H549">
        <v>15</v>
      </c>
      <c r="I549" t="s">
        <v>945</v>
      </c>
      <c r="J549" t="s">
        <v>366</v>
      </c>
      <c r="K549" s="1">
        <v>45840</v>
      </c>
      <c r="L549" s="1">
        <v>45638</v>
      </c>
      <c r="M549" t="s">
        <v>2371</v>
      </c>
      <c r="N549">
        <v>51</v>
      </c>
      <c r="O549">
        <v>73</v>
      </c>
      <c r="P549" t="s">
        <v>51</v>
      </c>
    </row>
    <row r="550" spans="1:16" x14ac:dyDescent="0.4">
      <c r="A550" t="s">
        <v>2372</v>
      </c>
      <c r="B550" t="s">
        <v>885</v>
      </c>
      <c r="C550" t="s">
        <v>18</v>
      </c>
      <c r="D550" t="s">
        <v>2373</v>
      </c>
      <c r="E550" t="s">
        <v>891</v>
      </c>
      <c r="F550">
        <v>21</v>
      </c>
      <c r="G550">
        <v>15</v>
      </c>
      <c r="H550">
        <v>27</v>
      </c>
      <c r="I550" t="s">
        <v>71</v>
      </c>
      <c r="J550" s="1">
        <v>45779</v>
      </c>
      <c r="K550" s="1">
        <v>45606</v>
      </c>
      <c r="L550" s="1">
        <v>45512</v>
      </c>
      <c r="M550" t="s">
        <v>2374</v>
      </c>
      <c r="N550">
        <v>37</v>
      </c>
      <c r="O550">
        <v>41</v>
      </c>
      <c r="P550" t="s">
        <v>51</v>
      </c>
    </row>
    <row r="551" spans="1:16" x14ac:dyDescent="0.4">
      <c r="A551" t="s">
        <v>2375</v>
      </c>
      <c r="B551" t="s">
        <v>621</v>
      </c>
      <c r="C551" t="s">
        <v>18</v>
      </c>
      <c r="D551" t="s">
        <v>2376</v>
      </c>
      <c r="E551" t="s">
        <v>2377</v>
      </c>
      <c r="F551">
        <v>17</v>
      </c>
      <c r="G551">
        <v>19</v>
      </c>
      <c r="H551">
        <v>74</v>
      </c>
      <c r="I551" t="s">
        <v>624</v>
      </c>
      <c r="J551" s="1">
        <v>45392</v>
      </c>
      <c r="K551" s="1">
        <v>45516</v>
      </c>
      <c r="L551" t="s">
        <v>274</v>
      </c>
      <c r="M551" t="s">
        <v>2378</v>
      </c>
      <c r="N551">
        <v>58</v>
      </c>
      <c r="O551">
        <v>27</v>
      </c>
      <c r="P551" t="s">
        <v>26</v>
      </c>
    </row>
    <row r="552" spans="1:16" x14ac:dyDescent="0.4">
      <c r="A552" t="s">
        <v>2379</v>
      </c>
      <c r="B552" t="s">
        <v>779</v>
      </c>
      <c r="C552" t="s">
        <v>54</v>
      </c>
      <c r="D552" t="s">
        <v>2380</v>
      </c>
      <c r="E552" t="s">
        <v>578</v>
      </c>
      <c r="F552">
        <v>34</v>
      </c>
      <c r="G552">
        <v>92</v>
      </c>
      <c r="H552">
        <v>26</v>
      </c>
      <c r="I552" t="s">
        <v>71</v>
      </c>
      <c r="J552" s="1">
        <v>45300</v>
      </c>
      <c r="K552" s="1">
        <v>45569</v>
      </c>
      <c r="L552" t="s">
        <v>1508</v>
      </c>
      <c r="M552" t="s">
        <v>2381</v>
      </c>
      <c r="N552">
        <v>28</v>
      </c>
      <c r="O552">
        <v>71</v>
      </c>
      <c r="P552" t="s">
        <v>51</v>
      </c>
    </row>
    <row r="553" spans="1:16" x14ac:dyDescent="0.4">
      <c r="A553" t="s">
        <v>2382</v>
      </c>
      <c r="B553" t="s">
        <v>621</v>
      </c>
      <c r="C553" t="s">
        <v>18</v>
      </c>
      <c r="D553" t="s">
        <v>2383</v>
      </c>
      <c r="E553" t="s">
        <v>126</v>
      </c>
      <c r="F553">
        <v>56</v>
      </c>
      <c r="G553">
        <v>48</v>
      </c>
      <c r="H553">
        <v>82</v>
      </c>
      <c r="I553" t="s">
        <v>624</v>
      </c>
      <c r="J553" t="s">
        <v>359</v>
      </c>
      <c r="K553" t="s">
        <v>192</v>
      </c>
      <c r="L553" s="1">
        <v>45962</v>
      </c>
      <c r="M553" t="s">
        <v>2384</v>
      </c>
      <c r="N553">
        <v>71</v>
      </c>
      <c r="O553">
        <v>65</v>
      </c>
      <c r="P553" t="s">
        <v>42</v>
      </c>
    </row>
    <row r="554" spans="1:16" x14ac:dyDescent="0.4">
      <c r="A554" t="s">
        <v>2385</v>
      </c>
      <c r="B554" t="s">
        <v>53</v>
      </c>
      <c r="C554" t="s">
        <v>54</v>
      </c>
      <c r="D554" t="s">
        <v>2386</v>
      </c>
      <c r="E554" t="s">
        <v>2064</v>
      </c>
      <c r="F554">
        <v>64</v>
      </c>
      <c r="G554">
        <v>71</v>
      </c>
      <c r="H554">
        <v>69</v>
      </c>
      <c r="I554" t="s">
        <v>1481</v>
      </c>
      <c r="J554" s="1">
        <v>45575</v>
      </c>
      <c r="K554" t="s">
        <v>128</v>
      </c>
      <c r="L554" s="1">
        <v>45575</v>
      </c>
      <c r="M554" t="s">
        <v>2387</v>
      </c>
      <c r="N554">
        <v>60</v>
      </c>
      <c r="O554">
        <v>67</v>
      </c>
      <c r="P554" t="s">
        <v>51</v>
      </c>
    </row>
    <row r="555" spans="1:16" x14ac:dyDescent="0.4">
      <c r="A555" t="s">
        <v>2388</v>
      </c>
      <c r="B555" t="s">
        <v>1383</v>
      </c>
      <c r="C555" t="s">
        <v>54</v>
      </c>
      <c r="D555" t="s">
        <v>2389</v>
      </c>
      <c r="E555" t="s">
        <v>1549</v>
      </c>
      <c r="F555">
        <v>87</v>
      </c>
      <c r="G555">
        <v>62</v>
      </c>
      <c r="H555">
        <v>2</v>
      </c>
      <c r="I555" t="s">
        <v>1386</v>
      </c>
      <c r="J555" s="1">
        <v>45542</v>
      </c>
      <c r="K555" t="s">
        <v>718</v>
      </c>
      <c r="L555" t="s">
        <v>179</v>
      </c>
      <c r="M555" t="s">
        <v>2390</v>
      </c>
      <c r="N555">
        <v>22</v>
      </c>
      <c r="O555">
        <v>38</v>
      </c>
      <c r="P555" t="s">
        <v>42</v>
      </c>
    </row>
    <row r="556" spans="1:16" x14ac:dyDescent="0.4">
      <c r="A556" t="s">
        <v>2391</v>
      </c>
      <c r="B556" t="s">
        <v>1470</v>
      </c>
      <c r="C556" t="s">
        <v>54</v>
      </c>
      <c r="D556" t="s">
        <v>2392</v>
      </c>
      <c r="E556" t="s">
        <v>393</v>
      </c>
      <c r="F556">
        <v>24</v>
      </c>
      <c r="G556">
        <v>25</v>
      </c>
      <c r="H556">
        <v>52</v>
      </c>
      <c r="I556" t="s">
        <v>21</v>
      </c>
      <c r="J556" t="s">
        <v>916</v>
      </c>
      <c r="K556" t="s">
        <v>811</v>
      </c>
      <c r="L556" t="s">
        <v>712</v>
      </c>
      <c r="M556" t="s">
        <v>2393</v>
      </c>
      <c r="N556">
        <v>24</v>
      </c>
      <c r="O556">
        <v>77</v>
      </c>
      <c r="P556" t="s">
        <v>42</v>
      </c>
    </row>
    <row r="557" spans="1:16" x14ac:dyDescent="0.4">
      <c r="A557" t="s">
        <v>2394</v>
      </c>
      <c r="B557" t="s">
        <v>17</v>
      </c>
      <c r="C557" t="s">
        <v>18</v>
      </c>
      <c r="D557" t="s">
        <v>2395</v>
      </c>
      <c r="E557" t="s">
        <v>648</v>
      </c>
      <c r="F557">
        <v>47</v>
      </c>
      <c r="G557">
        <v>1</v>
      </c>
      <c r="H557">
        <v>60</v>
      </c>
      <c r="I557" t="s">
        <v>771</v>
      </c>
      <c r="J557" t="s">
        <v>1664</v>
      </c>
      <c r="K557" t="s">
        <v>148</v>
      </c>
      <c r="L557" t="s">
        <v>946</v>
      </c>
      <c r="M557" t="s">
        <v>2396</v>
      </c>
      <c r="N557">
        <v>32</v>
      </c>
      <c r="O557">
        <v>87</v>
      </c>
      <c r="P557" t="s">
        <v>26</v>
      </c>
    </row>
    <row r="558" spans="1:16" x14ac:dyDescent="0.4">
      <c r="A558" t="s">
        <v>2397</v>
      </c>
      <c r="B558" t="s">
        <v>1228</v>
      </c>
      <c r="C558" t="s">
        <v>112</v>
      </c>
      <c r="D558" t="s">
        <v>2398</v>
      </c>
      <c r="E558" t="s">
        <v>1136</v>
      </c>
      <c r="F558">
        <v>61</v>
      </c>
      <c r="G558">
        <v>8</v>
      </c>
      <c r="H558">
        <v>45</v>
      </c>
      <c r="I558" t="s">
        <v>57</v>
      </c>
      <c r="J558" t="s">
        <v>73</v>
      </c>
      <c r="K558" t="s">
        <v>1351</v>
      </c>
      <c r="L558" t="s">
        <v>712</v>
      </c>
      <c r="M558" t="s">
        <v>2399</v>
      </c>
      <c r="N558">
        <v>73</v>
      </c>
      <c r="O558">
        <v>64</v>
      </c>
      <c r="P558" t="s">
        <v>26</v>
      </c>
    </row>
    <row r="559" spans="1:16" x14ac:dyDescent="0.4">
      <c r="A559" t="s">
        <v>2400</v>
      </c>
      <c r="B559" t="s">
        <v>111</v>
      </c>
      <c r="C559" t="s">
        <v>112</v>
      </c>
      <c r="D559" t="s">
        <v>2401</v>
      </c>
      <c r="E559" t="s">
        <v>478</v>
      </c>
      <c r="F559">
        <v>48</v>
      </c>
      <c r="G559">
        <v>2</v>
      </c>
      <c r="H559">
        <v>16</v>
      </c>
      <c r="I559" t="s">
        <v>1101</v>
      </c>
      <c r="J559" t="s">
        <v>360</v>
      </c>
      <c r="K559" t="s">
        <v>485</v>
      </c>
      <c r="L559" s="1">
        <v>45510</v>
      </c>
      <c r="M559" t="s">
        <v>2402</v>
      </c>
      <c r="N559">
        <v>27</v>
      </c>
      <c r="O559">
        <v>1</v>
      </c>
      <c r="P559" t="s">
        <v>26</v>
      </c>
    </row>
    <row r="560" spans="1:16" x14ac:dyDescent="0.4">
      <c r="A560" t="s">
        <v>2403</v>
      </c>
      <c r="B560" t="s">
        <v>595</v>
      </c>
      <c r="C560" t="s">
        <v>112</v>
      </c>
      <c r="D560" t="s">
        <v>2404</v>
      </c>
      <c r="E560" t="s">
        <v>565</v>
      </c>
      <c r="F560">
        <v>37</v>
      </c>
      <c r="G560">
        <v>96</v>
      </c>
      <c r="H560">
        <v>82</v>
      </c>
      <c r="I560" t="s">
        <v>220</v>
      </c>
      <c r="J560" s="1">
        <v>45453</v>
      </c>
      <c r="K560" t="s">
        <v>1217</v>
      </c>
      <c r="L560" s="1">
        <v>45455</v>
      </c>
      <c r="M560" t="s">
        <v>2405</v>
      </c>
      <c r="N560">
        <v>35</v>
      </c>
      <c r="O560">
        <v>23</v>
      </c>
      <c r="P560" t="s">
        <v>42</v>
      </c>
    </row>
    <row r="561" spans="1:16" x14ac:dyDescent="0.4">
      <c r="A561" t="s">
        <v>2406</v>
      </c>
      <c r="B561" t="s">
        <v>28</v>
      </c>
      <c r="C561" t="s">
        <v>29</v>
      </c>
      <c r="D561" t="s">
        <v>2407</v>
      </c>
      <c r="E561" t="s">
        <v>1872</v>
      </c>
      <c r="F561">
        <v>45</v>
      </c>
      <c r="G561">
        <v>36</v>
      </c>
      <c r="H561">
        <v>97</v>
      </c>
      <c r="I561" t="s">
        <v>32</v>
      </c>
      <c r="J561" t="s">
        <v>1508</v>
      </c>
      <c r="K561" t="s">
        <v>64</v>
      </c>
      <c r="L561" t="s">
        <v>286</v>
      </c>
      <c r="M561" t="s">
        <v>2408</v>
      </c>
      <c r="N561">
        <v>36</v>
      </c>
      <c r="O561">
        <v>6</v>
      </c>
      <c r="P561" t="s">
        <v>51</v>
      </c>
    </row>
    <row r="562" spans="1:16" x14ac:dyDescent="0.4">
      <c r="A562" t="s">
        <v>2409</v>
      </c>
      <c r="B562" t="s">
        <v>138</v>
      </c>
      <c r="C562" t="s">
        <v>18</v>
      </c>
      <c r="D562" t="s">
        <v>2410</v>
      </c>
      <c r="E562" t="s">
        <v>1069</v>
      </c>
      <c r="F562">
        <v>87</v>
      </c>
      <c r="G562">
        <v>97</v>
      </c>
      <c r="H562">
        <v>28</v>
      </c>
      <c r="I562" t="s">
        <v>47</v>
      </c>
      <c r="J562" s="1">
        <v>45632</v>
      </c>
      <c r="K562" t="s">
        <v>435</v>
      </c>
      <c r="L562" t="s">
        <v>946</v>
      </c>
      <c r="M562" t="s">
        <v>2411</v>
      </c>
      <c r="N562">
        <v>58</v>
      </c>
      <c r="O562">
        <v>21</v>
      </c>
      <c r="P562" t="s">
        <v>51</v>
      </c>
    </row>
    <row r="563" spans="1:16" x14ac:dyDescent="0.4">
      <c r="A563" t="s">
        <v>2412</v>
      </c>
      <c r="B563" t="s">
        <v>669</v>
      </c>
      <c r="C563" t="s">
        <v>18</v>
      </c>
      <c r="D563" t="s">
        <v>2413</v>
      </c>
      <c r="E563" t="s">
        <v>1048</v>
      </c>
      <c r="F563">
        <v>37</v>
      </c>
      <c r="G563">
        <v>47</v>
      </c>
      <c r="H563">
        <v>34</v>
      </c>
      <c r="I563" t="s">
        <v>671</v>
      </c>
      <c r="J563" t="s">
        <v>1387</v>
      </c>
      <c r="K563" t="s">
        <v>969</v>
      </c>
      <c r="L563" t="s">
        <v>1111</v>
      </c>
      <c r="M563" t="s">
        <v>2414</v>
      </c>
      <c r="N563">
        <v>38</v>
      </c>
      <c r="O563">
        <v>89</v>
      </c>
      <c r="P563" t="s">
        <v>42</v>
      </c>
    </row>
    <row r="564" spans="1:16" x14ac:dyDescent="0.4">
      <c r="A564" t="s">
        <v>2415</v>
      </c>
      <c r="B564" t="s">
        <v>989</v>
      </c>
      <c r="C564" t="s">
        <v>29</v>
      </c>
      <c r="D564" t="s">
        <v>2416</v>
      </c>
      <c r="E564" t="s">
        <v>371</v>
      </c>
      <c r="F564">
        <v>59</v>
      </c>
      <c r="G564">
        <v>62</v>
      </c>
      <c r="H564">
        <v>57</v>
      </c>
      <c r="I564" t="s">
        <v>2417</v>
      </c>
      <c r="J564" s="1">
        <v>45605</v>
      </c>
      <c r="K564" t="s">
        <v>221</v>
      </c>
      <c r="L564" t="s">
        <v>656</v>
      </c>
      <c r="M564" t="s">
        <v>2418</v>
      </c>
      <c r="N564">
        <v>90</v>
      </c>
      <c r="O564">
        <v>94</v>
      </c>
      <c r="P564" t="s">
        <v>42</v>
      </c>
    </row>
    <row r="565" spans="1:16" x14ac:dyDescent="0.4">
      <c r="A565" t="s">
        <v>2419</v>
      </c>
      <c r="B565" t="s">
        <v>722</v>
      </c>
      <c r="C565" t="s">
        <v>54</v>
      </c>
      <c r="D565" t="s">
        <v>2420</v>
      </c>
      <c r="E565" t="s">
        <v>2421</v>
      </c>
      <c r="F565">
        <v>62</v>
      </c>
      <c r="G565">
        <v>40</v>
      </c>
      <c r="H565">
        <v>86</v>
      </c>
      <c r="I565" t="s">
        <v>39</v>
      </c>
      <c r="J565" t="s">
        <v>536</v>
      </c>
      <c r="K565" t="s">
        <v>141</v>
      </c>
      <c r="L565" s="1">
        <v>45418</v>
      </c>
      <c r="M565" t="s">
        <v>2422</v>
      </c>
      <c r="N565">
        <v>45</v>
      </c>
      <c r="O565">
        <v>86</v>
      </c>
      <c r="P565" t="s">
        <v>42</v>
      </c>
    </row>
    <row r="566" spans="1:16" x14ac:dyDescent="0.4">
      <c r="A566" t="s">
        <v>2423</v>
      </c>
      <c r="B566" t="s">
        <v>1485</v>
      </c>
      <c r="C566" t="s">
        <v>77</v>
      </c>
      <c r="D566" t="s">
        <v>2424</v>
      </c>
      <c r="E566" t="s">
        <v>1891</v>
      </c>
      <c r="F566">
        <v>63</v>
      </c>
      <c r="G566">
        <v>12</v>
      </c>
      <c r="H566">
        <v>82</v>
      </c>
      <c r="I566" t="s">
        <v>2060</v>
      </c>
      <c r="J566" t="s">
        <v>435</v>
      </c>
      <c r="K566" s="1">
        <v>45298</v>
      </c>
      <c r="L566" t="s">
        <v>811</v>
      </c>
      <c r="M566" t="s">
        <v>2425</v>
      </c>
      <c r="N566">
        <v>56</v>
      </c>
      <c r="O566">
        <v>31</v>
      </c>
      <c r="P566" t="s">
        <v>42</v>
      </c>
    </row>
    <row r="567" spans="1:16" x14ac:dyDescent="0.4">
      <c r="A567" t="s">
        <v>2426</v>
      </c>
      <c r="B567" t="s">
        <v>1383</v>
      </c>
      <c r="C567" t="s">
        <v>54</v>
      </c>
      <c r="D567" t="s">
        <v>2427</v>
      </c>
      <c r="E567" t="s">
        <v>313</v>
      </c>
      <c r="F567">
        <v>38</v>
      </c>
      <c r="G567">
        <v>72</v>
      </c>
      <c r="H567">
        <v>39</v>
      </c>
      <c r="I567" t="s">
        <v>1386</v>
      </c>
      <c r="J567" s="1">
        <v>45572</v>
      </c>
      <c r="K567" t="s">
        <v>213</v>
      </c>
      <c r="L567" s="1">
        <v>45575</v>
      </c>
      <c r="M567" t="s">
        <v>2428</v>
      </c>
      <c r="N567">
        <v>59</v>
      </c>
      <c r="O567">
        <v>8</v>
      </c>
      <c r="P567" t="s">
        <v>51</v>
      </c>
    </row>
    <row r="568" spans="1:16" x14ac:dyDescent="0.4">
      <c r="A568" t="s">
        <v>2429</v>
      </c>
      <c r="B568" t="s">
        <v>1290</v>
      </c>
      <c r="C568" t="s">
        <v>169</v>
      </c>
      <c r="D568" t="s">
        <v>2430</v>
      </c>
      <c r="E568" t="s">
        <v>2431</v>
      </c>
      <c r="F568">
        <v>76</v>
      </c>
      <c r="G568">
        <v>21</v>
      </c>
      <c r="H568">
        <v>3</v>
      </c>
      <c r="I568" t="s">
        <v>1293</v>
      </c>
      <c r="J568" t="s">
        <v>299</v>
      </c>
      <c r="K568" s="1">
        <v>45573</v>
      </c>
      <c r="L568" t="s">
        <v>1238</v>
      </c>
      <c r="M568" t="s">
        <v>2432</v>
      </c>
      <c r="N568">
        <v>31</v>
      </c>
      <c r="O568">
        <v>47</v>
      </c>
      <c r="P568" t="s">
        <v>26</v>
      </c>
    </row>
    <row r="569" spans="1:16" x14ac:dyDescent="0.4">
      <c r="A569" t="s">
        <v>2433</v>
      </c>
      <c r="B569" t="s">
        <v>203</v>
      </c>
      <c r="C569" t="s">
        <v>77</v>
      </c>
      <c r="D569" t="s">
        <v>2434</v>
      </c>
      <c r="E569" t="s">
        <v>858</v>
      </c>
      <c r="F569">
        <v>34</v>
      </c>
      <c r="G569">
        <v>94</v>
      </c>
      <c r="H569">
        <v>69</v>
      </c>
      <c r="I569" t="s">
        <v>206</v>
      </c>
      <c r="J569" s="1">
        <v>45717</v>
      </c>
      <c r="K569" s="1">
        <v>45629</v>
      </c>
      <c r="L569" t="s">
        <v>1151</v>
      </c>
      <c r="M569" t="s">
        <v>2435</v>
      </c>
      <c r="N569">
        <v>96</v>
      </c>
      <c r="O569">
        <v>30</v>
      </c>
      <c r="P569" t="s">
        <v>42</v>
      </c>
    </row>
    <row r="570" spans="1:16" x14ac:dyDescent="0.4">
      <c r="A570" t="s">
        <v>2436</v>
      </c>
      <c r="B570" t="s">
        <v>482</v>
      </c>
      <c r="C570" t="s">
        <v>54</v>
      </c>
      <c r="D570" t="s">
        <v>2437</v>
      </c>
      <c r="E570" t="s">
        <v>2438</v>
      </c>
      <c r="F570">
        <v>25</v>
      </c>
      <c r="G570">
        <v>62</v>
      </c>
      <c r="H570">
        <v>11</v>
      </c>
      <c r="I570" t="s">
        <v>85</v>
      </c>
      <c r="J570" s="1">
        <v>45301</v>
      </c>
      <c r="K570" s="1">
        <v>45303</v>
      </c>
      <c r="L570" s="1">
        <v>45482</v>
      </c>
      <c r="M570" t="s">
        <v>2439</v>
      </c>
      <c r="N570">
        <v>57</v>
      </c>
      <c r="O570">
        <v>98</v>
      </c>
      <c r="P570" t="s">
        <v>42</v>
      </c>
    </row>
    <row r="571" spans="1:16" x14ac:dyDescent="0.4">
      <c r="A571" t="s">
        <v>2440</v>
      </c>
      <c r="B571" t="s">
        <v>932</v>
      </c>
      <c r="C571" t="s">
        <v>77</v>
      </c>
      <c r="D571" t="s">
        <v>2441</v>
      </c>
      <c r="E571" t="s">
        <v>2442</v>
      </c>
      <c r="F571">
        <v>86</v>
      </c>
      <c r="G571">
        <v>16</v>
      </c>
      <c r="H571">
        <v>37</v>
      </c>
      <c r="I571" t="s">
        <v>71</v>
      </c>
      <c r="J571" t="s">
        <v>909</v>
      </c>
      <c r="K571" s="1">
        <v>45540</v>
      </c>
      <c r="L571" t="s">
        <v>230</v>
      </c>
      <c r="M571" t="s">
        <v>2443</v>
      </c>
      <c r="N571">
        <v>34</v>
      </c>
      <c r="O571">
        <v>66</v>
      </c>
      <c r="P571" t="s">
        <v>51</v>
      </c>
    </row>
    <row r="572" spans="1:16" x14ac:dyDescent="0.4">
      <c r="A572" t="s">
        <v>2444</v>
      </c>
      <c r="B572" t="s">
        <v>218</v>
      </c>
      <c r="C572" t="s">
        <v>112</v>
      </c>
      <c r="D572" t="s">
        <v>2445</v>
      </c>
      <c r="E572" t="s">
        <v>1962</v>
      </c>
      <c r="F572">
        <v>41</v>
      </c>
      <c r="G572">
        <v>21</v>
      </c>
      <c r="H572">
        <v>47</v>
      </c>
      <c r="I572" t="s">
        <v>220</v>
      </c>
      <c r="J572" s="1">
        <v>45476</v>
      </c>
      <c r="K572" s="1">
        <v>45658</v>
      </c>
      <c r="L572" t="s">
        <v>307</v>
      </c>
      <c r="M572" t="s">
        <v>2446</v>
      </c>
      <c r="N572">
        <v>50</v>
      </c>
      <c r="O572">
        <v>99</v>
      </c>
      <c r="P572" t="s">
        <v>51</v>
      </c>
    </row>
    <row r="573" spans="1:16" x14ac:dyDescent="0.4">
      <c r="A573" t="s">
        <v>2447</v>
      </c>
      <c r="B573" t="s">
        <v>779</v>
      </c>
      <c r="C573" t="s">
        <v>54</v>
      </c>
      <c r="D573" t="s">
        <v>2448</v>
      </c>
      <c r="E573" t="s">
        <v>2449</v>
      </c>
      <c r="F573">
        <v>77</v>
      </c>
      <c r="G573">
        <v>54</v>
      </c>
      <c r="H573">
        <v>10</v>
      </c>
      <c r="I573" t="s">
        <v>71</v>
      </c>
      <c r="J573" t="s">
        <v>854</v>
      </c>
      <c r="K573" s="1">
        <v>45332</v>
      </c>
      <c r="L573" t="s">
        <v>293</v>
      </c>
      <c r="M573" t="s">
        <v>2450</v>
      </c>
      <c r="N573">
        <v>64</v>
      </c>
      <c r="O573">
        <v>73</v>
      </c>
      <c r="P573" t="s">
        <v>51</v>
      </c>
    </row>
    <row r="574" spans="1:16" x14ac:dyDescent="0.4">
      <c r="A574" t="s">
        <v>2451</v>
      </c>
      <c r="B574" t="s">
        <v>88</v>
      </c>
      <c r="C574" t="s">
        <v>77</v>
      </c>
      <c r="D574" t="s">
        <v>2452</v>
      </c>
      <c r="E574" t="s">
        <v>2301</v>
      </c>
      <c r="F574">
        <v>41</v>
      </c>
      <c r="G574">
        <v>61</v>
      </c>
      <c r="H574">
        <v>69</v>
      </c>
      <c r="I574" t="s">
        <v>91</v>
      </c>
      <c r="J574" t="s">
        <v>955</v>
      </c>
      <c r="K574" s="1">
        <v>45718</v>
      </c>
      <c r="L574" t="s">
        <v>854</v>
      </c>
      <c r="M574" t="s">
        <v>2453</v>
      </c>
      <c r="N574">
        <v>30</v>
      </c>
      <c r="O574">
        <v>100</v>
      </c>
      <c r="P574" t="s">
        <v>26</v>
      </c>
    </row>
    <row r="575" spans="1:16" x14ac:dyDescent="0.4">
      <c r="A575" t="s">
        <v>2454</v>
      </c>
      <c r="B575" t="s">
        <v>375</v>
      </c>
      <c r="C575" t="s">
        <v>54</v>
      </c>
      <c r="D575" t="s">
        <v>2455</v>
      </c>
      <c r="E575" t="s">
        <v>547</v>
      </c>
      <c r="F575">
        <v>44</v>
      </c>
      <c r="G575">
        <v>8</v>
      </c>
      <c r="H575">
        <v>52</v>
      </c>
      <c r="I575" t="s">
        <v>2456</v>
      </c>
      <c r="J575" s="1">
        <v>45601</v>
      </c>
      <c r="K575" s="1">
        <v>45577</v>
      </c>
      <c r="L575" s="1">
        <v>45390</v>
      </c>
      <c r="M575" t="s">
        <v>2457</v>
      </c>
      <c r="N575">
        <v>42</v>
      </c>
      <c r="O575">
        <v>66</v>
      </c>
      <c r="P575" t="s">
        <v>51</v>
      </c>
    </row>
    <row r="576" spans="1:16" x14ac:dyDescent="0.4">
      <c r="A576" t="s">
        <v>2458</v>
      </c>
      <c r="B576" t="s">
        <v>789</v>
      </c>
      <c r="C576" t="s">
        <v>68</v>
      </c>
      <c r="D576" t="s">
        <v>2459</v>
      </c>
      <c r="E576" t="s">
        <v>1990</v>
      </c>
      <c r="F576">
        <v>53</v>
      </c>
      <c r="G576">
        <v>89</v>
      </c>
      <c r="H576">
        <v>100</v>
      </c>
      <c r="I576" t="s">
        <v>591</v>
      </c>
      <c r="J576" s="1">
        <v>45298</v>
      </c>
      <c r="K576" s="1">
        <v>45447</v>
      </c>
      <c r="L576" s="1">
        <v>45453</v>
      </c>
      <c r="M576" t="s">
        <v>2460</v>
      </c>
      <c r="N576">
        <v>22</v>
      </c>
      <c r="O576">
        <v>83</v>
      </c>
      <c r="P576" t="s">
        <v>42</v>
      </c>
    </row>
    <row r="577" spans="1:16" x14ac:dyDescent="0.4">
      <c r="A577" t="s">
        <v>2461</v>
      </c>
      <c r="B577" t="s">
        <v>595</v>
      </c>
      <c r="C577" t="s">
        <v>112</v>
      </c>
      <c r="D577" t="s">
        <v>2462</v>
      </c>
      <c r="E577" t="s">
        <v>186</v>
      </c>
      <c r="F577">
        <v>68</v>
      </c>
      <c r="G577">
        <v>29</v>
      </c>
      <c r="H577">
        <v>100</v>
      </c>
      <c r="I577" t="s">
        <v>220</v>
      </c>
      <c r="J577" t="s">
        <v>408</v>
      </c>
      <c r="K577" t="s">
        <v>1351</v>
      </c>
      <c r="L577" t="s">
        <v>221</v>
      </c>
      <c r="M577" t="s">
        <v>2463</v>
      </c>
      <c r="N577">
        <v>70</v>
      </c>
      <c r="O577">
        <v>26</v>
      </c>
      <c r="P577" t="s">
        <v>42</v>
      </c>
    </row>
    <row r="578" spans="1:16" x14ac:dyDescent="0.4">
      <c r="A578" t="s">
        <v>2464</v>
      </c>
      <c r="B578" t="s">
        <v>144</v>
      </c>
      <c r="C578" t="s">
        <v>77</v>
      </c>
      <c r="D578" t="s">
        <v>2465</v>
      </c>
      <c r="E578" t="s">
        <v>776</v>
      </c>
      <c r="F578">
        <v>96</v>
      </c>
      <c r="G578">
        <v>34</v>
      </c>
      <c r="H578">
        <v>57</v>
      </c>
      <c r="I578" t="s">
        <v>147</v>
      </c>
      <c r="J578" t="s">
        <v>1418</v>
      </c>
      <c r="K578" t="s">
        <v>1035</v>
      </c>
      <c r="L578" t="s">
        <v>792</v>
      </c>
      <c r="M578" t="s">
        <v>2466</v>
      </c>
      <c r="N578">
        <v>71</v>
      </c>
      <c r="O578">
        <v>17</v>
      </c>
      <c r="P578" t="s">
        <v>26</v>
      </c>
    </row>
    <row r="579" spans="1:16" x14ac:dyDescent="0.4">
      <c r="A579" t="s">
        <v>2467</v>
      </c>
      <c r="B579" t="s">
        <v>616</v>
      </c>
      <c r="C579" t="s">
        <v>54</v>
      </c>
      <c r="D579" t="s">
        <v>2468</v>
      </c>
      <c r="E579" t="s">
        <v>313</v>
      </c>
      <c r="F579">
        <v>33</v>
      </c>
      <c r="G579">
        <v>4</v>
      </c>
      <c r="H579">
        <v>31</v>
      </c>
      <c r="I579" t="s">
        <v>134</v>
      </c>
      <c r="J579" t="s">
        <v>1629</v>
      </c>
      <c r="K579" s="1">
        <v>45992</v>
      </c>
      <c r="L579" t="s">
        <v>128</v>
      </c>
      <c r="M579" t="s">
        <v>2469</v>
      </c>
      <c r="N579">
        <v>46</v>
      </c>
      <c r="O579">
        <v>92</v>
      </c>
      <c r="P579" t="s">
        <v>51</v>
      </c>
    </row>
    <row r="580" spans="1:16" x14ac:dyDescent="0.4">
      <c r="A580" t="s">
        <v>2470</v>
      </c>
      <c r="B580" t="s">
        <v>779</v>
      </c>
      <c r="C580" t="s">
        <v>54</v>
      </c>
      <c r="D580" t="s">
        <v>2471</v>
      </c>
      <c r="E580" t="s">
        <v>1732</v>
      </c>
      <c r="F580">
        <v>33</v>
      </c>
      <c r="G580">
        <v>89</v>
      </c>
      <c r="H580">
        <v>15</v>
      </c>
      <c r="I580" t="s">
        <v>71</v>
      </c>
      <c r="J580" t="s">
        <v>422</v>
      </c>
      <c r="K580" t="s">
        <v>73</v>
      </c>
      <c r="L580" t="s">
        <v>267</v>
      </c>
      <c r="M580" t="s">
        <v>2472</v>
      </c>
      <c r="N580">
        <v>90</v>
      </c>
      <c r="O580">
        <v>52</v>
      </c>
      <c r="P580" t="s">
        <v>26</v>
      </c>
    </row>
    <row r="581" spans="1:16" x14ac:dyDescent="0.4">
      <c r="A581" t="s">
        <v>2473</v>
      </c>
      <c r="B581" t="s">
        <v>994</v>
      </c>
      <c r="C581" t="s">
        <v>54</v>
      </c>
      <c r="D581" t="s">
        <v>2474</v>
      </c>
      <c r="E581" t="s">
        <v>2475</v>
      </c>
      <c r="F581">
        <v>90</v>
      </c>
      <c r="G581">
        <v>17</v>
      </c>
      <c r="H581">
        <v>17</v>
      </c>
      <c r="I581" t="s">
        <v>85</v>
      </c>
      <c r="J581" t="s">
        <v>1125</v>
      </c>
      <c r="K581" s="1">
        <v>45360</v>
      </c>
      <c r="L581" s="1">
        <v>45568</v>
      </c>
      <c r="M581" t="s">
        <v>2476</v>
      </c>
      <c r="N581">
        <v>82</v>
      </c>
      <c r="O581">
        <v>84</v>
      </c>
      <c r="P581" t="s">
        <v>42</v>
      </c>
    </row>
    <row r="582" spans="1:16" x14ac:dyDescent="0.4">
      <c r="A582" t="s">
        <v>2477</v>
      </c>
      <c r="B582" t="s">
        <v>1406</v>
      </c>
      <c r="C582" t="s">
        <v>18</v>
      </c>
      <c r="D582" t="s">
        <v>2478</v>
      </c>
      <c r="E582" t="s">
        <v>634</v>
      </c>
      <c r="F582">
        <v>31</v>
      </c>
      <c r="G582">
        <v>29</v>
      </c>
      <c r="H582">
        <v>57</v>
      </c>
      <c r="I582" t="s">
        <v>71</v>
      </c>
      <c r="J582" t="s">
        <v>1272</v>
      </c>
      <c r="K582" t="s">
        <v>1463</v>
      </c>
      <c r="L582" s="1">
        <v>45606</v>
      </c>
      <c r="M582" t="s">
        <v>2479</v>
      </c>
      <c r="N582">
        <v>25</v>
      </c>
      <c r="O582">
        <v>22</v>
      </c>
      <c r="P582" t="s">
        <v>51</v>
      </c>
    </row>
    <row r="583" spans="1:16" x14ac:dyDescent="0.4">
      <c r="A583" t="s">
        <v>2480</v>
      </c>
      <c r="B583" t="s">
        <v>962</v>
      </c>
      <c r="C583" t="s">
        <v>54</v>
      </c>
      <c r="D583" t="s">
        <v>2481</v>
      </c>
      <c r="E583" t="s">
        <v>2482</v>
      </c>
      <c r="F583">
        <v>92</v>
      </c>
      <c r="G583">
        <v>3</v>
      </c>
      <c r="H583">
        <v>81</v>
      </c>
      <c r="I583" t="s">
        <v>220</v>
      </c>
      <c r="J583" s="1">
        <v>45416</v>
      </c>
      <c r="K583" t="s">
        <v>656</v>
      </c>
      <c r="L583" t="s">
        <v>1057</v>
      </c>
      <c r="M583" t="s">
        <v>2483</v>
      </c>
      <c r="N583">
        <v>62</v>
      </c>
      <c r="O583">
        <v>20</v>
      </c>
      <c r="P583" t="s">
        <v>42</v>
      </c>
    </row>
    <row r="584" spans="1:16" x14ac:dyDescent="0.4">
      <c r="A584" t="s">
        <v>2484</v>
      </c>
      <c r="B584" t="s">
        <v>779</v>
      </c>
      <c r="C584" t="s">
        <v>54</v>
      </c>
      <c r="D584" t="s">
        <v>2485</v>
      </c>
      <c r="E584" t="s">
        <v>1385</v>
      </c>
      <c r="F584">
        <v>66</v>
      </c>
      <c r="G584">
        <v>31</v>
      </c>
      <c r="H584">
        <v>18</v>
      </c>
      <c r="I584" t="s">
        <v>71</v>
      </c>
      <c r="J584" s="1">
        <v>45447</v>
      </c>
      <c r="K584" t="s">
        <v>158</v>
      </c>
      <c r="L584" s="1">
        <v>45508</v>
      </c>
      <c r="M584" t="s">
        <v>2486</v>
      </c>
      <c r="N584">
        <v>85</v>
      </c>
      <c r="O584">
        <v>39</v>
      </c>
      <c r="P584" t="s">
        <v>42</v>
      </c>
    </row>
    <row r="585" spans="1:16" x14ac:dyDescent="0.4">
      <c r="A585" t="s">
        <v>2487</v>
      </c>
      <c r="B585" t="s">
        <v>1017</v>
      </c>
      <c r="C585" t="s">
        <v>169</v>
      </c>
      <c r="D585" t="s">
        <v>2488</v>
      </c>
      <c r="E585" t="s">
        <v>1553</v>
      </c>
      <c r="F585">
        <v>83</v>
      </c>
      <c r="G585">
        <v>17</v>
      </c>
      <c r="H585">
        <v>39</v>
      </c>
      <c r="I585" t="s">
        <v>591</v>
      </c>
      <c r="J585" s="1">
        <v>45357</v>
      </c>
      <c r="K585" s="1">
        <v>45603</v>
      </c>
      <c r="L585" t="s">
        <v>1125</v>
      </c>
      <c r="M585" t="s">
        <v>2489</v>
      </c>
      <c r="N585">
        <v>33</v>
      </c>
      <c r="O585">
        <v>20</v>
      </c>
      <c r="P585" t="s">
        <v>51</v>
      </c>
    </row>
    <row r="586" spans="1:16" x14ac:dyDescent="0.4">
      <c r="A586" t="s">
        <v>2490</v>
      </c>
      <c r="B586" t="s">
        <v>304</v>
      </c>
      <c r="C586" t="s">
        <v>54</v>
      </c>
      <c r="D586" t="s">
        <v>2491</v>
      </c>
      <c r="E586" t="s">
        <v>2235</v>
      </c>
      <c r="F586">
        <v>84</v>
      </c>
      <c r="G586">
        <v>9</v>
      </c>
      <c r="H586">
        <v>46</v>
      </c>
      <c r="I586" t="s">
        <v>220</v>
      </c>
      <c r="J586" s="1">
        <v>45510</v>
      </c>
      <c r="K586" t="s">
        <v>148</v>
      </c>
      <c r="L586" s="1">
        <v>45577</v>
      </c>
      <c r="M586" t="s">
        <v>2492</v>
      </c>
      <c r="N586">
        <v>30</v>
      </c>
      <c r="O586">
        <v>68</v>
      </c>
      <c r="P586" t="s">
        <v>42</v>
      </c>
    </row>
    <row r="587" spans="1:16" x14ac:dyDescent="0.4">
      <c r="A587" t="s">
        <v>2493</v>
      </c>
      <c r="B587" t="s">
        <v>263</v>
      </c>
      <c r="C587" t="s">
        <v>169</v>
      </c>
      <c r="D587" t="s">
        <v>2494</v>
      </c>
      <c r="E587" t="s">
        <v>2482</v>
      </c>
      <c r="F587">
        <v>76</v>
      </c>
      <c r="G587">
        <v>57</v>
      </c>
      <c r="H587">
        <v>78</v>
      </c>
      <c r="I587" t="s">
        <v>266</v>
      </c>
      <c r="J587" t="s">
        <v>1463</v>
      </c>
      <c r="K587" t="s">
        <v>1488</v>
      </c>
      <c r="L587" t="s">
        <v>828</v>
      </c>
      <c r="M587" t="s">
        <v>2495</v>
      </c>
      <c r="N587">
        <v>52</v>
      </c>
      <c r="O587">
        <v>86</v>
      </c>
      <c r="P587" t="s">
        <v>26</v>
      </c>
    </row>
    <row r="588" spans="1:16" x14ac:dyDescent="0.4">
      <c r="A588" t="s">
        <v>2496</v>
      </c>
      <c r="B588" t="s">
        <v>722</v>
      </c>
      <c r="C588" t="s">
        <v>54</v>
      </c>
      <c r="D588" t="s">
        <v>2497</v>
      </c>
      <c r="E588" t="s">
        <v>977</v>
      </c>
      <c r="F588">
        <v>26</v>
      </c>
      <c r="G588">
        <v>1</v>
      </c>
      <c r="H588">
        <v>9</v>
      </c>
      <c r="I588" t="s">
        <v>39</v>
      </c>
      <c r="J588" s="1">
        <v>45932</v>
      </c>
      <c r="K588" s="1">
        <v>45416</v>
      </c>
      <c r="L588" s="1">
        <v>45334</v>
      </c>
      <c r="M588" t="s">
        <v>2498</v>
      </c>
      <c r="N588">
        <v>82</v>
      </c>
      <c r="O588">
        <v>8</v>
      </c>
      <c r="P588" t="s">
        <v>42</v>
      </c>
    </row>
    <row r="589" spans="1:16" x14ac:dyDescent="0.4">
      <c r="A589" t="s">
        <v>2499</v>
      </c>
      <c r="B589" t="s">
        <v>391</v>
      </c>
      <c r="C589" t="s">
        <v>29</v>
      </c>
      <c r="D589" t="s">
        <v>2500</v>
      </c>
      <c r="E589" t="s">
        <v>2501</v>
      </c>
      <c r="F589">
        <v>61</v>
      </c>
      <c r="G589">
        <v>31</v>
      </c>
      <c r="H589">
        <v>100</v>
      </c>
      <c r="I589" t="s">
        <v>1001</v>
      </c>
      <c r="J589" t="s">
        <v>2285</v>
      </c>
      <c r="K589" t="s">
        <v>495</v>
      </c>
      <c r="L589" t="s">
        <v>428</v>
      </c>
      <c r="M589" t="s">
        <v>2502</v>
      </c>
      <c r="N589">
        <v>95</v>
      </c>
      <c r="O589">
        <v>61</v>
      </c>
      <c r="P589" t="s">
        <v>51</v>
      </c>
    </row>
    <row r="590" spans="1:16" x14ac:dyDescent="0.4">
      <c r="A590" t="s">
        <v>2503</v>
      </c>
      <c r="B590" t="s">
        <v>1455</v>
      </c>
      <c r="C590" t="s">
        <v>77</v>
      </c>
      <c r="D590" t="s">
        <v>2504</v>
      </c>
      <c r="E590" t="s">
        <v>740</v>
      </c>
      <c r="F590">
        <v>15</v>
      </c>
      <c r="G590">
        <v>75</v>
      </c>
      <c r="H590">
        <v>78</v>
      </c>
      <c r="I590" t="s">
        <v>1728</v>
      </c>
      <c r="J590" s="1">
        <v>45659</v>
      </c>
      <c r="K590" s="1">
        <v>45993</v>
      </c>
      <c r="L590" t="s">
        <v>180</v>
      </c>
      <c r="M590" t="s">
        <v>2505</v>
      </c>
      <c r="N590">
        <v>71</v>
      </c>
      <c r="O590">
        <v>21</v>
      </c>
      <c r="P590" t="s">
        <v>26</v>
      </c>
    </row>
    <row r="591" spans="1:16" x14ac:dyDescent="0.4">
      <c r="A591" t="s">
        <v>2506</v>
      </c>
      <c r="B591" t="s">
        <v>1447</v>
      </c>
      <c r="C591" t="s">
        <v>54</v>
      </c>
      <c r="D591" t="s">
        <v>2507</v>
      </c>
      <c r="E591" t="s">
        <v>2508</v>
      </c>
      <c r="F591">
        <v>73</v>
      </c>
      <c r="G591">
        <v>83</v>
      </c>
      <c r="H591">
        <v>74</v>
      </c>
      <c r="I591" t="s">
        <v>220</v>
      </c>
      <c r="J591" t="s">
        <v>1209</v>
      </c>
      <c r="K591" s="1">
        <v>45779</v>
      </c>
      <c r="L591" t="s">
        <v>322</v>
      </c>
      <c r="M591" t="s">
        <v>2509</v>
      </c>
      <c r="N591">
        <v>87</v>
      </c>
      <c r="O591">
        <v>10</v>
      </c>
      <c r="P591" t="s">
        <v>26</v>
      </c>
    </row>
    <row r="592" spans="1:16" x14ac:dyDescent="0.4">
      <c r="A592" t="s">
        <v>2510</v>
      </c>
      <c r="B592" t="s">
        <v>984</v>
      </c>
      <c r="C592" t="s">
        <v>18</v>
      </c>
      <c r="D592" t="s">
        <v>2511</v>
      </c>
      <c r="E592" t="s">
        <v>257</v>
      </c>
      <c r="F592">
        <v>41</v>
      </c>
      <c r="G592">
        <v>76</v>
      </c>
      <c r="H592">
        <v>47</v>
      </c>
      <c r="I592" t="s">
        <v>2512</v>
      </c>
      <c r="J592" t="s">
        <v>434</v>
      </c>
      <c r="K592" t="s">
        <v>635</v>
      </c>
      <c r="L592" s="1">
        <v>45449</v>
      </c>
      <c r="M592" t="s">
        <v>2513</v>
      </c>
      <c r="N592">
        <v>50</v>
      </c>
      <c r="O592">
        <v>50</v>
      </c>
      <c r="P592" t="s">
        <v>42</v>
      </c>
    </row>
    <row r="593" spans="1:16" x14ac:dyDescent="0.4">
      <c r="A593" t="s">
        <v>2514</v>
      </c>
      <c r="B593" t="s">
        <v>789</v>
      </c>
      <c r="C593" t="s">
        <v>68</v>
      </c>
      <c r="D593" t="s">
        <v>2515</v>
      </c>
      <c r="E593" t="s">
        <v>62</v>
      </c>
      <c r="F593">
        <v>14</v>
      </c>
      <c r="G593">
        <v>75</v>
      </c>
      <c r="H593">
        <v>10</v>
      </c>
      <c r="I593" t="s">
        <v>591</v>
      </c>
      <c r="J593" s="1">
        <v>45392</v>
      </c>
      <c r="K593" t="s">
        <v>286</v>
      </c>
      <c r="L593" s="1">
        <v>45298</v>
      </c>
      <c r="M593" t="s">
        <v>2516</v>
      </c>
      <c r="N593">
        <v>65</v>
      </c>
      <c r="O593">
        <v>62</v>
      </c>
      <c r="P593" t="s">
        <v>51</v>
      </c>
    </row>
    <row r="594" spans="1:16" x14ac:dyDescent="0.4">
      <c r="A594" t="s">
        <v>2517</v>
      </c>
      <c r="B594" t="s">
        <v>304</v>
      </c>
      <c r="C594" t="s">
        <v>54</v>
      </c>
      <c r="D594" t="s">
        <v>2518</v>
      </c>
      <c r="E594" t="s">
        <v>977</v>
      </c>
      <c r="F594">
        <v>99</v>
      </c>
      <c r="G594">
        <v>59</v>
      </c>
      <c r="H594">
        <v>12</v>
      </c>
      <c r="I594" t="s">
        <v>220</v>
      </c>
      <c r="J594" t="s">
        <v>213</v>
      </c>
      <c r="K594" t="s">
        <v>567</v>
      </c>
      <c r="L594" s="1">
        <v>45993</v>
      </c>
      <c r="M594" t="s">
        <v>2519</v>
      </c>
      <c r="N594">
        <v>52</v>
      </c>
      <c r="O594">
        <v>57</v>
      </c>
      <c r="P594" t="s">
        <v>42</v>
      </c>
    </row>
    <row r="595" spans="1:16" x14ac:dyDescent="0.4">
      <c r="A595" t="s">
        <v>2520</v>
      </c>
      <c r="B595" t="s">
        <v>962</v>
      </c>
      <c r="C595" t="s">
        <v>54</v>
      </c>
      <c r="D595" t="s">
        <v>2521</v>
      </c>
      <c r="E595" t="s">
        <v>2522</v>
      </c>
      <c r="F595">
        <v>80</v>
      </c>
      <c r="G595">
        <v>6</v>
      </c>
      <c r="H595">
        <v>92</v>
      </c>
      <c r="I595" t="s">
        <v>220</v>
      </c>
      <c r="J595" t="s">
        <v>1217</v>
      </c>
      <c r="K595" t="s">
        <v>1174</v>
      </c>
      <c r="L595" t="s">
        <v>1080</v>
      </c>
      <c r="M595" t="s">
        <v>2523</v>
      </c>
      <c r="N595">
        <v>26</v>
      </c>
      <c r="O595">
        <v>71</v>
      </c>
      <c r="P595" t="s">
        <v>26</v>
      </c>
    </row>
    <row r="596" spans="1:16" x14ac:dyDescent="0.4">
      <c r="A596" t="s">
        <v>2524</v>
      </c>
      <c r="B596" t="s">
        <v>482</v>
      </c>
      <c r="C596" t="s">
        <v>54</v>
      </c>
      <c r="D596" t="s">
        <v>2525</v>
      </c>
      <c r="E596" t="s">
        <v>1437</v>
      </c>
      <c r="F596">
        <v>49</v>
      </c>
      <c r="G596">
        <v>89</v>
      </c>
      <c r="H596">
        <v>65</v>
      </c>
      <c r="I596" t="s">
        <v>85</v>
      </c>
      <c r="J596" t="s">
        <v>100</v>
      </c>
      <c r="K596" s="1">
        <v>45604</v>
      </c>
      <c r="L596" t="s">
        <v>807</v>
      </c>
      <c r="M596" t="s">
        <v>2526</v>
      </c>
      <c r="N596">
        <v>37</v>
      </c>
      <c r="O596">
        <v>48</v>
      </c>
      <c r="P596" t="s">
        <v>51</v>
      </c>
    </row>
    <row r="597" spans="1:16" x14ac:dyDescent="0.4">
      <c r="A597" t="s">
        <v>2527</v>
      </c>
      <c r="B597" t="s">
        <v>1383</v>
      </c>
      <c r="C597" t="s">
        <v>54</v>
      </c>
      <c r="D597" t="s">
        <v>2528</v>
      </c>
      <c r="E597" t="s">
        <v>759</v>
      </c>
      <c r="F597">
        <v>25</v>
      </c>
      <c r="G597">
        <v>74</v>
      </c>
      <c r="H597">
        <v>100</v>
      </c>
      <c r="I597" t="s">
        <v>1386</v>
      </c>
      <c r="J597" s="1">
        <v>45479</v>
      </c>
      <c r="K597" s="1">
        <v>45485</v>
      </c>
      <c r="L597" s="1">
        <v>45394</v>
      </c>
      <c r="M597" t="s">
        <v>2529</v>
      </c>
      <c r="N597">
        <v>41</v>
      </c>
      <c r="O597">
        <v>59</v>
      </c>
      <c r="P597" t="s">
        <v>26</v>
      </c>
    </row>
    <row r="598" spans="1:16" x14ac:dyDescent="0.4">
      <c r="A598" t="s">
        <v>2530</v>
      </c>
      <c r="B598" t="s">
        <v>943</v>
      </c>
      <c r="C598" t="s">
        <v>68</v>
      </c>
      <c r="D598" t="s">
        <v>2531</v>
      </c>
      <c r="E598" t="s">
        <v>604</v>
      </c>
      <c r="F598">
        <v>39</v>
      </c>
      <c r="G598">
        <v>78</v>
      </c>
      <c r="H598">
        <v>97</v>
      </c>
      <c r="I598" t="s">
        <v>945</v>
      </c>
      <c r="J598" t="s">
        <v>654</v>
      </c>
      <c r="K598" t="s">
        <v>107</v>
      </c>
      <c r="L598" t="s">
        <v>1151</v>
      </c>
      <c r="M598" t="s">
        <v>2532</v>
      </c>
      <c r="N598">
        <v>54</v>
      </c>
      <c r="O598">
        <v>89</v>
      </c>
      <c r="P598" t="s">
        <v>42</v>
      </c>
    </row>
    <row r="599" spans="1:16" x14ac:dyDescent="0.4">
      <c r="A599" t="s">
        <v>2533</v>
      </c>
      <c r="B599" t="s">
        <v>375</v>
      </c>
      <c r="C599" t="s">
        <v>54</v>
      </c>
      <c r="D599" t="s">
        <v>2534</v>
      </c>
      <c r="E599" t="s">
        <v>2535</v>
      </c>
      <c r="F599">
        <v>94</v>
      </c>
      <c r="G599">
        <v>58</v>
      </c>
      <c r="H599">
        <v>17</v>
      </c>
      <c r="I599" t="s">
        <v>407</v>
      </c>
      <c r="J599" s="1">
        <v>45299</v>
      </c>
      <c r="K599" s="1">
        <v>45419</v>
      </c>
      <c r="L599" t="s">
        <v>1057</v>
      </c>
      <c r="M599" t="s">
        <v>2536</v>
      </c>
      <c r="N599">
        <v>57</v>
      </c>
      <c r="O599">
        <v>74</v>
      </c>
      <c r="P599" t="s">
        <v>42</v>
      </c>
    </row>
    <row r="600" spans="1:16" x14ac:dyDescent="0.4">
      <c r="A600" t="s">
        <v>2537</v>
      </c>
      <c r="B600" t="s">
        <v>412</v>
      </c>
      <c r="C600" t="s">
        <v>169</v>
      </c>
      <c r="D600" t="s">
        <v>2538</v>
      </c>
      <c r="E600" t="s">
        <v>38</v>
      </c>
      <c r="F600">
        <v>11</v>
      </c>
      <c r="G600">
        <v>17</v>
      </c>
      <c r="H600">
        <v>59</v>
      </c>
      <c r="I600" t="s">
        <v>39</v>
      </c>
      <c r="J600" t="s">
        <v>1111</v>
      </c>
      <c r="K600" t="s">
        <v>909</v>
      </c>
      <c r="L600" s="1">
        <v>45508</v>
      </c>
      <c r="M600" t="s">
        <v>2539</v>
      </c>
      <c r="N600">
        <v>69</v>
      </c>
      <c r="O600">
        <v>100</v>
      </c>
      <c r="P600" t="s">
        <v>42</v>
      </c>
    </row>
    <row r="601" spans="1:16" x14ac:dyDescent="0.4">
      <c r="A601" t="s">
        <v>2540</v>
      </c>
      <c r="B601" t="s">
        <v>582</v>
      </c>
      <c r="C601" t="s">
        <v>68</v>
      </c>
      <c r="D601" t="s">
        <v>2541</v>
      </c>
      <c r="E601" t="s">
        <v>406</v>
      </c>
      <c r="F601">
        <v>21</v>
      </c>
      <c r="G601">
        <v>52</v>
      </c>
      <c r="H601">
        <v>80</v>
      </c>
      <c r="I601" t="s">
        <v>57</v>
      </c>
      <c r="J601" s="1">
        <v>45357</v>
      </c>
      <c r="K601" s="1">
        <v>45393</v>
      </c>
      <c r="L601" s="1">
        <v>45658</v>
      </c>
      <c r="M601" t="s">
        <v>2542</v>
      </c>
      <c r="N601">
        <v>49</v>
      </c>
      <c r="O601">
        <v>37</v>
      </c>
      <c r="P601" t="s">
        <v>42</v>
      </c>
    </row>
    <row r="602" spans="1:16" x14ac:dyDescent="0.4">
      <c r="A602" t="s">
        <v>2543</v>
      </c>
      <c r="B602" t="s">
        <v>350</v>
      </c>
      <c r="C602" t="s">
        <v>54</v>
      </c>
      <c r="D602" t="s">
        <v>2544</v>
      </c>
      <c r="E602" t="s">
        <v>2377</v>
      </c>
      <c r="F602">
        <v>38</v>
      </c>
      <c r="G602">
        <v>91</v>
      </c>
      <c r="H602">
        <v>94</v>
      </c>
      <c r="I602" t="s">
        <v>2545</v>
      </c>
      <c r="J602" s="1">
        <v>45633</v>
      </c>
      <c r="K602" t="s">
        <v>598</v>
      </c>
      <c r="L602" t="s">
        <v>1343</v>
      </c>
      <c r="M602" t="s">
        <v>2546</v>
      </c>
      <c r="N602">
        <v>53</v>
      </c>
      <c r="O602">
        <v>87</v>
      </c>
      <c r="P602" t="s">
        <v>26</v>
      </c>
    </row>
    <row r="603" spans="1:16" x14ac:dyDescent="0.4">
      <c r="A603" t="s">
        <v>2547</v>
      </c>
      <c r="B603" t="s">
        <v>607</v>
      </c>
      <c r="C603" t="s">
        <v>68</v>
      </c>
      <c r="D603" t="s">
        <v>2548</v>
      </c>
      <c r="E603" t="s">
        <v>560</v>
      </c>
      <c r="F603">
        <v>58</v>
      </c>
      <c r="G603">
        <v>23</v>
      </c>
      <c r="H603">
        <v>66</v>
      </c>
      <c r="I603" t="s">
        <v>466</v>
      </c>
      <c r="J603" t="s">
        <v>644</v>
      </c>
      <c r="K603" s="1">
        <v>45631</v>
      </c>
      <c r="L603" t="s">
        <v>214</v>
      </c>
      <c r="M603" t="s">
        <v>2549</v>
      </c>
      <c r="N603">
        <v>82</v>
      </c>
      <c r="O603">
        <v>61</v>
      </c>
      <c r="P603" t="s">
        <v>42</v>
      </c>
    </row>
    <row r="604" spans="1:16" x14ac:dyDescent="0.4">
      <c r="A604" t="s">
        <v>2550</v>
      </c>
      <c r="B604" t="s">
        <v>53</v>
      </c>
      <c r="C604" t="s">
        <v>54</v>
      </c>
      <c r="D604" t="s">
        <v>2551</v>
      </c>
      <c r="E604" t="s">
        <v>2501</v>
      </c>
      <c r="F604">
        <v>85</v>
      </c>
      <c r="G604">
        <v>16</v>
      </c>
      <c r="H604">
        <v>74</v>
      </c>
      <c r="I604" t="s">
        <v>745</v>
      </c>
      <c r="J604" t="s">
        <v>92</v>
      </c>
      <c r="K604" s="1">
        <v>45514</v>
      </c>
      <c r="L604" s="1">
        <v>45363</v>
      </c>
      <c r="M604" t="s">
        <v>2552</v>
      </c>
      <c r="N604">
        <v>58</v>
      </c>
      <c r="O604">
        <v>36</v>
      </c>
      <c r="P604" t="s">
        <v>42</v>
      </c>
    </row>
    <row r="605" spans="1:16" x14ac:dyDescent="0.4">
      <c r="A605" t="s">
        <v>2553</v>
      </c>
      <c r="B605" t="s">
        <v>779</v>
      </c>
      <c r="C605" t="s">
        <v>54</v>
      </c>
      <c r="D605" t="s">
        <v>2554</v>
      </c>
      <c r="E605" t="s">
        <v>38</v>
      </c>
      <c r="F605">
        <v>63</v>
      </c>
      <c r="G605">
        <v>62</v>
      </c>
      <c r="H605">
        <v>98</v>
      </c>
      <c r="I605" t="s">
        <v>71</v>
      </c>
      <c r="J605" t="s">
        <v>200</v>
      </c>
      <c r="K605" t="s">
        <v>549</v>
      </c>
      <c r="L605" t="s">
        <v>1106</v>
      </c>
      <c r="M605" t="s">
        <v>2555</v>
      </c>
      <c r="N605">
        <v>62</v>
      </c>
      <c r="O605">
        <v>45</v>
      </c>
      <c r="P605" t="s">
        <v>42</v>
      </c>
    </row>
    <row r="606" spans="1:16" x14ac:dyDescent="0.4">
      <c r="A606" t="s">
        <v>2556</v>
      </c>
      <c r="B606" t="s">
        <v>1821</v>
      </c>
      <c r="C606" t="s">
        <v>68</v>
      </c>
      <c r="D606" t="s">
        <v>2557</v>
      </c>
      <c r="E606" t="s">
        <v>2558</v>
      </c>
      <c r="F606">
        <v>54</v>
      </c>
      <c r="G606">
        <v>86</v>
      </c>
      <c r="H606">
        <v>69</v>
      </c>
      <c r="I606" t="s">
        <v>220</v>
      </c>
      <c r="J606" t="s">
        <v>402</v>
      </c>
      <c r="K606" t="s">
        <v>700</v>
      </c>
      <c r="L606" s="1">
        <v>45508</v>
      </c>
      <c r="M606" t="s">
        <v>2559</v>
      </c>
      <c r="N606">
        <v>29</v>
      </c>
      <c r="O606">
        <v>8</v>
      </c>
      <c r="P606" t="s">
        <v>26</v>
      </c>
    </row>
    <row r="607" spans="1:16" x14ac:dyDescent="0.4">
      <c r="A607" t="s">
        <v>2560</v>
      </c>
      <c r="B607" t="s">
        <v>2561</v>
      </c>
      <c r="C607" t="s">
        <v>54</v>
      </c>
      <c r="D607" t="s">
        <v>2562</v>
      </c>
      <c r="E607" t="s">
        <v>729</v>
      </c>
      <c r="F607">
        <v>30</v>
      </c>
      <c r="G607">
        <v>25</v>
      </c>
      <c r="H607">
        <v>11</v>
      </c>
      <c r="I607" t="s">
        <v>147</v>
      </c>
      <c r="J607" t="s">
        <v>315</v>
      </c>
      <c r="K607" s="1">
        <v>45633</v>
      </c>
      <c r="L607" t="s">
        <v>252</v>
      </c>
      <c r="M607" t="s">
        <v>2563</v>
      </c>
      <c r="N607">
        <v>42</v>
      </c>
      <c r="O607">
        <v>76</v>
      </c>
      <c r="P607" t="s">
        <v>51</v>
      </c>
    </row>
    <row r="608" spans="1:16" x14ac:dyDescent="0.4">
      <c r="A608" t="s">
        <v>2564</v>
      </c>
      <c r="B608" t="s">
        <v>779</v>
      </c>
      <c r="C608" t="s">
        <v>54</v>
      </c>
      <c r="D608" t="s">
        <v>2565</v>
      </c>
      <c r="E608" t="s">
        <v>1013</v>
      </c>
      <c r="F608">
        <v>57</v>
      </c>
      <c r="G608">
        <v>25</v>
      </c>
      <c r="H608">
        <v>98</v>
      </c>
      <c r="I608" t="s">
        <v>71</v>
      </c>
      <c r="J608" t="s">
        <v>128</v>
      </c>
      <c r="K608" t="s">
        <v>656</v>
      </c>
      <c r="L608" t="s">
        <v>1720</v>
      </c>
      <c r="M608" t="s">
        <v>2566</v>
      </c>
      <c r="N608">
        <v>78</v>
      </c>
      <c r="O608">
        <v>37</v>
      </c>
      <c r="P608" t="s">
        <v>51</v>
      </c>
    </row>
    <row r="609" spans="1:16" x14ac:dyDescent="0.4">
      <c r="A609" t="s">
        <v>2567</v>
      </c>
      <c r="B609" t="s">
        <v>912</v>
      </c>
      <c r="C609" t="s">
        <v>68</v>
      </c>
      <c r="D609" t="s">
        <v>2568</v>
      </c>
      <c r="E609" t="s">
        <v>1323</v>
      </c>
      <c r="F609">
        <v>18</v>
      </c>
      <c r="G609">
        <v>72</v>
      </c>
      <c r="H609">
        <v>71</v>
      </c>
      <c r="I609" t="s">
        <v>106</v>
      </c>
      <c r="J609" s="1">
        <v>45417</v>
      </c>
      <c r="K609" s="1">
        <v>45634</v>
      </c>
      <c r="L609" t="s">
        <v>73</v>
      </c>
      <c r="M609" t="s">
        <v>2569</v>
      </c>
      <c r="N609">
        <v>25</v>
      </c>
      <c r="O609">
        <v>81</v>
      </c>
      <c r="P609" t="s">
        <v>51</v>
      </c>
    </row>
    <row r="610" spans="1:16" x14ac:dyDescent="0.4">
      <c r="A610" t="s">
        <v>2570</v>
      </c>
      <c r="B610" t="s">
        <v>814</v>
      </c>
      <c r="C610" t="s">
        <v>169</v>
      </c>
      <c r="D610" t="s">
        <v>2571</v>
      </c>
      <c r="E610" t="s">
        <v>2572</v>
      </c>
      <c r="F610">
        <v>16</v>
      </c>
      <c r="G610">
        <v>34</v>
      </c>
      <c r="H610">
        <v>89</v>
      </c>
      <c r="I610" t="s">
        <v>817</v>
      </c>
      <c r="J610" t="s">
        <v>268</v>
      </c>
      <c r="K610" t="s">
        <v>135</v>
      </c>
      <c r="L610" t="s">
        <v>644</v>
      </c>
      <c r="M610" t="s">
        <v>2573</v>
      </c>
      <c r="N610">
        <v>35</v>
      </c>
      <c r="O610">
        <v>52</v>
      </c>
      <c r="P610" t="s">
        <v>42</v>
      </c>
    </row>
    <row r="611" spans="1:16" x14ac:dyDescent="0.4">
      <c r="A611" t="s">
        <v>2574</v>
      </c>
      <c r="B611" t="s">
        <v>820</v>
      </c>
      <c r="C611" t="s">
        <v>77</v>
      </c>
      <c r="D611" t="s">
        <v>2575</v>
      </c>
      <c r="E611" t="s">
        <v>1164</v>
      </c>
      <c r="F611">
        <v>39</v>
      </c>
      <c r="G611">
        <v>80</v>
      </c>
      <c r="H611">
        <v>68</v>
      </c>
      <c r="I611" t="s">
        <v>71</v>
      </c>
      <c r="J611" t="s">
        <v>1111</v>
      </c>
      <c r="K611" s="1">
        <v>45451</v>
      </c>
      <c r="L611" t="s">
        <v>700</v>
      </c>
      <c r="M611" t="s">
        <v>2576</v>
      </c>
      <c r="N611">
        <v>46</v>
      </c>
      <c r="O611">
        <v>54</v>
      </c>
      <c r="P611" t="s">
        <v>26</v>
      </c>
    </row>
    <row r="612" spans="1:16" x14ac:dyDescent="0.4">
      <c r="A612" t="s">
        <v>2577</v>
      </c>
      <c r="B612" t="s">
        <v>311</v>
      </c>
      <c r="C612" t="s">
        <v>54</v>
      </c>
      <c r="D612" t="s">
        <v>2578</v>
      </c>
      <c r="E612" t="s">
        <v>2280</v>
      </c>
      <c r="F612">
        <v>59</v>
      </c>
      <c r="G612">
        <v>82</v>
      </c>
      <c r="H612">
        <v>69</v>
      </c>
      <c r="I612" t="s">
        <v>1593</v>
      </c>
      <c r="J612" s="1">
        <v>45387</v>
      </c>
      <c r="K612" t="s">
        <v>718</v>
      </c>
      <c r="L612" s="1">
        <v>45354</v>
      </c>
      <c r="M612" t="s">
        <v>2579</v>
      </c>
      <c r="N612">
        <v>30</v>
      </c>
      <c r="O612">
        <v>34</v>
      </c>
      <c r="P612" t="s">
        <v>26</v>
      </c>
    </row>
    <row r="613" spans="1:16" x14ac:dyDescent="0.4">
      <c r="A613" t="s">
        <v>2580</v>
      </c>
      <c r="B613" t="s">
        <v>1761</v>
      </c>
      <c r="C613" t="s">
        <v>169</v>
      </c>
      <c r="D613" t="s">
        <v>2581</v>
      </c>
      <c r="E613" t="s">
        <v>2582</v>
      </c>
      <c r="F613">
        <v>79</v>
      </c>
      <c r="G613">
        <v>28</v>
      </c>
      <c r="H613">
        <v>4</v>
      </c>
      <c r="I613" t="s">
        <v>320</v>
      </c>
      <c r="J613" s="1">
        <v>45659</v>
      </c>
      <c r="K613" t="s">
        <v>567</v>
      </c>
      <c r="L613" t="s">
        <v>807</v>
      </c>
      <c r="M613" t="s">
        <v>2583</v>
      </c>
      <c r="N613">
        <v>42</v>
      </c>
      <c r="O613">
        <v>46</v>
      </c>
      <c r="P613" t="s">
        <v>51</v>
      </c>
    </row>
    <row r="614" spans="1:16" x14ac:dyDescent="0.4">
      <c r="A614" t="s">
        <v>2584</v>
      </c>
      <c r="B614" t="s">
        <v>203</v>
      </c>
      <c r="C614" t="s">
        <v>77</v>
      </c>
      <c r="D614" t="s">
        <v>2585</v>
      </c>
      <c r="E614" t="s">
        <v>494</v>
      </c>
      <c r="F614">
        <v>78</v>
      </c>
      <c r="G614">
        <v>61</v>
      </c>
      <c r="H614">
        <v>6</v>
      </c>
      <c r="I614" t="s">
        <v>206</v>
      </c>
      <c r="J614" t="s">
        <v>1129</v>
      </c>
      <c r="K614" s="1">
        <v>45453</v>
      </c>
      <c r="L614" t="s">
        <v>99</v>
      </c>
      <c r="M614" t="s">
        <v>2586</v>
      </c>
      <c r="N614">
        <v>49</v>
      </c>
      <c r="O614">
        <v>60</v>
      </c>
      <c r="P614" t="s">
        <v>51</v>
      </c>
    </row>
    <row r="615" spans="1:16" x14ac:dyDescent="0.4">
      <c r="A615" t="s">
        <v>2587</v>
      </c>
      <c r="B615" t="s">
        <v>17</v>
      </c>
      <c r="C615" t="s">
        <v>18</v>
      </c>
      <c r="D615" t="s">
        <v>2588</v>
      </c>
      <c r="E615" t="s">
        <v>2589</v>
      </c>
      <c r="F615">
        <v>22</v>
      </c>
      <c r="G615">
        <v>10</v>
      </c>
      <c r="H615">
        <v>53</v>
      </c>
      <c r="I615" t="s">
        <v>1155</v>
      </c>
      <c r="J615" s="1">
        <v>45512</v>
      </c>
      <c r="K615" t="s">
        <v>1272</v>
      </c>
      <c r="L615" t="s">
        <v>1482</v>
      </c>
      <c r="M615" t="s">
        <v>2590</v>
      </c>
      <c r="N615">
        <v>64</v>
      </c>
      <c r="O615">
        <v>7</v>
      </c>
      <c r="P615" t="s">
        <v>51</v>
      </c>
    </row>
    <row r="616" spans="1:16" x14ac:dyDescent="0.4">
      <c r="A616" t="s">
        <v>2591</v>
      </c>
      <c r="B616" t="s">
        <v>2592</v>
      </c>
      <c r="C616" t="s">
        <v>77</v>
      </c>
      <c r="D616" t="s">
        <v>2593</v>
      </c>
      <c r="E616" t="s">
        <v>2594</v>
      </c>
      <c r="F616">
        <v>10</v>
      </c>
      <c r="G616">
        <v>17</v>
      </c>
      <c r="H616">
        <v>70</v>
      </c>
      <c r="I616" t="s">
        <v>2595</v>
      </c>
      <c r="J616" t="s">
        <v>655</v>
      </c>
      <c r="K616" t="s">
        <v>701</v>
      </c>
      <c r="L616" s="1">
        <v>45513</v>
      </c>
      <c r="M616" t="s">
        <v>2596</v>
      </c>
      <c r="N616">
        <v>100</v>
      </c>
      <c r="O616">
        <v>63</v>
      </c>
      <c r="P616" t="s">
        <v>42</v>
      </c>
    </row>
    <row r="617" spans="1:16" x14ac:dyDescent="0.4">
      <c r="A617" t="s">
        <v>2597</v>
      </c>
      <c r="B617" t="s">
        <v>517</v>
      </c>
      <c r="C617" t="s">
        <v>18</v>
      </c>
      <c r="D617" t="s">
        <v>2598</v>
      </c>
      <c r="E617" t="s">
        <v>850</v>
      </c>
      <c r="F617">
        <v>34</v>
      </c>
      <c r="G617">
        <v>32</v>
      </c>
      <c r="H617">
        <v>22</v>
      </c>
      <c r="I617" t="s">
        <v>21</v>
      </c>
      <c r="J617" s="1">
        <v>45327</v>
      </c>
      <c r="K617" s="1">
        <v>45333</v>
      </c>
      <c r="L617" s="1">
        <v>45840</v>
      </c>
      <c r="M617" t="s">
        <v>2599</v>
      </c>
      <c r="N617">
        <v>42</v>
      </c>
      <c r="O617">
        <v>27</v>
      </c>
      <c r="P617" t="s">
        <v>51</v>
      </c>
    </row>
    <row r="618" spans="1:16" x14ac:dyDescent="0.4">
      <c r="A618" t="s">
        <v>2600</v>
      </c>
      <c r="B618" t="s">
        <v>492</v>
      </c>
      <c r="C618" t="s">
        <v>77</v>
      </c>
      <c r="D618" t="s">
        <v>2601</v>
      </c>
      <c r="E618" t="s">
        <v>623</v>
      </c>
      <c r="F618">
        <v>74</v>
      </c>
      <c r="G618">
        <v>62</v>
      </c>
      <c r="H618">
        <v>6</v>
      </c>
      <c r="I618" t="s">
        <v>57</v>
      </c>
      <c r="J618" t="s">
        <v>1508</v>
      </c>
      <c r="K618" t="s">
        <v>193</v>
      </c>
      <c r="L618" t="s">
        <v>882</v>
      </c>
      <c r="M618" t="s">
        <v>2602</v>
      </c>
      <c r="N618">
        <v>65</v>
      </c>
      <c r="O618">
        <v>96</v>
      </c>
      <c r="P618" t="s">
        <v>51</v>
      </c>
    </row>
    <row r="619" spans="1:16" x14ac:dyDescent="0.4">
      <c r="A619" t="s">
        <v>2603</v>
      </c>
      <c r="B619" t="s">
        <v>17</v>
      </c>
      <c r="C619" t="s">
        <v>18</v>
      </c>
      <c r="D619" t="s">
        <v>2604</v>
      </c>
      <c r="E619" t="s">
        <v>996</v>
      </c>
      <c r="F619">
        <v>10</v>
      </c>
      <c r="G619">
        <v>11</v>
      </c>
      <c r="H619">
        <v>29</v>
      </c>
      <c r="I619" t="s">
        <v>750</v>
      </c>
      <c r="J619" t="s">
        <v>827</v>
      </c>
      <c r="K619" s="1">
        <v>45514</v>
      </c>
      <c r="L619" t="s">
        <v>322</v>
      </c>
      <c r="M619" t="s">
        <v>2605</v>
      </c>
      <c r="N619">
        <v>29</v>
      </c>
      <c r="O619">
        <v>72</v>
      </c>
      <c r="P619" t="s">
        <v>42</v>
      </c>
    </row>
    <row r="620" spans="1:16" x14ac:dyDescent="0.4">
      <c r="A620" t="s">
        <v>2606</v>
      </c>
      <c r="B620" t="s">
        <v>1046</v>
      </c>
      <c r="C620" t="s">
        <v>18</v>
      </c>
      <c r="D620" t="s">
        <v>2607</v>
      </c>
      <c r="E620" t="s">
        <v>1183</v>
      </c>
      <c r="F620">
        <v>11</v>
      </c>
      <c r="G620">
        <v>87</v>
      </c>
      <c r="H620">
        <v>64</v>
      </c>
      <c r="I620" t="s">
        <v>21</v>
      </c>
      <c r="J620" t="s">
        <v>382</v>
      </c>
      <c r="K620" s="1">
        <v>45510</v>
      </c>
      <c r="L620" s="1">
        <v>45418</v>
      </c>
      <c r="M620" t="s">
        <v>2608</v>
      </c>
      <c r="N620">
        <v>29</v>
      </c>
      <c r="O620">
        <v>6</v>
      </c>
      <c r="P620" t="s">
        <v>51</v>
      </c>
    </row>
    <row r="621" spans="1:16" x14ac:dyDescent="0.4">
      <c r="A621" t="s">
        <v>2609</v>
      </c>
      <c r="B621" t="s">
        <v>1383</v>
      </c>
      <c r="C621" t="s">
        <v>54</v>
      </c>
      <c r="D621" t="s">
        <v>2610</v>
      </c>
      <c r="E621" t="s">
        <v>1957</v>
      </c>
      <c r="F621">
        <v>99</v>
      </c>
      <c r="G621">
        <v>68</v>
      </c>
      <c r="H621">
        <v>1</v>
      </c>
      <c r="I621" t="s">
        <v>1386</v>
      </c>
      <c r="J621" t="s">
        <v>866</v>
      </c>
      <c r="K621" t="s">
        <v>656</v>
      </c>
      <c r="L621" s="1">
        <v>45513</v>
      </c>
      <c r="M621" t="s">
        <v>2611</v>
      </c>
      <c r="N621">
        <v>59</v>
      </c>
      <c r="O621">
        <v>16</v>
      </c>
      <c r="P621" t="s">
        <v>26</v>
      </c>
    </row>
    <row r="622" spans="1:16" x14ac:dyDescent="0.4">
      <c r="A622" t="s">
        <v>2612</v>
      </c>
      <c r="B622" t="s">
        <v>144</v>
      </c>
      <c r="C622" t="s">
        <v>77</v>
      </c>
      <c r="D622" t="s">
        <v>2613</v>
      </c>
      <c r="E622" t="s">
        <v>887</v>
      </c>
      <c r="F622">
        <v>64</v>
      </c>
      <c r="G622">
        <v>14</v>
      </c>
      <c r="H622">
        <v>44</v>
      </c>
      <c r="I622" t="s">
        <v>147</v>
      </c>
      <c r="J622" t="s">
        <v>260</v>
      </c>
      <c r="K622" t="s">
        <v>347</v>
      </c>
      <c r="L622" t="s">
        <v>655</v>
      </c>
      <c r="M622" t="s">
        <v>2614</v>
      </c>
      <c r="N622">
        <v>53</v>
      </c>
      <c r="O622">
        <v>33</v>
      </c>
      <c r="P622" t="s">
        <v>51</v>
      </c>
    </row>
    <row r="623" spans="1:16" x14ac:dyDescent="0.4">
      <c r="A623" t="s">
        <v>2615</v>
      </c>
      <c r="B623" t="s">
        <v>225</v>
      </c>
      <c r="C623" t="s">
        <v>54</v>
      </c>
      <c r="D623" t="s">
        <v>2616</v>
      </c>
      <c r="E623" t="s">
        <v>2617</v>
      </c>
      <c r="F623">
        <v>58</v>
      </c>
      <c r="G623">
        <v>55</v>
      </c>
      <c r="H623">
        <v>5</v>
      </c>
      <c r="I623" t="s">
        <v>440</v>
      </c>
      <c r="J623" t="s">
        <v>509</v>
      </c>
      <c r="K623" t="s">
        <v>49</v>
      </c>
      <c r="L623" s="1">
        <v>45809</v>
      </c>
      <c r="M623" t="s">
        <v>2618</v>
      </c>
      <c r="N623">
        <v>62</v>
      </c>
      <c r="O623">
        <v>89</v>
      </c>
      <c r="P623" t="s">
        <v>51</v>
      </c>
    </row>
    <row r="624" spans="1:16" x14ac:dyDescent="0.4">
      <c r="A624" t="s">
        <v>2619</v>
      </c>
      <c r="B624" t="s">
        <v>67</v>
      </c>
      <c r="C624" t="s">
        <v>68</v>
      </c>
      <c r="D624" t="s">
        <v>2620</v>
      </c>
      <c r="E624" t="s">
        <v>227</v>
      </c>
      <c r="F624">
        <v>26</v>
      </c>
      <c r="G624">
        <v>100</v>
      </c>
      <c r="H624">
        <v>13</v>
      </c>
      <c r="I624" t="s">
        <v>71</v>
      </c>
      <c r="J624" t="s">
        <v>1418</v>
      </c>
      <c r="K624" t="s">
        <v>514</v>
      </c>
      <c r="L624" s="1">
        <v>45839</v>
      </c>
      <c r="M624" t="s">
        <v>2621</v>
      </c>
      <c r="N624">
        <v>45</v>
      </c>
      <c r="O624">
        <v>45</v>
      </c>
      <c r="P624" t="s">
        <v>26</v>
      </c>
    </row>
    <row r="625" spans="1:16" x14ac:dyDescent="0.4">
      <c r="A625" t="s">
        <v>2622</v>
      </c>
      <c r="B625" t="s">
        <v>196</v>
      </c>
      <c r="C625" t="s">
        <v>18</v>
      </c>
      <c r="D625" t="s">
        <v>2623</v>
      </c>
      <c r="E625" t="s">
        <v>832</v>
      </c>
      <c r="F625">
        <v>72</v>
      </c>
      <c r="G625">
        <v>72</v>
      </c>
      <c r="H625">
        <v>68</v>
      </c>
      <c r="I625" t="s">
        <v>47</v>
      </c>
      <c r="J625" t="s">
        <v>842</v>
      </c>
      <c r="K625" t="s">
        <v>207</v>
      </c>
      <c r="L625" t="s">
        <v>341</v>
      </c>
      <c r="M625" t="s">
        <v>2624</v>
      </c>
      <c r="N625">
        <v>39</v>
      </c>
      <c r="O625">
        <v>78</v>
      </c>
      <c r="P625" t="s">
        <v>51</v>
      </c>
    </row>
    <row r="626" spans="1:16" x14ac:dyDescent="0.4">
      <c r="A626" t="s">
        <v>2625</v>
      </c>
      <c r="B626" t="s">
        <v>470</v>
      </c>
      <c r="C626" t="s">
        <v>77</v>
      </c>
      <c r="D626" t="s">
        <v>2626</v>
      </c>
      <c r="E626" t="s">
        <v>1280</v>
      </c>
      <c r="F626">
        <v>36</v>
      </c>
      <c r="G626">
        <v>82</v>
      </c>
      <c r="H626">
        <v>85</v>
      </c>
      <c r="I626" t="s">
        <v>2627</v>
      </c>
      <c r="J626" t="s">
        <v>828</v>
      </c>
      <c r="K626" t="s">
        <v>1209</v>
      </c>
      <c r="L626" s="1">
        <v>45420</v>
      </c>
      <c r="M626" t="s">
        <v>2628</v>
      </c>
      <c r="N626">
        <v>27</v>
      </c>
      <c r="O626">
        <v>67</v>
      </c>
      <c r="P626" t="s">
        <v>26</v>
      </c>
    </row>
    <row r="627" spans="1:16" x14ac:dyDescent="0.4">
      <c r="A627" t="s">
        <v>2629</v>
      </c>
      <c r="B627" t="s">
        <v>210</v>
      </c>
      <c r="C627" t="s">
        <v>54</v>
      </c>
      <c r="D627" t="s">
        <v>2630</v>
      </c>
      <c r="E627" t="s">
        <v>2631</v>
      </c>
      <c r="F627">
        <v>24</v>
      </c>
      <c r="G627">
        <v>21</v>
      </c>
      <c r="H627">
        <v>4</v>
      </c>
      <c r="I627" t="s">
        <v>39</v>
      </c>
      <c r="J627" s="1">
        <v>45416</v>
      </c>
      <c r="K627" t="s">
        <v>1488</v>
      </c>
      <c r="L627" t="s">
        <v>267</v>
      </c>
      <c r="M627" t="s">
        <v>2632</v>
      </c>
      <c r="N627">
        <v>85</v>
      </c>
      <c r="O627">
        <v>17</v>
      </c>
      <c r="P627" t="s">
        <v>42</v>
      </c>
    </row>
    <row r="628" spans="1:16" x14ac:dyDescent="0.4">
      <c r="A628" t="s">
        <v>2633</v>
      </c>
      <c r="B628" t="s">
        <v>271</v>
      </c>
      <c r="C628" t="s">
        <v>54</v>
      </c>
      <c r="D628" t="s">
        <v>2634</v>
      </c>
      <c r="E628" t="s">
        <v>1061</v>
      </c>
      <c r="F628">
        <v>16</v>
      </c>
      <c r="G628">
        <v>75</v>
      </c>
      <c r="H628">
        <v>42</v>
      </c>
      <c r="I628" t="s">
        <v>106</v>
      </c>
      <c r="J628" t="s">
        <v>274</v>
      </c>
      <c r="K628" t="s">
        <v>549</v>
      </c>
      <c r="L628" t="s">
        <v>100</v>
      </c>
      <c r="M628" t="s">
        <v>2635</v>
      </c>
      <c r="N628">
        <v>22</v>
      </c>
      <c r="O628">
        <v>46</v>
      </c>
      <c r="P628" t="s">
        <v>51</v>
      </c>
    </row>
    <row r="629" spans="1:16" x14ac:dyDescent="0.4">
      <c r="A629" t="s">
        <v>2636</v>
      </c>
      <c r="B629" t="s">
        <v>709</v>
      </c>
      <c r="C629" t="s">
        <v>54</v>
      </c>
      <c r="D629" t="s">
        <v>2637</v>
      </c>
      <c r="E629" t="s">
        <v>2638</v>
      </c>
      <c r="F629">
        <v>39</v>
      </c>
      <c r="G629">
        <v>19</v>
      </c>
      <c r="H629">
        <v>18</v>
      </c>
      <c r="I629" t="s">
        <v>2639</v>
      </c>
      <c r="J629" t="s">
        <v>666</v>
      </c>
      <c r="K629" t="s">
        <v>116</v>
      </c>
      <c r="L629" t="s">
        <v>1174</v>
      </c>
      <c r="M629" t="s">
        <v>2640</v>
      </c>
      <c r="N629">
        <v>58</v>
      </c>
      <c r="O629">
        <v>90</v>
      </c>
      <c r="P629" t="s">
        <v>51</v>
      </c>
    </row>
    <row r="630" spans="1:16" x14ac:dyDescent="0.4">
      <c r="A630" t="s">
        <v>2641</v>
      </c>
      <c r="B630" t="s">
        <v>290</v>
      </c>
      <c r="C630" t="s">
        <v>54</v>
      </c>
      <c r="D630" t="s">
        <v>2642</v>
      </c>
      <c r="E630" t="s">
        <v>2643</v>
      </c>
      <c r="F630">
        <v>89</v>
      </c>
      <c r="G630">
        <v>56</v>
      </c>
      <c r="H630">
        <v>74</v>
      </c>
      <c r="I630" t="s">
        <v>71</v>
      </c>
      <c r="J630" s="1">
        <v>45576</v>
      </c>
      <c r="K630" t="s">
        <v>1387</v>
      </c>
      <c r="L630" s="1">
        <v>45301</v>
      </c>
      <c r="M630" t="s">
        <v>2644</v>
      </c>
      <c r="N630">
        <v>27</v>
      </c>
      <c r="O630">
        <v>51</v>
      </c>
      <c r="P630" t="s">
        <v>42</v>
      </c>
    </row>
    <row r="631" spans="1:16" x14ac:dyDescent="0.4">
      <c r="A631" t="s">
        <v>2645</v>
      </c>
      <c r="B631" t="s">
        <v>2561</v>
      </c>
      <c r="C631" t="s">
        <v>54</v>
      </c>
      <c r="D631" t="s">
        <v>2646</v>
      </c>
      <c r="E631" t="s">
        <v>1581</v>
      </c>
      <c r="F631">
        <v>57</v>
      </c>
      <c r="G631">
        <v>82</v>
      </c>
      <c r="H631">
        <v>59</v>
      </c>
      <c r="I631" t="s">
        <v>147</v>
      </c>
      <c r="J631" s="1">
        <v>45574</v>
      </c>
      <c r="K631" t="s">
        <v>473</v>
      </c>
      <c r="L631" s="1">
        <v>45602</v>
      </c>
      <c r="M631" t="s">
        <v>2647</v>
      </c>
      <c r="N631">
        <v>44</v>
      </c>
      <c r="O631">
        <v>57</v>
      </c>
      <c r="P631" t="s">
        <v>51</v>
      </c>
    </row>
    <row r="632" spans="1:16" x14ac:dyDescent="0.4">
      <c r="A632" t="s">
        <v>2648</v>
      </c>
      <c r="B632" t="s">
        <v>255</v>
      </c>
      <c r="C632" t="s">
        <v>29</v>
      </c>
      <c r="D632" t="s">
        <v>2649</v>
      </c>
      <c r="E632" t="s">
        <v>2650</v>
      </c>
      <c r="F632">
        <v>61</v>
      </c>
      <c r="G632">
        <v>22</v>
      </c>
      <c r="H632">
        <v>98</v>
      </c>
      <c r="I632" t="s">
        <v>258</v>
      </c>
      <c r="J632" s="1">
        <v>45476</v>
      </c>
      <c r="K632" s="1">
        <v>45332</v>
      </c>
      <c r="L632" s="1">
        <v>45546</v>
      </c>
      <c r="M632" t="s">
        <v>2651</v>
      </c>
      <c r="N632">
        <v>90</v>
      </c>
      <c r="O632">
        <v>11</v>
      </c>
      <c r="P632" t="s">
        <v>51</v>
      </c>
    </row>
    <row r="633" spans="1:16" x14ac:dyDescent="0.4">
      <c r="A633" t="s">
        <v>2652</v>
      </c>
      <c r="B633" t="s">
        <v>296</v>
      </c>
      <c r="C633" t="s">
        <v>18</v>
      </c>
      <c r="D633" t="s">
        <v>2653</v>
      </c>
      <c r="E633" t="s">
        <v>1013</v>
      </c>
      <c r="F633">
        <v>56</v>
      </c>
      <c r="G633">
        <v>28</v>
      </c>
      <c r="H633">
        <v>76</v>
      </c>
      <c r="I633" t="s">
        <v>85</v>
      </c>
      <c r="J633" t="s">
        <v>455</v>
      </c>
      <c r="K633" s="1">
        <v>45749</v>
      </c>
      <c r="L633" s="1">
        <v>45331</v>
      </c>
      <c r="M633" t="s">
        <v>2654</v>
      </c>
      <c r="N633">
        <v>93</v>
      </c>
      <c r="O633">
        <v>69</v>
      </c>
      <c r="P633" t="s">
        <v>51</v>
      </c>
    </row>
    <row r="634" spans="1:16" x14ac:dyDescent="0.4">
      <c r="A634" t="s">
        <v>2655</v>
      </c>
      <c r="B634" t="s">
        <v>545</v>
      </c>
      <c r="C634" t="s">
        <v>77</v>
      </c>
      <c r="D634" t="s">
        <v>2656</v>
      </c>
      <c r="E634" t="s">
        <v>1216</v>
      </c>
      <c r="F634">
        <v>21</v>
      </c>
      <c r="G634">
        <v>24</v>
      </c>
      <c r="H634">
        <v>2</v>
      </c>
      <c r="I634" t="s">
        <v>2657</v>
      </c>
      <c r="J634" s="1">
        <v>45416</v>
      </c>
      <c r="K634" s="1">
        <v>45605</v>
      </c>
      <c r="L634" t="s">
        <v>245</v>
      </c>
      <c r="M634" t="s">
        <v>2658</v>
      </c>
      <c r="N634">
        <v>87</v>
      </c>
      <c r="O634">
        <v>36</v>
      </c>
      <c r="P634" t="s">
        <v>42</v>
      </c>
    </row>
    <row r="635" spans="1:16" x14ac:dyDescent="0.4">
      <c r="A635" t="s">
        <v>2659</v>
      </c>
      <c r="B635" t="s">
        <v>1383</v>
      </c>
      <c r="C635" t="s">
        <v>54</v>
      </c>
      <c r="D635" t="s">
        <v>2660</v>
      </c>
      <c r="E635" t="s">
        <v>2661</v>
      </c>
      <c r="F635">
        <v>59</v>
      </c>
      <c r="G635">
        <v>29</v>
      </c>
      <c r="H635">
        <v>100</v>
      </c>
      <c r="I635" t="s">
        <v>1386</v>
      </c>
      <c r="J635" s="1">
        <v>45386</v>
      </c>
      <c r="K635" t="s">
        <v>1188</v>
      </c>
      <c r="L635" s="1">
        <v>45658</v>
      </c>
      <c r="M635" t="s">
        <v>2662</v>
      </c>
      <c r="N635">
        <v>74</v>
      </c>
      <c r="O635">
        <v>16</v>
      </c>
      <c r="P635" t="s">
        <v>26</v>
      </c>
    </row>
    <row r="636" spans="1:16" x14ac:dyDescent="0.4">
      <c r="A636" t="s">
        <v>2663</v>
      </c>
      <c r="B636" t="s">
        <v>391</v>
      </c>
      <c r="C636" t="s">
        <v>29</v>
      </c>
      <c r="D636" t="s">
        <v>2664</v>
      </c>
      <c r="E636" t="s">
        <v>278</v>
      </c>
      <c r="F636">
        <v>20</v>
      </c>
      <c r="G636">
        <v>68</v>
      </c>
      <c r="H636">
        <v>20</v>
      </c>
      <c r="I636" t="s">
        <v>172</v>
      </c>
      <c r="J636" s="1">
        <v>45901</v>
      </c>
      <c r="K636" s="1">
        <v>45389</v>
      </c>
      <c r="L636" s="1">
        <v>45333</v>
      </c>
      <c r="M636" t="s">
        <v>2665</v>
      </c>
      <c r="N636">
        <v>38</v>
      </c>
      <c r="O636">
        <v>51</v>
      </c>
      <c r="P636" t="s">
        <v>51</v>
      </c>
    </row>
    <row r="637" spans="1:16" x14ac:dyDescent="0.4">
      <c r="A637" t="s">
        <v>2666</v>
      </c>
      <c r="B637" t="s">
        <v>111</v>
      </c>
      <c r="C637" t="s">
        <v>112</v>
      </c>
      <c r="D637" t="s">
        <v>2667</v>
      </c>
      <c r="E637" t="s">
        <v>1115</v>
      </c>
      <c r="F637">
        <v>99</v>
      </c>
      <c r="G637">
        <v>6</v>
      </c>
      <c r="H637">
        <v>88</v>
      </c>
      <c r="I637" t="s">
        <v>85</v>
      </c>
      <c r="J637" t="s">
        <v>372</v>
      </c>
      <c r="K637" t="s">
        <v>221</v>
      </c>
      <c r="L637" t="s">
        <v>524</v>
      </c>
      <c r="M637" t="s">
        <v>2668</v>
      </c>
      <c r="N637">
        <v>49</v>
      </c>
      <c r="O637">
        <v>9</v>
      </c>
      <c r="P637" t="s">
        <v>51</v>
      </c>
    </row>
    <row r="638" spans="1:16" x14ac:dyDescent="0.4">
      <c r="A638" t="s">
        <v>2669</v>
      </c>
      <c r="B638" t="s">
        <v>869</v>
      </c>
      <c r="C638" t="s">
        <v>29</v>
      </c>
      <c r="D638" t="s">
        <v>2670</v>
      </c>
      <c r="E638" t="s">
        <v>597</v>
      </c>
      <c r="F638">
        <v>24</v>
      </c>
      <c r="G638">
        <v>27</v>
      </c>
      <c r="H638">
        <v>35</v>
      </c>
      <c r="I638" t="s">
        <v>147</v>
      </c>
      <c r="J638" t="s">
        <v>108</v>
      </c>
      <c r="K638" t="s">
        <v>450</v>
      </c>
      <c r="L638" t="s">
        <v>473</v>
      </c>
      <c r="M638" t="s">
        <v>2671</v>
      </c>
      <c r="N638">
        <v>49</v>
      </c>
      <c r="O638">
        <v>58</v>
      </c>
      <c r="P638" t="s">
        <v>51</v>
      </c>
    </row>
    <row r="639" spans="1:16" x14ac:dyDescent="0.4">
      <c r="A639" t="s">
        <v>2672</v>
      </c>
      <c r="B639" t="s">
        <v>17</v>
      </c>
      <c r="C639" t="s">
        <v>18</v>
      </c>
      <c r="D639" t="s">
        <v>2673</v>
      </c>
      <c r="E639" t="s">
        <v>735</v>
      </c>
      <c r="F639">
        <v>78</v>
      </c>
      <c r="G639">
        <v>94</v>
      </c>
      <c r="H639">
        <v>7</v>
      </c>
      <c r="I639" t="s">
        <v>2674</v>
      </c>
      <c r="J639" s="1">
        <v>45452</v>
      </c>
      <c r="K639" s="1">
        <v>45362</v>
      </c>
      <c r="L639" t="s">
        <v>388</v>
      </c>
      <c r="M639" t="s">
        <v>2675</v>
      </c>
      <c r="N639">
        <v>69</v>
      </c>
      <c r="O639">
        <v>40</v>
      </c>
      <c r="P639" t="s">
        <v>42</v>
      </c>
    </row>
    <row r="640" spans="1:16" x14ac:dyDescent="0.4">
      <c r="A640" t="s">
        <v>2676</v>
      </c>
      <c r="B640" t="s">
        <v>88</v>
      </c>
      <c r="C640" t="s">
        <v>77</v>
      </c>
      <c r="D640" t="s">
        <v>2677</v>
      </c>
      <c r="E640" t="s">
        <v>97</v>
      </c>
      <c r="F640">
        <v>52</v>
      </c>
      <c r="G640">
        <v>31</v>
      </c>
      <c r="H640">
        <v>18</v>
      </c>
      <c r="I640" t="s">
        <v>91</v>
      </c>
      <c r="J640" t="s">
        <v>828</v>
      </c>
      <c r="K640" t="s">
        <v>1343</v>
      </c>
      <c r="L640" s="1">
        <v>45690</v>
      </c>
      <c r="M640" t="s">
        <v>2678</v>
      </c>
      <c r="N640">
        <v>77</v>
      </c>
      <c r="O640">
        <v>16</v>
      </c>
      <c r="P640" t="s">
        <v>42</v>
      </c>
    </row>
    <row r="641" spans="1:16" x14ac:dyDescent="0.4">
      <c r="A641" t="s">
        <v>2679</v>
      </c>
      <c r="B641" t="s">
        <v>161</v>
      </c>
      <c r="C641" t="s">
        <v>54</v>
      </c>
      <c r="D641" t="s">
        <v>2680</v>
      </c>
      <c r="E641" t="s">
        <v>2681</v>
      </c>
      <c r="F641">
        <v>45</v>
      </c>
      <c r="G641">
        <v>70</v>
      </c>
      <c r="H641">
        <v>98</v>
      </c>
      <c r="I641" t="s">
        <v>1593</v>
      </c>
      <c r="J641" s="1">
        <v>45573</v>
      </c>
      <c r="K641" t="s">
        <v>854</v>
      </c>
      <c r="L641" s="1">
        <v>45540</v>
      </c>
      <c r="M641" t="s">
        <v>2682</v>
      </c>
      <c r="N641">
        <v>25</v>
      </c>
      <c r="O641">
        <v>39</v>
      </c>
      <c r="P641" t="s">
        <v>42</v>
      </c>
    </row>
    <row r="642" spans="1:16" x14ac:dyDescent="0.4">
      <c r="A642" t="s">
        <v>2683</v>
      </c>
      <c r="B642" t="s">
        <v>1447</v>
      </c>
      <c r="C642" t="s">
        <v>54</v>
      </c>
      <c r="D642" t="s">
        <v>2684</v>
      </c>
      <c r="E642" t="s">
        <v>2685</v>
      </c>
      <c r="F642">
        <v>89</v>
      </c>
      <c r="G642">
        <v>35</v>
      </c>
      <c r="H642">
        <v>19</v>
      </c>
      <c r="I642" t="s">
        <v>220</v>
      </c>
      <c r="J642" t="s">
        <v>450</v>
      </c>
      <c r="K642" s="1">
        <v>45514</v>
      </c>
      <c r="L642" s="1">
        <v>45478</v>
      </c>
      <c r="M642" t="s">
        <v>2686</v>
      </c>
      <c r="N642">
        <v>49</v>
      </c>
      <c r="O642">
        <v>55</v>
      </c>
      <c r="P642" t="s">
        <v>26</v>
      </c>
    </row>
    <row r="643" spans="1:16" x14ac:dyDescent="0.4">
      <c r="A643" t="s">
        <v>2687</v>
      </c>
      <c r="B643" t="s">
        <v>350</v>
      </c>
      <c r="C643" t="s">
        <v>54</v>
      </c>
      <c r="D643" t="s">
        <v>2688</v>
      </c>
      <c r="E643" t="s">
        <v>114</v>
      </c>
      <c r="F643">
        <v>63</v>
      </c>
      <c r="G643">
        <v>57</v>
      </c>
      <c r="H643">
        <v>11</v>
      </c>
      <c r="I643" t="s">
        <v>2689</v>
      </c>
      <c r="J643" s="1">
        <v>45962</v>
      </c>
      <c r="K643" t="s">
        <v>701</v>
      </c>
      <c r="L643" s="1">
        <v>45570</v>
      </c>
      <c r="M643" t="s">
        <v>2690</v>
      </c>
      <c r="N643">
        <v>20</v>
      </c>
      <c r="O643">
        <v>100</v>
      </c>
      <c r="P643" t="s">
        <v>26</v>
      </c>
    </row>
    <row r="644" spans="1:16" x14ac:dyDescent="0.4">
      <c r="A644" t="s">
        <v>2691</v>
      </c>
      <c r="B644" t="s">
        <v>36</v>
      </c>
      <c r="C644" t="s">
        <v>18</v>
      </c>
      <c r="D644" t="s">
        <v>2692</v>
      </c>
      <c r="E644" t="s">
        <v>1947</v>
      </c>
      <c r="F644">
        <v>49</v>
      </c>
      <c r="G644">
        <v>3</v>
      </c>
      <c r="H644">
        <v>7</v>
      </c>
      <c r="I644" t="s">
        <v>2693</v>
      </c>
      <c r="J644" t="s">
        <v>24</v>
      </c>
      <c r="K644" t="s">
        <v>969</v>
      </c>
      <c r="L644" t="s">
        <v>1629</v>
      </c>
      <c r="M644" t="s">
        <v>2694</v>
      </c>
      <c r="N644">
        <v>75</v>
      </c>
      <c r="O644">
        <v>46</v>
      </c>
      <c r="P644" t="s">
        <v>42</v>
      </c>
    </row>
    <row r="645" spans="1:16" x14ac:dyDescent="0.4">
      <c r="A645" t="s">
        <v>2695</v>
      </c>
      <c r="B645" t="s">
        <v>869</v>
      </c>
      <c r="C645" t="s">
        <v>29</v>
      </c>
      <c r="D645" t="s">
        <v>2696</v>
      </c>
      <c r="E645" t="s">
        <v>648</v>
      </c>
      <c r="F645">
        <v>26</v>
      </c>
      <c r="G645">
        <v>59</v>
      </c>
      <c r="H645">
        <v>54</v>
      </c>
      <c r="I645" t="s">
        <v>147</v>
      </c>
      <c r="J645" s="1">
        <v>45573</v>
      </c>
      <c r="K645" t="s">
        <v>485</v>
      </c>
      <c r="L645" t="s">
        <v>409</v>
      </c>
      <c r="M645" t="s">
        <v>2697</v>
      </c>
      <c r="N645">
        <v>92</v>
      </c>
      <c r="O645">
        <v>49</v>
      </c>
      <c r="P645" t="s">
        <v>51</v>
      </c>
    </row>
    <row r="646" spans="1:16" x14ac:dyDescent="0.4">
      <c r="A646" t="s">
        <v>2698</v>
      </c>
      <c r="B646" t="s">
        <v>203</v>
      </c>
      <c r="C646" t="s">
        <v>77</v>
      </c>
      <c r="D646" t="s">
        <v>2699</v>
      </c>
      <c r="E646" t="s">
        <v>2700</v>
      </c>
      <c r="F646">
        <v>93</v>
      </c>
      <c r="G646">
        <v>68</v>
      </c>
      <c r="H646">
        <v>71</v>
      </c>
      <c r="I646" t="s">
        <v>206</v>
      </c>
      <c r="J646" s="1">
        <v>45902</v>
      </c>
      <c r="K646" s="1">
        <v>45599</v>
      </c>
      <c r="L646" t="s">
        <v>712</v>
      </c>
      <c r="M646" t="s">
        <v>2701</v>
      </c>
      <c r="N646">
        <v>30</v>
      </c>
      <c r="O646">
        <v>37</v>
      </c>
      <c r="P646" t="s">
        <v>26</v>
      </c>
    </row>
    <row r="647" spans="1:16" x14ac:dyDescent="0.4">
      <c r="A647" t="s">
        <v>2702</v>
      </c>
      <c r="B647" t="s">
        <v>1470</v>
      </c>
      <c r="C647" t="s">
        <v>54</v>
      </c>
      <c r="D647" t="s">
        <v>2703</v>
      </c>
      <c r="E647" t="s">
        <v>46</v>
      </c>
      <c r="F647">
        <v>81</v>
      </c>
      <c r="G647">
        <v>16</v>
      </c>
      <c r="H647">
        <v>69</v>
      </c>
      <c r="I647" t="s">
        <v>750</v>
      </c>
      <c r="J647" s="1">
        <v>45809</v>
      </c>
      <c r="K647" s="1">
        <v>45390</v>
      </c>
      <c r="L647" t="s">
        <v>915</v>
      </c>
      <c r="M647" t="s">
        <v>2704</v>
      </c>
      <c r="N647">
        <v>23</v>
      </c>
      <c r="O647">
        <v>96</v>
      </c>
      <c r="P647" t="s">
        <v>42</v>
      </c>
    </row>
    <row r="648" spans="1:16" x14ac:dyDescent="0.4">
      <c r="A648" t="s">
        <v>2705</v>
      </c>
      <c r="B648" t="s">
        <v>492</v>
      </c>
      <c r="C648" t="s">
        <v>77</v>
      </c>
      <c r="D648" t="s">
        <v>2706</v>
      </c>
      <c r="E648" t="s">
        <v>1531</v>
      </c>
      <c r="F648">
        <v>74</v>
      </c>
      <c r="G648">
        <v>60</v>
      </c>
      <c r="H648">
        <v>27</v>
      </c>
      <c r="I648" t="s">
        <v>57</v>
      </c>
      <c r="J648" t="s">
        <v>579</v>
      </c>
      <c r="K648" t="s">
        <v>388</v>
      </c>
      <c r="L648" t="s">
        <v>341</v>
      </c>
      <c r="M648" t="s">
        <v>2707</v>
      </c>
      <c r="N648">
        <v>99</v>
      </c>
      <c r="O648">
        <v>68</v>
      </c>
      <c r="P648" t="s">
        <v>42</v>
      </c>
    </row>
    <row r="649" spans="1:16" x14ac:dyDescent="0.4">
      <c r="A649" t="s">
        <v>2708</v>
      </c>
      <c r="B649" t="s">
        <v>431</v>
      </c>
      <c r="C649" t="s">
        <v>29</v>
      </c>
      <c r="D649" t="s">
        <v>2709</v>
      </c>
      <c r="E649" t="s">
        <v>163</v>
      </c>
      <c r="F649">
        <v>19</v>
      </c>
      <c r="G649">
        <v>78</v>
      </c>
      <c r="H649">
        <v>90</v>
      </c>
      <c r="I649" t="s">
        <v>220</v>
      </c>
      <c r="J649" t="s">
        <v>898</v>
      </c>
      <c r="K649" t="s">
        <v>643</v>
      </c>
      <c r="L649" t="s">
        <v>525</v>
      </c>
      <c r="M649" t="s">
        <v>2710</v>
      </c>
      <c r="N649">
        <v>72</v>
      </c>
      <c r="O649">
        <v>84</v>
      </c>
      <c r="P649" t="s">
        <v>26</v>
      </c>
    </row>
    <row r="650" spans="1:16" x14ac:dyDescent="0.4">
      <c r="A650" t="s">
        <v>2711</v>
      </c>
      <c r="B650" t="s">
        <v>296</v>
      </c>
      <c r="C650" t="s">
        <v>18</v>
      </c>
      <c r="D650" t="s">
        <v>2712</v>
      </c>
      <c r="E650" t="s">
        <v>1136</v>
      </c>
      <c r="F650">
        <v>64</v>
      </c>
      <c r="G650">
        <v>97</v>
      </c>
      <c r="H650">
        <v>91</v>
      </c>
      <c r="I650" t="s">
        <v>85</v>
      </c>
      <c r="J650" t="s">
        <v>308</v>
      </c>
      <c r="K650" t="s">
        <v>421</v>
      </c>
      <c r="L650" s="1">
        <v>45330</v>
      </c>
      <c r="M650" t="s">
        <v>2713</v>
      </c>
      <c r="N650">
        <v>48</v>
      </c>
      <c r="O650">
        <v>100</v>
      </c>
      <c r="P650" t="s">
        <v>51</v>
      </c>
    </row>
    <row r="651" spans="1:16" x14ac:dyDescent="0.4">
      <c r="A651" t="s">
        <v>2714</v>
      </c>
      <c r="B651" t="s">
        <v>498</v>
      </c>
      <c r="C651" t="s">
        <v>54</v>
      </c>
      <c r="D651" t="s">
        <v>2715</v>
      </c>
      <c r="E651" t="s">
        <v>1364</v>
      </c>
      <c r="F651">
        <v>49</v>
      </c>
      <c r="G651">
        <v>93</v>
      </c>
      <c r="H651">
        <v>15</v>
      </c>
      <c r="I651" t="s">
        <v>21</v>
      </c>
      <c r="J651" t="s">
        <v>786</v>
      </c>
      <c r="K651" s="1">
        <v>45296</v>
      </c>
      <c r="L651" t="s">
        <v>786</v>
      </c>
      <c r="M651" t="s">
        <v>2716</v>
      </c>
      <c r="N651">
        <v>52</v>
      </c>
      <c r="O651">
        <v>31</v>
      </c>
      <c r="P651" t="s">
        <v>42</v>
      </c>
    </row>
    <row r="652" spans="1:16" x14ac:dyDescent="0.4">
      <c r="A652" t="s">
        <v>2717</v>
      </c>
      <c r="B652" t="s">
        <v>189</v>
      </c>
      <c r="C652" t="s">
        <v>77</v>
      </c>
      <c r="D652" t="s">
        <v>2718</v>
      </c>
      <c r="E652" t="s">
        <v>2159</v>
      </c>
      <c r="F652">
        <v>99</v>
      </c>
      <c r="G652">
        <v>10</v>
      </c>
      <c r="H652">
        <v>88</v>
      </c>
      <c r="I652" t="s">
        <v>172</v>
      </c>
      <c r="J652" t="s">
        <v>730</v>
      </c>
      <c r="K652" s="1">
        <v>45424</v>
      </c>
      <c r="L652" t="s">
        <v>1174</v>
      </c>
      <c r="M652" t="s">
        <v>2719</v>
      </c>
      <c r="N652">
        <v>69</v>
      </c>
      <c r="O652">
        <v>98</v>
      </c>
      <c r="P652" t="s">
        <v>51</v>
      </c>
    </row>
    <row r="653" spans="1:16" x14ac:dyDescent="0.4">
      <c r="A653" t="s">
        <v>2720</v>
      </c>
      <c r="B653" t="s">
        <v>820</v>
      </c>
      <c r="C653" t="s">
        <v>77</v>
      </c>
      <c r="D653" t="s">
        <v>2721</v>
      </c>
      <c r="E653" t="s">
        <v>1048</v>
      </c>
      <c r="F653">
        <v>60</v>
      </c>
      <c r="G653">
        <v>1</v>
      </c>
      <c r="H653">
        <v>42</v>
      </c>
      <c r="I653" t="s">
        <v>1593</v>
      </c>
      <c r="J653" t="s">
        <v>141</v>
      </c>
      <c r="K653" t="s">
        <v>422</v>
      </c>
      <c r="L653" t="s">
        <v>1205</v>
      </c>
      <c r="M653" t="s">
        <v>2722</v>
      </c>
      <c r="N653">
        <v>42</v>
      </c>
      <c r="O653">
        <v>91</v>
      </c>
      <c r="P653" t="s">
        <v>51</v>
      </c>
    </row>
    <row r="654" spans="1:16" x14ac:dyDescent="0.4">
      <c r="A654" t="s">
        <v>2723</v>
      </c>
      <c r="B654" t="s">
        <v>184</v>
      </c>
      <c r="C654" t="s">
        <v>54</v>
      </c>
      <c r="D654" t="s">
        <v>2724</v>
      </c>
      <c r="E654" t="s">
        <v>641</v>
      </c>
      <c r="F654">
        <v>90</v>
      </c>
      <c r="G654">
        <v>1</v>
      </c>
      <c r="H654">
        <v>40</v>
      </c>
      <c r="I654" t="s">
        <v>2281</v>
      </c>
      <c r="J654" t="s">
        <v>1035</v>
      </c>
      <c r="K654" s="1">
        <v>45962</v>
      </c>
      <c r="L654" t="s">
        <v>280</v>
      </c>
      <c r="M654" t="s">
        <v>2725</v>
      </c>
      <c r="N654">
        <v>52</v>
      </c>
      <c r="O654">
        <v>19</v>
      </c>
      <c r="P654" t="s">
        <v>26</v>
      </c>
    </row>
    <row r="655" spans="1:16" x14ac:dyDescent="0.4">
      <c r="A655" t="s">
        <v>2726</v>
      </c>
      <c r="B655" t="s">
        <v>263</v>
      </c>
      <c r="C655" t="s">
        <v>169</v>
      </c>
      <c r="D655" t="s">
        <v>2727</v>
      </c>
      <c r="E655" t="s">
        <v>298</v>
      </c>
      <c r="F655">
        <v>79</v>
      </c>
      <c r="G655">
        <v>53</v>
      </c>
      <c r="H655">
        <v>12</v>
      </c>
      <c r="I655" t="s">
        <v>266</v>
      </c>
      <c r="J655" t="s">
        <v>228</v>
      </c>
      <c r="K655" t="s">
        <v>33</v>
      </c>
      <c r="L655" s="1">
        <v>45931</v>
      </c>
      <c r="M655" t="s">
        <v>2728</v>
      </c>
      <c r="N655">
        <v>45</v>
      </c>
      <c r="O655">
        <v>95</v>
      </c>
      <c r="P655" t="s">
        <v>26</v>
      </c>
    </row>
    <row r="656" spans="1:16" x14ac:dyDescent="0.4">
      <c r="A656" t="s">
        <v>2729</v>
      </c>
      <c r="B656" t="s">
        <v>2592</v>
      </c>
      <c r="C656" t="s">
        <v>77</v>
      </c>
      <c r="D656" t="s">
        <v>2730</v>
      </c>
      <c r="E656" t="s">
        <v>934</v>
      </c>
      <c r="F656">
        <v>22</v>
      </c>
      <c r="G656">
        <v>58</v>
      </c>
      <c r="H656">
        <v>2</v>
      </c>
      <c r="I656" t="s">
        <v>2595</v>
      </c>
      <c r="J656" s="1">
        <v>45840</v>
      </c>
      <c r="K656" t="s">
        <v>252</v>
      </c>
      <c r="L656" t="s">
        <v>93</v>
      </c>
      <c r="M656" t="s">
        <v>2731</v>
      </c>
      <c r="N656">
        <v>33</v>
      </c>
      <c r="O656">
        <v>68</v>
      </c>
      <c r="P656" t="s">
        <v>51</v>
      </c>
    </row>
    <row r="657" spans="1:16" x14ac:dyDescent="0.4">
      <c r="A657" t="s">
        <v>2732</v>
      </c>
      <c r="B657" t="s">
        <v>1406</v>
      </c>
      <c r="C657" t="s">
        <v>18</v>
      </c>
      <c r="D657" t="s">
        <v>2733</v>
      </c>
      <c r="E657" t="s">
        <v>1373</v>
      </c>
      <c r="F657">
        <v>51</v>
      </c>
      <c r="G657">
        <v>47</v>
      </c>
      <c r="H657">
        <v>6</v>
      </c>
      <c r="I657" t="s">
        <v>71</v>
      </c>
      <c r="J657" t="s">
        <v>1418</v>
      </c>
      <c r="K657" s="1">
        <v>45604</v>
      </c>
      <c r="L657" t="s">
        <v>1463</v>
      </c>
      <c r="M657" t="s">
        <v>2734</v>
      </c>
      <c r="N657">
        <v>53</v>
      </c>
      <c r="O657">
        <v>4</v>
      </c>
      <c r="P657" t="s">
        <v>42</v>
      </c>
    </row>
    <row r="658" spans="1:16" x14ac:dyDescent="0.4">
      <c r="A658" t="s">
        <v>2735</v>
      </c>
      <c r="B658" t="s">
        <v>28</v>
      </c>
      <c r="C658" t="s">
        <v>29</v>
      </c>
      <c r="D658" t="s">
        <v>2736</v>
      </c>
      <c r="E658" t="s">
        <v>920</v>
      </c>
      <c r="F658">
        <v>65</v>
      </c>
      <c r="G658">
        <v>63</v>
      </c>
      <c r="H658">
        <v>41</v>
      </c>
      <c r="I658" t="s">
        <v>32</v>
      </c>
      <c r="J658" s="1">
        <v>45326</v>
      </c>
      <c r="K658" s="1">
        <v>45839</v>
      </c>
      <c r="L658" t="s">
        <v>1209</v>
      </c>
      <c r="M658" t="s">
        <v>2737</v>
      </c>
      <c r="N658">
        <v>28</v>
      </c>
      <c r="O658">
        <v>26</v>
      </c>
      <c r="P658" t="s">
        <v>42</v>
      </c>
    </row>
    <row r="659" spans="1:16" x14ac:dyDescent="0.4">
      <c r="A659" t="s">
        <v>2738</v>
      </c>
      <c r="B659" t="s">
        <v>663</v>
      </c>
      <c r="C659" t="s">
        <v>77</v>
      </c>
      <c r="D659" t="s">
        <v>2739</v>
      </c>
      <c r="E659" t="s">
        <v>1422</v>
      </c>
      <c r="F659">
        <v>55</v>
      </c>
      <c r="G659">
        <v>25</v>
      </c>
      <c r="H659">
        <v>87</v>
      </c>
      <c r="I659" t="s">
        <v>57</v>
      </c>
      <c r="J659" t="s">
        <v>725</v>
      </c>
      <c r="K659" s="1">
        <v>45325</v>
      </c>
      <c r="L659" t="s">
        <v>1664</v>
      </c>
      <c r="M659" t="s">
        <v>2740</v>
      </c>
      <c r="N659">
        <v>69</v>
      </c>
      <c r="O659">
        <v>48</v>
      </c>
      <c r="P659" t="s">
        <v>42</v>
      </c>
    </row>
    <row r="660" spans="1:16" x14ac:dyDescent="0.4">
      <c r="A660" t="s">
        <v>2741</v>
      </c>
      <c r="B660" t="s">
        <v>774</v>
      </c>
      <c r="C660" t="s">
        <v>18</v>
      </c>
      <c r="D660" t="s">
        <v>2742</v>
      </c>
      <c r="E660" t="s">
        <v>1271</v>
      </c>
      <c r="F660">
        <v>18</v>
      </c>
      <c r="G660">
        <v>86</v>
      </c>
      <c r="H660">
        <v>20</v>
      </c>
      <c r="I660" t="s">
        <v>466</v>
      </c>
      <c r="J660" t="s">
        <v>268</v>
      </c>
      <c r="K660" s="1">
        <v>45394</v>
      </c>
      <c r="L660" t="s">
        <v>1188</v>
      </c>
      <c r="M660" t="s">
        <v>2743</v>
      </c>
      <c r="N660">
        <v>64</v>
      </c>
      <c r="O660">
        <v>34</v>
      </c>
      <c r="P660" t="s">
        <v>26</v>
      </c>
    </row>
    <row r="661" spans="1:16" x14ac:dyDescent="0.4">
      <c r="A661" t="s">
        <v>2744</v>
      </c>
      <c r="B661" t="s">
        <v>189</v>
      </c>
      <c r="C661" t="s">
        <v>77</v>
      </c>
      <c r="D661" t="s">
        <v>2745</v>
      </c>
      <c r="E661" t="s">
        <v>891</v>
      </c>
      <c r="F661">
        <v>37</v>
      </c>
      <c r="G661">
        <v>3</v>
      </c>
      <c r="H661">
        <v>45</v>
      </c>
      <c r="I661" t="s">
        <v>172</v>
      </c>
      <c r="J661" t="s">
        <v>455</v>
      </c>
      <c r="K661" t="s">
        <v>1884</v>
      </c>
      <c r="L661" t="s">
        <v>1343</v>
      </c>
      <c r="M661" t="s">
        <v>2746</v>
      </c>
      <c r="N661">
        <v>39</v>
      </c>
      <c r="O661">
        <v>28</v>
      </c>
      <c r="P661" t="s">
        <v>26</v>
      </c>
    </row>
    <row r="662" spans="1:16" x14ac:dyDescent="0.4">
      <c r="A662" t="s">
        <v>2747</v>
      </c>
      <c r="B662" t="s">
        <v>1761</v>
      </c>
      <c r="C662" t="s">
        <v>169</v>
      </c>
      <c r="D662" t="s">
        <v>2748</v>
      </c>
      <c r="E662" t="s">
        <v>1512</v>
      </c>
      <c r="F662">
        <v>88</v>
      </c>
      <c r="G662">
        <v>40</v>
      </c>
      <c r="H662">
        <v>29</v>
      </c>
      <c r="I662" t="s">
        <v>320</v>
      </c>
      <c r="J662" t="s">
        <v>214</v>
      </c>
      <c r="K662" t="s">
        <v>213</v>
      </c>
      <c r="L662" t="s">
        <v>656</v>
      </c>
      <c r="M662" t="s">
        <v>2749</v>
      </c>
      <c r="N662">
        <v>96</v>
      </c>
      <c r="O662">
        <v>87</v>
      </c>
      <c r="P662" t="s">
        <v>26</v>
      </c>
    </row>
    <row r="663" spans="1:16" x14ac:dyDescent="0.4">
      <c r="A663" t="s">
        <v>2750</v>
      </c>
      <c r="B663" t="s">
        <v>239</v>
      </c>
      <c r="C663" t="s">
        <v>54</v>
      </c>
      <c r="D663" t="s">
        <v>2751</v>
      </c>
      <c r="E663" t="s">
        <v>235</v>
      </c>
      <c r="F663">
        <v>20</v>
      </c>
      <c r="G663">
        <v>51</v>
      </c>
      <c r="H663">
        <v>33</v>
      </c>
      <c r="I663" t="s">
        <v>242</v>
      </c>
      <c r="J663" s="1">
        <v>45355</v>
      </c>
      <c r="K663" t="s">
        <v>336</v>
      </c>
      <c r="L663" s="1">
        <v>45993</v>
      </c>
      <c r="M663" t="s">
        <v>2752</v>
      </c>
      <c r="N663">
        <v>80</v>
      </c>
      <c r="O663">
        <v>41</v>
      </c>
      <c r="P663" t="s">
        <v>51</v>
      </c>
    </row>
    <row r="664" spans="1:16" x14ac:dyDescent="0.4">
      <c r="A664" t="s">
        <v>2753</v>
      </c>
      <c r="B664" t="s">
        <v>138</v>
      </c>
      <c r="C664" t="s">
        <v>18</v>
      </c>
      <c r="D664" t="s">
        <v>2754</v>
      </c>
      <c r="E664" t="s">
        <v>406</v>
      </c>
      <c r="F664">
        <v>99</v>
      </c>
      <c r="G664">
        <v>54</v>
      </c>
      <c r="H664">
        <v>71</v>
      </c>
      <c r="I664" t="s">
        <v>47</v>
      </c>
      <c r="J664" t="s">
        <v>548</v>
      </c>
      <c r="K664" t="s">
        <v>882</v>
      </c>
      <c r="L664" t="s">
        <v>1343</v>
      </c>
      <c r="M664" t="s">
        <v>2755</v>
      </c>
      <c r="N664">
        <v>80</v>
      </c>
      <c r="O664">
        <v>10</v>
      </c>
      <c r="P664" t="s">
        <v>26</v>
      </c>
    </row>
    <row r="665" spans="1:16" x14ac:dyDescent="0.4">
      <c r="A665" t="s">
        <v>2756</v>
      </c>
      <c r="B665" t="s">
        <v>962</v>
      </c>
      <c r="C665" t="s">
        <v>54</v>
      </c>
      <c r="D665" t="s">
        <v>2757</v>
      </c>
      <c r="E665" t="s">
        <v>2758</v>
      </c>
      <c r="F665">
        <v>46</v>
      </c>
      <c r="G665">
        <v>88</v>
      </c>
      <c r="H665">
        <v>20</v>
      </c>
      <c r="I665" t="s">
        <v>978</v>
      </c>
      <c r="J665" s="1">
        <v>45514</v>
      </c>
      <c r="K665" s="1">
        <v>45516</v>
      </c>
      <c r="L665" s="1">
        <v>45295</v>
      </c>
      <c r="M665" t="s">
        <v>2759</v>
      </c>
      <c r="N665">
        <v>59</v>
      </c>
      <c r="O665">
        <v>79</v>
      </c>
      <c r="P665" t="s">
        <v>42</v>
      </c>
    </row>
    <row r="666" spans="1:16" x14ac:dyDescent="0.4">
      <c r="A666" t="s">
        <v>2760</v>
      </c>
      <c r="B666" t="s">
        <v>1750</v>
      </c>
      <c r="C666" t="s">
        <v>18</v>
      </c>
      <c r="D666" t="s">
        <v>2761</v>
      </c>
      <c r="E666" t="s">
        <v>2377</v>
      </c>
      <c r="F666">
        <v>19</v>
      </c>
      <c r="G666">
        <v>77</v>
      </c>
      <c r="H666">
        <v>66</v>
      </c>
      <c r="I666" t="s">
        <v>591</v>
      </c>
      <c r="J666" s="1">
        <v>45484</v>
      </c>
      <c r="K666" t="s">
        <v>280</v>
      </c>
      <c r="L666" t="s">
        <v>1331</v>
      </c>
      <c r="M666" t="s">
        <v>2762</v>
      </c>
      <c r="N666">
        <v>62</v>
      </c>
      <c r="O666">
        <v>100</v>
      </c>
      <c r="P666" t="s">
        <v>51</v>
      </c>
    </row>
    <row r="667" spans="1:16" x14ac:dyDescent="0.4">
      <c r="A667" t="s">
        <v>2763</v>
      </c>
      <c r="B667" t="s">
        <v>1485</v>
      </c>
      <c r="C667" t="s">
        <v>77</v>
      </c>
      <c r="D667" t="s">
        <v>2764</v>
      </c>
      <c r="E667" t="s">
        <v>1799</v>
      </c>
      <c r="F667">
        <v>12</v>
      </c>
      <c r="G667">
        <v>83</v>
      </c>
      <c r="H667">
        <v>93</v>
      </c>
      <c r="I667" t="s">
        <v>63</v>
      </c>
      <c r="J667" t="s">
        <v>526</v>
      </c>
      <c r="K667" t="s">
        <v>252</v>
      </c>
      <c r="L667" t="s">
        <v>1049</v>
      </c>
      <c r="M667" t="s">
        <v>2765</v>
      </c>
      <c r="N667">
        <v>22</v>
      </c>
      <c r="O667">
        <v>9</v>
      </c>
      <c r="P667" t="s">
        <v>42</v>
      </c>
    </row>
    <row r="668" spans="1:16" x14ac:dyDescent="0.4">
      <c r="A668" t="s">
        <v>2766</v>
      </c>
      <c r="B668" t="s">
        <v>820</v>
      </c>
      <c r="C668" t="s">
        <v>77</v>
      </c>
      <c r="D668" t="s">
        <v>2767</v>
      </c>
      <c r="E668" t="s">
        <v>2768</v>
      </c>
      <c r="F668">
        <v>69</v>
      </c>
      <c r="G668">
        <v>98</v>
      </c>
      <c r="H668">
        <v>89</v>
      </c>
      <c r="I668" t="s">
        <v>2337</v>
      </c>
      <c r="J668" t="s">
        <v>654</v>
      </c>
      <c r="K668" s="1">
        <v>45539</v>
      </c>
      <c r="L668" s="1">
        <v>45297</v>
      </c>
      <c r="M668" t="s">
        <v>2769</v>
      </c>
      <c r="N668">
        <v>29</v>
      </c>
      <c r="O668">
        <v>34</v>
      </c>
      <c r="P668" t="s">
        <v>26</v>
      </c>
    </row>
    <row r="669" spans="1:16" x14ac:dyDescent="0.4">
      <c r="A669" t="s">
        <v>2770</v>
      </c>
      <c r="B669" t="s">
        <v>88</v>
      </c>
      <c r="C669" t="s">
        <v>77</v>
      </c>
      <c r="D669" t="s">
        <v>2771</v>
      </c>
      <c r="E669" t="s">
        <v>357</v>
      </c>
      <c r="F669">
        <v>63</v>
      </c>
      <c r="G669">
        <v>38</v>
      </c>
      <c r="H669">
        <v>77</v>
      </c>
      <c r="I669" t="s">
        <v>91</v>
      </c>
      <c r="J669" t="s">
        <v>701</v>
      </c>
      <c r="K669" s="1">
        <v>45993</v>
      </c>
      <c r="L669" t="s">
        <v>307</v>
      </c>
      <c r="M669" t="s">
        <v>2772</v>
      </c>
      <c r="N669">
        <v>23</v>
      </c>
      <c r="O669">
        <v>18</v>
      </c>
      <c r="P669" t="s">
        <v>51</v>
      </c>
    </row>
    <row r="670" spans="1:16" x14ac:dyDescent="0.4">
      <c r="A670" t="s">
        <v>2773</v>
      </c>
      <c r="B670" t="s">
        <v>962</v>
      </c>
      <c r="C670" t="s">
        <v>54</v>
      </c>
      <c r="D670" t="s">
        <v>2774</v>
      </c>
      <c r="E670" t="s">
        <v>2775</v>
      </c>
      <c r="F670">
        <v>78</v>
      </c>
      <c r="G670">
        <v>16</v>
      </c>
      <c r="H670">
        <v>37</v>
      </c>
      <c r="I670" t="s">
        <v>1663</v>
      </c>
      <c r="J670" s="1">
        <v>45636</v>
      </c>
      <c r="K670" s="1">
        <v>45394</v>
      </c>
      <c r="L670" s="1">
        <v>45297</v>
      </c>
      <c r="M670" t="s">
        <v>2776</v>
      </c>
      <c r="N670">
        <v>25</v>
      </c>
      <c r="O670">
        <v>96</v>
      </c>
      <c r="P670" t="s">
        <v>42</v>
      </c>
    </row>
    <row r="671" spans="1:16" x14ac:dyDescent="0.4">
      <c r="A671" t="s">
        <v>2777</v>
      </c>
      <c r="B671" t="s">
        <v>386</v>
      </c>
      <c r="C671" t="s">
        <v>112</v>
      </c>
      <c r="D671" t="s">
        <v>2778</v>
      </c>
      <c r="E671" t="s">
        <v>152</v>
      </c>
      <c r="F671">
        <v>72</v>
      </c>
      <c r="G671">
        <v>20</v>
      </c>
      <c r="H671">
        <v>71</v>
      </c>
      <c r="I671" t="s">
        <v>71</v>
      </c>
      <c r="J671" t="s">
        <v>23</v>
      </c>
      <c r="K671" t="s">
        <v>807</v>
      </c>
      <c r="L671" t="s">
        <v>654</v>
      </c>
      <c r="M671" t="s">
        <v>2779</v>
      </c>
      <c r="N671">
        <v>87</v>
      </c>
      <c r="O671">
        <v>68</v>
      </c>
      <c r="P671" t="s">
        <v>26</v>
      </c>
    </row>
    <row r="672" spans="1:16" x14ac:dyDescent="0.4">
      <c r="A672" t="s">
        <v>2780</v>
      </c>
      <c r="B672" t="s">
        <v>1750</v>
      </c>
      <c r="C672" t="s">
        <v>18</v>
      </c>
      <c r="D672" t="s">
        <v>2781</v>
      </c>
      <c r="E672" t="s">
        <v>1094</v>
      </c>
      <c r="F672">
        <v>58</v>
      </c>
      <c r="G672">
        <v>24</v>
      </c>
      <c r="H672">
        <v>25</v>
      </c>
      <c r="I672" t="s">
        <v>591</v>
      </c>
      <c r="J672" t="s">
        <v>301</v>
      </c>
      <c r="K672" t="s">
        <v>341</v>
      </c>
      <c r="L672" t="s">
        <v>549</v>
      </c>
      <c r="M672" t="s">
        <v>2782</v>
      </c>
      <c r="N672">
        <v>75</v>
      </c>
      <c r="O672">
        <v>26</v>
      </c>
      <c r="P672" t="s">
        <v>51</v>
      </c>
    </row>
    <row r="673" spans="1:16" x14ac:dyDescent="0.4">
      <c r="A673" t="s">
        <v>2783</v>
      </c>
      <c r="B673" t="s">
        <v>76</v>
      </c>
      <c r="C673" t="s">
        <v>77</v>
      </c>
      <c r="D673" t="s">
        <v>2784</v>
      </c>
      <c r="E673" t="s">
        <v>2785</v>
      </c>
      <c r="F673">
        <v>88</v>
      </c>
      <c r="G673">
        <v>22</v>
      </c>
      <c r="H673">
        <v>61</v>
      </c>
      <c r="I673" t="s">
        <v>71</v>
      </c>
      <c r="J673" s="1">
        <v>45748</v>
      </c>
      <c r="K673" t="s">
        <v>842</v>
      </c>
      <c r="L673" s="1">
        <v>45871</v>
      </c>
      <c r="M673" t="s">
        <v>2786</v>
      </c>
      <c r="N673">
        <v>54</v>
      </c>
      <c r="O673">
        <v>100</v>
      </c>
      <c r="P673" t="s">
        <v>26</v>
      </c>
    </row>
    <row r="674" spans="1:16" x14ac:dyDescent="0.4">
      <c r="A674" t="s">
        <v>2787</v>
      </c>
      <c r="B674" t="s">
        <v>774</v>
      </c>
      <c r="C674" t="s">
        <v>18</v>
      </c>
      <c r="D674" t="s">
        <v>2788</v>
      </c>
      <c r="E674" t="s">
        <v>1668</v>
      </c>
      <c r="F674">
        <v>54</v>
      </c>
      <c r="G674">
        <v>53</v>
      </c>
      <c r="H674">
        <v>33</v>
      </c>
      <c r="I674" t="s">
        <v>466</v>
      </c>
      <c r="J674" s="1">
        <v>45477</v>
      </c>
      <c r="K674" t="s">
        <v>719</v>
      </c>
      <c r="L674" s="1">
        <v>45419</v>
      </c>
      <c r="M674" t="s">
        <v>2789</v>
      </c>
      <c r="N674">
        <v>94</v>
      </c>
      <c r="O674">
        <v>82</v>
      </c>
      <c r="P674" t="s">
        <v>42</v>
      </c>
    </row>
    <row r="675" spans="1:16" x14ac:dyDescent="0.4">
      <c r="A675" t="s">
        <v>2790</v>
      </c>
      <c r="B675" t="s">
        <v>885</v>
      </c>
      <c r="C675" t="s">
        <v>18</v>
      </c>
      <c r="D675" t="s">
        <v>2791</v>
      </c>
      <c r="E675" t="s">
        <v>2164</v>
      </c>
      <c r="F675">
        <v>64</v>
      </c>
      <c r="G675">
        <v>10</v>
      </c>
      <c r="H675">
        <v>100</v>
      </c>
      <c r="I675" t="s">
        <v>71</v>
      </c>
      <c r="J675" t="s">
        <v>108</v>
      </c>
      <c r="K675" s="1">
        <v>45418</v>
      </c>
      <c r="L675" t="s">
        <v>526</v>
      </c>
      <c r="M675" t="s">
        <v>2792</v>
      </c>
      <c r="N675">
        <v>97</v>
      </c>
      <c r="O675">
        <v>52</v>
      </c>
      <c r="P675" t="s">
        <v>51</v>
      </c>
    </row>
    <row r="676" spans="1:16" x14ac:dyDescent="0.4">
      <c r="A676" t="s">
        <v>2793</v>
      </c>
      <c r="B676" t="s">
        <v>1354</v>
      </c>
      <c r="C676" t="s">
        <v>77</v>
      </c>
      <c r="D676" t="s">
        <v>2794</v>
      </c>
      <c r="E676" t="s">
        <v>1411</v>
      </c>
      <c r="F676">
        <v>12</v>
      </c>
      <c r="G676">
        <v>54</v>
      </c>
      <c r="H676">
        <v>48</v>
      </c>
      <c r="I676" t="s">
        <v>91</v>
      </c>
      <c r="J676" s="1">
        <v>45454</v>
      </c>
      <c r="K676" t="s">
        <v>230</v>
      </c>
      <c r="L676" t="s">
        <v>335</v>
      </c>
      <c r="M676" t="s">
        <v>2795</v>
      </c>
      <c r="N676">
        <v>31</v>
      </c>
      <c r="O676">
        <v>88</v>
      </c>
      <c r="P676" t="s">
        <v>42</v>
      </c>
    </row>
    <row r="677" spans="1:16" x14ac:dyDescent="0.4">
      <c r="A677" t="s">
        <v>2796</v>
      </c>
      <c r="B677" t="s">
        <v>304</v>
      </c>
      <c r="C677" t="s">
        <v>54</v>
      </c>
      <c r="D677" t="s">
        <v>2797</v>
      </c>
      <c r="E677" t="s">
        <v>20</v>
      </c>
      <c r="F677">
        <v>61</v>
      </c>
      <c r="G677">
        <v>14</v>
      </c>
      <c r="H677">
        <v>49</v>
      </c>
      <c r="I677" t="s">
        <v>2798</v>
      </c>
      <c r="J677" s="1">
        <v>45571</v>
      </c>
      <c r="K677" s="1">
        <v>45638</v>
      </c>
      <c r="L677" t="s">
        <v>915</v>
      </c>
      <c r="M677" t="s">
        <v>2799</v>
      </c>
      <c r="N677">
        <v>74</v>
      </c>
      <c r="O677">
        <v>35</v>
      </c>
      <c r="P677" t="s">
        <v>26</v>
      </c>
    </row>
    <row r="678" spans="1:16" x14ac:dyDescent="0.4">
      <c r="A678" t="s">
        <v>2800</v>
      </c>
      <c r="B678" t="s">
        <v>218</v>
      </c>
      <c r="C678" t="s">
        <v>112</v>
      </c>
      <c r="D678" t="s">
        <v>2801</v>
      </c>
      <c r="E678" t="s">
        <v>791</v>
      </c>
      <c r="F678">
        <v>28</v>
      </c>
      <c r="G678">
        <v>62</v>
      </c>
      <c r="H678">
        <v>81</v>
      </c>
      <c r="I678" t="s">
        <v>220</v>
      </c>
      <c r="J678" t="s">
        <v>909</v>
      </c>
      <c r="K678" t="s">
        <v>1110</v>
      </c>
      <c r="L678" s="1">
        <v>45483</v>
      </c>
      <c r="M678" t="s">
        <v>2802</v>
      </c>
      <c r="N678">
        <v>28</v>
      </c>
      <c r="O678">
        <v>30</v>
      </c>
      <c r="P678" t="s">
        <v>26</v>
      </c>
    </row>
    <row r="679" spans="1:16" x14ac:dyDescent="0.4">
      <c r="A679" t="s">
        <v>2803</v>
      </c>
      <c r="B679" t="s">
        <v>161</v>
      </c>
      <c r="C679" t="s">
        <v>54</v>
      </c>
      <c r="D679" t="s">
        <v>2804</v>
      </c>
      <c r="E679" t="s">
        <v>1520</v>
      </c>
      <c r="F679">
        <v>23</v>
      </c>
      <c r="G679">
        <v>6</v>
      </c>
      <c r="H679">
        <v>40</v>
      </c>
      <c r="I679" t="s">
        <v>71</v>
      </c>
      <c r="J679" t="s">
        <v>300</v>
      </c>
      <c r="K679" t="s">
        <v>1057</v>
      </c>
      <c r="L679" t="s">
        <v>792</v>
      </c>
      <c r="M679" t="s">
        <v>2805</v>
      </c>
      <c r="N679">
        <v>95</v>
      </c>
      <c r="O679">
        <v>24</v>
      </c>
      <c r="P679" t="s">
        <v>42</v>
      </c>
    </row>
    <row r="680" spans="1:16" x14ac:dyDescent="0.4">
      <c r="A680" t="s">
        <v>2806</v>
      </c>
      <c r="B680" t="s">
        <v>588</v>
      </c>
      <c r="C680" t="s">
        <v>54</v>
      </c>
      <c r="D680" t="s">
        <v>2807</v>
      </c>
      <c r="E680" t="s">
        <v>284</v>
      </c>
      <c r="F680">
        <v>87</v>
      </c>
      <c r="G680">
        <v>51</v>
      </c>
      <c r="H680">
        <v>67</v>
      </c>
      <c r="I680" t="s">
        <v>591</v>
      </c>
      <c r="J680" s="1">
        <v>45839</v>
      </c>
      <c r="K680" s="1">
        <v>45418</v>
      </c>
      <c r="L680" s="1">
        <v>45448</v>
      </c>
      <c r="M680" t="s">
        <v>2808</v>
      </c>
      <c r="N680">
        <v>55</v>
      </c>
      <c r="O680">
        <v>100</v>
      </c>
      <c r="P680" t="s">
        <v>42</v>
      </c>
    </row>
    <row r="681" spans="1:16" x14ac:dyDescent="0.4">
      <c r="A681" t="s">
        <v>2809</v>
      </c>
      <c r="B681" t="s">
        <v>989</v>
      </c>
      <c r="C681" t="s">
        <v>29</v>
      </c>
      <c r="D681" t="s">
        <v>2810</v>
      </c>
      <c r="E681" t="s">
        <v>1714</v>
      </c>
      <c r="F681">
        <v>59</v>
      </c>
      <c r="G681">
        <v>31</v>
      </c>
      <c r="H681">
        <v>3</v>
      </c>
      <c r="I681" t="s">
        <v>591</v>
      </c>
      <c r="J681" t="s">
        <v>434</v>
      </c>
      <c r="K681" t="s">
        <v>299</v>
      </c>
      <c r="L681" t="s">
        <v>548</v>
      </c>
      <c r="M681" t="s">
        <v>2811</v>
      </c>
      <c r="N681">
        <v>48</v>
      </c>
      <c r="O681">
        <v>51</v>
      </c>
      <c r="P681" t="s">
        <v>51</v>
      </c>
    </row>
    <row r="682" spans="1:16" x14ac:dyDescent="0.4">
      <c r="A682" t="s">
        <v>2812</v>
      </c>
      <c r="B682" t="s">
        <v>994</v>
      </c>
      <c r="C682" t="s">
        <v>54</v>
      </c>
      <c r="D682" t="s">
        <v>2813</v>
      </c>
      <c r="E682" t="s">
        <v>62</v>
      </c>
      <c r="F682">
        <v>13</v>
      </c>
      <c r="G682">
        <v>88</v>
      </c>
      <c r="H682">
        <v>11</v>
      </c>
      <c r="I682" t="s">
        <v>85</v>
      </c>
      <c r="J682" t="s">
        <v>229</v>
      </c>
      <c r="K682" s="1">
        <v>45417</v>
      </c>
      <c r="L682" t="s">
        <v>524</v>
      </c>
      <c r="M682" t="s">
        <v>2814</v>
      </c>
      <c r="N682">
        <v>100</v>
      </c>
      <c r="O682">
        <v>52</v>
      </c>
      <c r="P682" t="s">
        <v>42</v>
      </c>
    </row>
    <row r="683" spans="1:16" x14ac:dyDescent="0.4">
      <c r="A683" t="s">
        <v>2815</v>
      </c>
      <c r="B683" t="s">
        <v>722</v>
      </c>
      <c r="C683" t="s">
        <v>54</v>
      </c>
      <c r="D683" t="s">
        <v>2816</v>
      </c>
      <c r="E683" t="s">
        <v>560</v>
      </c>
      <c r="F683">
        <v>81</v>
      </c>
      <c r="G683">
        <v>87</v>
      </c>
      <c r="H683">
        <v>15</v>
      </c>
      <c r="I683" t="s">
        <v>39</v>
      </c>
      <c r="J683" s="1">
        <v>45870</v>
      </c>
      <c r="K683" t="s">
        <v>286</v>
      </c>
      <c r="L683" s="1">
        <v>45544</v>
      </c>
      <c r="M683" t="s">
        <v>2817</v>
      </c>
      <c r="N683">
        <v>94</v>
      </c>
      <c r="O683">
        <v>10</v>
      </c>
      <c r="P683" t="s">
        <v>42</v>
      </c>
    </row>
    <row r="684" spans="1:16" x14ac:dyDescent="0.4">
      <c r="A684" t="s">
        <v>2818</v>
      </c>
      <c r="B684" t="s">
        <v>386</v>
      </c>
      <c r="C684" t="s">
        <v>112</v>
      </c>
      <c r="D684" t="s">
        <v>2819</v>
      </c>
      <c r="E684" t="s">
        <v>977</v>
      </c>
      <c r="F684">
        <v>61</v>
      </c>
      <c r="G684">
        <v>77</v>
      </c>
      <c r="H684">
        <v>45</v>
      </c>
      <c r="I684" t="s">
        <v>71</v>
      </c>
      <c r="J684" t="s">
        <v>549</v>
      </c>
      <c r="K684" t="s">
        <v>462</v>
      </c>
      <c r="L684" t="s">
        <v>165</v>
      </c>
      <c r="M684" t="s">
        <v>2820</v>
      </c>
      <c r="N684">
        <v>51</v>
      </c>
      <c r="O684">
        <v>48</v>
      </c>
      <c r="P684" t="s">
        <v>42</v>
      </c>
    </row>
    <row r="685" spans="1:16" x14ac:dyDescent="0.4">
      <c r="A685" t="s">
        <v>2821</v>
      </c>
      <c r="B685" t="s">
        <v>425</v>
      </c>
      <c r="C685" t="s">
        <v>54</v>
      </c>
      <c r="D685" t="s">
        <v>2822</v>
      </c>
      <c r="E685" t="s">
        <v>2115</v>
      </c>
      <c r="F685">
        <v>80</v>
      </c>
      <c r="G685">
        <v>91</v>
      </c>
      <c r="H685">
        <v>36</v>
      </c>
      <c r="I685" t="s">
        <v>47</v>
      </c>
      <c r="J685" t="s">
        <v>561</v>
      </c>
      <c r="K685" s="1">
        <v>45511</v>
      </c>
      <c r="L685" t="s">
        <v>1272</v>
      </c>
      <c r="M685" t="s">
        <v>2823</v>
      </c>
      <c r="N685">
        <v>81</v>
      </c>
      <c r="O685">
        <v>74</v>
      </c>
      <c r="P685" t="s">
        <v>51</v>
      </c>
    </row>
    <row r="686" spans="1:16" x14ac:dyDescent="0.4">
      <c r="A686" t="s">
        <v>2824</v>
      </c>
      <c r="B686" t="s">
        <v>1406</v>
      </c>
      <c r="C686" t="s">
        <v>18</v>
      </c>
      <c r="D686" t="s">
        <v>2825</v>
      </c>
      <c r="E686" t="s">
        <v>2449</v>
      </c>
      <c r="F686">
        <v>39</v>
      </c>
      <c r="G686">
        <v>57</v>
      </c>
      <c r="H686">
        <v>54</v>
      </c>
      <c r="I686" t="s">
        <v>71</v>
      </c>
      <c r="J686" s="1">
        <v>45455</v>
      </c>
      <c r="K686" s="1">
        <v>45446</v>
      </c>
      <c r="L686" s="1">
        <v>45604</v>
      </c>
      <c r="M686" t="s">
        <v>2826</v>
      </c>
      <c r="N686">
        <v>77</v>
      </c>
      <c r="O686">
        <v>32</v>
      </c>
      <c r="P686" t="s">
        <v>51</v>
      </c>
    </row>
    <row r="687" spans="1:16" x14ac:dyDescent="0.4">
      <c r="A687" t="s">
        <v>2827</v>
      </c>
      <c r="B687" t="s">
        <v>184</v>
      </c>
      <c r="D687" t="s">
        <v>2828</v>
      </c>
      <c r="E687" t="s">
        <v>729</v>
      </c>
      <c r="F687">
        <v>69</v>
      </c>
      <c r="G687">
        <v>21</v>
      </c>
      <c r="H687">
        <v>68</v>
      </c>
      <c r="I687" t="s">
        <v>2829</v>
      </c>
      <c r="J687" t="s">
        <v>701</v>
      </c>
      <c r="K687" t="s">
        <v>402</v>
      </c>
      <c r="L687" t="s">
        <v>121</v>
      </c>
      <c r="M687" t="s">
        <v>2830</v>
      </c>
      <c r="N687">
        <v>36</v>
      </c>
      <c r="O687">
        <v>35</v>
      </c>
      <c r="P687" t="s">
        <v>26</v>
      </c>
    </row>
    <row r="688" spans="1:16" x14ac:dyDescent="0.4">
      <c r="A688" t="s">
        <v>2831</v>
      </c>
      <c r="B688" t="s">
        <v>76</v>
      </c>
      <c r="C688" t="s">
        <v>77</v>
      </c>
      <c r="D688" t="s">
        <v>2832</v>
      </c>
      <c r="E688" t="s">
        <v>2833</v>
      </c>
      <c r="F688">
        <v>60</v>
      </c>
      <c r="G688">
        <v>43</v>
      </c>
      <c r="H688">
        <v>32</v>
      </c>
      <c r="I688" t="s">
        <v>71</v>
      </c>
      <c r="J688" s="1">
        <v>45419</v>
      </c>
      <c r="K688" s="1">
        <v>45392</v>
      </c>
      <c r="L688" s="1">
        <v>45542</v>
      </c>
      <c r="M688" t="s">
        <v>2834</v>
      </c>
      <c r="N688">
        <v>77</v>
      </c>
      <c r="O688">
        <v>60</v>
      </c>
      <c r="P688" t="s">
        <v>51</v>
      </c>
    </row>
    <row r="689" spans="1:16" x14ac:dyDescent="0.4">
      <c r="A689" t="s">
        <v>2835</v>
      </c>
      <c r="B689" t="s">
        <v>839</v>
      </c>
      <c r="C689" t="s">
        <v>77</v>
      </c>
      <c r="D689" t="s">
        <v>2836</v>
      </c>
      <c r="E689" t="s">
        <v>2837</v>
      </c>
      <c r="F689">
        <v>22</v>
      </c>
      <c r="G689">
        <v>43</v>
      </c>
      <c r="H689">
        <v>3</v>
      </c>
      <c r="I689" t="s">
        <v>2081</v>
      </c>
      <c r="J689" s="1">
        <v>45659</v>
      </c>
      <c r="K689" t="s">
        <v>955</v>
      </c>
      <c r="L689" s="1">
        <v>45514</v>
      </c>
      <c r="M689" t="s">
        <v>2838</v>
      </c>
      <c r="N689">
        <v>45</v>
      </c>
      <c r="O689">
        <v>87</v>
      </c>
      <c r="P689" t="s">
        <v>42</v>
      </c>
    </row>
    <row r="690" spans="1:16" x14ac:dyDescent="0.4">
      <c r="A690" t="s">
        <v>2839</v>
      </c>
      <c r="B690" t="s">
        <v>669</v>
      </c>
      <c r="C690" t="s">
        <v>18</v>
      </c>
      <c r="D690" t="s">
        <v>2840</v>
      </c>
      <c r="E690" t="s">
        <v>2841</v>
      </c>
      <c r="F690">
        <v>79</v>
      </c>
      <c r="G690">
        <v>47</v>
      </c>
      <c r="H690">
        <v>51</v>
      </c>
      <c r="I690" t="s">
        <v>671</v>
      </c>
      <c r="J690" t="s">
        <v>1357</v>
      </c>
      <c r="K690" t="s">
        <v>280</v>
      </c>
      <c r="L690" t="s">
        <v>366</v>
      </c>
      <c r="M690" t="s">
        <v>2842</v>
      </c>
      <c r="N690">
        <v>83</v>
      </c>
      <c r="O690">
        <v>69</v>
      </c>
      <c r="P690" t="s">
        <v>26</v>
      </c>
    </row>
    <row r="691" spans="1:16" x14ac:dyDescent="0.4">
      <c r="A691" t="s">
        <v>2843</v>
      </c>
      <c r="B691" t="s">
        <v>476</v>
      </c>
      <c r="C691" t="s">
        <v>54</v>
      </c>
      <c r="D691" t="s">
        <v>2844</v>
      </c>
      <c r="E691" t="s">
        <v>2341</v>
      </c>
      <c r="F691">
        <v>47</v>
      </c>
      <c r="G691">
        <v>63</v>
      </c>
      <c r="H691">
        <v>86</v>
      </c>
      <c r="I691" t="s">
        <v>57</v>
      </c>
      <c r="J691" t="s">
        <v>148</v>
      </c>
      <c r="K691" t="s">
        <v>827</v>
      </c>
      <c r="L691" s="1">
        <v>45478</v>
      </c>
      <c r="M691" t="s">
        <v>2845</v>
      </c>
      <c r="N691">
        <v>76</v>
      </c>
      <c r="O691">
        <v>29</v>
      </c>
      <c r="P691" t="s">
        <v>51</v>
      </c>
    </row>
    <row r="692" spans="1:16" x14ac:dyDescent="0.4">
      <c r="A692" t="s">
        <v>2846</v>
      </c>
      <c r="B692" t="s">
        <v>621</v>
      </c>
      <c r="C692" t="s">
        <v>18</v>
      </c>
      <c r="D692" t="s">
        <v>2847</v>
      </c>
      <c r="E692" t="s">
        <v>2572</v>
      </c>
      <c r="F692">
        <v>20</v>
      </c>
      <c r="G692">
        <v>25</v>
      </c>
      <c r="H692">
        <v>73</v>
      </c>
      <c r="I692" t="s">
        <v>624</v>
      </c>
      <c r="J692" s="1">
        <v>45514</v>
      </c>
      <c r="K692" s="1">
        <v>45329</v>
      </c>
      <c r="L692" t="s">
        <v>935</v>
      </c>
      <c r="M692" t="s">
        <v>2848</v>
      </c>
      <c r="N692">
        <v>78</v>
      </c>
      <c r="O692">
        <v>1</v>
      </c>
      <c r="P692" t="s">
        <v>26</v>
      </c>
    </row>
    <row r="693" spans="1:16" x14ac:dyDescent="0.4">
      <c r="A693" t="s">
        <v>2849</v>
      </c>
      <c r="B693" t="s">
        <v>799</v>
      </c>
      <c r="C693" t="s">
        <v>77</v>
      </c>
      <c r="D693" t="s">
        <v>2850</v>
      </c>
      <c r="E693" t="s">
        <v>178</v>
      </c>
      <c r="F693">
        <v>41</v>
      </c>
      <c r="G693">
        <v>22</v>
      </c>
      <c r="H693">
        <v>11</v>
      </c>
      <c r="I693" t="s">
        <v>134</v>
      </c>
      <c r="J693" t="s">
        <v>792</v>
      </c>
      <c r="K693" t="s">
        <v>956</v>
      </c>
      <c r="L693" t="s">
        <v>49</v>
      </c>
      <c r="M693" t="s">
        <v>2851</v>
      </c>
      <c r="N693">
        <v>86</v>
      </c>
      <c r="O693">
        <v>30</v>
      </c>
      <c r="P693" t="s">
        <v>51</v>
      </c>
    </row>
    <row r="694" spans="1:16" x14ac:dyDescent="0.4">
      <c r="A694" t="s">
        <v>2852</v>
      </c>
      <c r="B694" t="s">
        <v>677</v>
      </c>
      <c r="C694" t="s">
        <v>169</v>
      </c>
      <c r="D694" t="s">
        <v>2853</v>
      </c>
      <c r="E694" t="s">
        <v>1880</v>
      </c>
      <c r="F694">
        <v>46</v>
      </c>
      <c r="G694">
        <v>80</v>
      </c>
      <c r="H694">
        <v>88</v>
      </c>
      <c r="I694" t="s">
        <v>134</v>
      </c>
      <c r="J694" t="s">
        <v>24</v>
      </c>
      <c r="K694" s="1">
        <v>45479</v>
      </c>
      <c r="L694" t="s">
        <v>579</v>
      </c>
      <c r="M694" t="s">
        <v>2854</v>
      </c>
      <c r="N694">
        <v>62</v>
      </c>
      <c r="O694">
        <v>22</v>
      </c>
      <c r="P694" t="s">
        <v>26</v>
      </c>
    </row>
    <row r="695" spans="1:16" x14ac:dyDescent="0.4">
      <c r="A695" t="s">
        <v>2855</v>
      </c>
      <c r="B695" t="s">
        <v>607</v>
      </c>
      <c r="C695" t="s">
        <v>68</v>
      </c>
      <c r="D695" t="s">
        <v>2856</v>
      </c>
      <c r="E695" t="s">
        <v>460</v>
      </c>
      <c r="F695">
        <v>67</v>
      </c>
      <c r="G695">
        <v>57</v>
      </c>
      <c r="H695">
        <v>36</v>
      </c>
      <c r="I695" t="s">
        <v>466</v>
      </c>
      <c r="J695" s="1">
        <v>45330</v>
      </c>
      <c r="K695" s="1">
        <v>45569</v>
      </c>
      <c r="L695" t="s">
        <v>1129</v>
      </c>
      <c r="M695" t="s">
        <v>2857</v>
      </c>
      <c r="N695">
        <v>78</v>
      </c>
      <c r="O695">
        <v>60</v>
      </c>
      <c r="P695" t="s">
        <v>51</v>
      </c>
    </row>
    <row r="696" spans="1:16" x14ac:dyDescent="0.4">
      <c r="A696" t="s">
        <v>2858</v>
      </c>
      <c r="B696" t="s">
        <v>517</v>
      </c>
      <c r="C696" t="s">
        <v>18</v>
      </c>
      <c r="D696" t="s">
        <v>2859</v>
      </c>
      <c r="E696" t="s">
        <v>2860</v>
      </c>
      <c r="F696">
        <v>51</v>
      </c>
      <c r="G696">
        <v>19</v>
      </c>
      <c r="H696">
        <v>96</v>
      </c>
      <c r="I696" t="s">
        <v>21</v>
      </c>
      <c r="J696" t="s">
        <v>1418</v>
      </c>
      <c r="K696" s="1">
        <v>45902</v>
      </c>
      <c r="L696" t="s">
        <v>207</v>
      </c>
      <c r="M696" t="s">
        <v>2861</v>
      </c>
      <c r="N696">
        <v>73</v>
      </c>
      <c r="O696">
        <v>42</v>
      </c>
      <c r="P696" t="s">
        <v>51</v>
      </c>
    </row>
    <row r="697" spans="1:16" x14ac:dyDescent="0.4">
      <c r="A697" t="s">
        <v>2862</v>
      </c>
      <c r="B697" t="s">
        <v>103</v>
      </c>
      <c r="C697" t="s">
        <v>18</v>
      </c>
      <c r="D697" t="s">
        <v>2863</v>
      </c>
      <c r="E697" t="s">
        <v>1000</v>
      </c>
      <c r="F697">
        <v>42</v>
      </c>
      <c r="G697">
        <v>12</v>
      </c>
      <c r="H697">
        <v>28</v>
      </c>
      <c r="I697" t="s">
        <v>106</v>
      </c>
      <c r="J697" s="1">
        <v>45568</v>
      </c>
      <c r="K697" s="1">
        <v>45295</v>
      </c>
      <c r="L697" s="1">
        <v>45570</v>
      </c>
      <c r="M697" t="s">
        <v>2864</v>
      </c>
      <c r="N697">
        <v>80</v>
      </c>
      <c r="O697">
        <v>8</v>
      </c>
      <c r="P697" t="s">
        <v>26</v>
      </c>
    </row>
    <row r="698" spans="1:16" x14ac:dyDescent="0.4">
      <c r="A698" t="s">
        <v>2865</v>
      </c>
      <c r="B698" t="s">
        <v>943</v>
      </c>
      <c r="C698" t="s">
        <v>68</v>
      </c>
      <c r="D698" t="s">
        <v>2866</v>
      </c>
      <c r="E698" t="s">
        <v>2867</v>
      </c>
      <c r="F698">
        <v>85</v>
      </c>
      <c r="G698">
        <v>86</v>
      </c>
      <c r="H698">
        <v>21</v>
      </c>
      <c r="I698" t="s">
        <v>945</v>
      </c>
      <c r="J698" t="s">
        <v>127</v>
      </c>
      <c r="K698" t="s">
        <v>1049</v>
      </c>
      <c r="L698" t="s">
        <v>116</v>
      </c>
      <c r="M698" t="s">
        <v>2868</v>
      </c>
      <c r="N698">
        <v>78</v>
      </c>
      <c r="O698">
        <v>53</v>
      </c>
      <c r="P698" t="s">
        <v>42</v>
      </c>
    </row>
    <row r="699" spans="1:16" x14ac:dyDescent="0.4">
      <c r="A699" t="s">
        <v>2869</v>
      </c>
      <c r="B699" t="s">
        <v>1086</v>
      </c>
      <c r="C699" t="s">
        <v>68</v>
      </c>
      <c r="D699" t="s">
        <v>2870</v>
      </c>
      <c r="E699" t="s">
        <v>968</v>
      </c>
      <c r="F699">
        <v>23</v>
      </c>
      <c r="G699">
        <v>43</v>
      </c>
      <c r="H699">
        <v>75</v>
      </c>
      <c r="I699" t="s">
        <v>71</v>
      </c>
      <c r="J699" s="1">
        <v>45515</v>
      </c>
      <c r="K699" t="s">
        <v>969</v>
      </c>
      <c r="L699" s="1">
        <v>45355</v>
      </c>
      <c r="M699" t="s">
        <v>2871</v>
      </c>
      <c r="N699">
        <v>91</v>
      </c>
      <c r="O699">
        <v>86</v>
      </c>
      <c r="P699" t="s">
        <v>26</v>
      </c>
    </row>
    <row r="700" spans="1:16" x14ac:dyDescent="0.4">
      <c r="A700" t="s">
        <v>2872</v>
      </c>
      <c r="B700" t="s">
        <v>498</v>
      </c>
      <c r="C700" t="s">
        <v>54</v>
      </c>
      <c r="D700" t="s">
        <v>2873</v>
      </c>
      <c r="E700" t="s">
        <v>2064</v>
      </c>
      <c r="F700">
        <v>84</v>
      </c>
      <c r="G700">
        <v>26</v>
      </c>
      <c r="H700">
        <v>37</v>
      </c>
      <c r="I700" t="s">
        <v>21</v>
      </c>
      <c r="J700" t="s">
        <v>643</v>
      </c>
      <c r="K700" t="s">
        <v>135</v>
      </c>
      <c r="L700" t="s">
        <v>336</v>
      </c>
      <c r="M700" t="s">
        <v>2874</v>
      </c>
      <c r="N700">
        <v>46</v>
      </c>
      <c r="O700">
        <v>67</v>
      </c>
      <c r="P700" t="s">
        <v>42</v>
      </c>
    </row>
    <row r="701" spans="1:16" x14ac:dyDescent="0.4">
      <c r="A701" t="s">
        <v>2875</v>
      </c>
      <c r="B701" t="s">
        <v>82</v>
      </c>
      <c r="C701" t="s">
        <v>54</v>
      </c>
      <c r="D701" t="s">
        <v>2876</v>
      </c>
      <c r="E701" t="s">
        <v>2877</v>
      </c>
      <c r="F701">
        <v>28</v>
      </c>
      <c r="G701">
        <v>38</v>
      </c>
      <c r="H701">
        <v>23</v>
      </c>
      <c r="I701" t="s">
        <v>2878</v>
      </c>
      <c r="J701" t="s">
        <v>267</v>
      </c>
      <c r="K701" t="s">
        <v>1179</v>
      </c>
      <c r="L701" s="1">
        <v>45512</v>
      </c>
      <c r="M701" t="s">
        <v>2879</v>
      </c>
      <c r="N701">
        <v>48</v>
      </c>
      <c r="O701">
        <v>56</v>
      </c>
      <c r="P701" t="s">
        <v>42</v>
      </c>
    </row>
    <row r="702" spans="1:16" x14ac:dyDescent="0.4">
      <c r="A702" t="s">
        <v>2880</v>
      </c>
      <c r="B702" t="s">
        <v>386</v>
      </c>
      <c r="C702" t="s">
        <v>112</v>
      </c>
      <c r="D702" t="s">
        <v>2881</v>
      </c>
      <c r="E702" t="s">
        <v>1553</v>
      </c>
      <c r="F702">
        <v>62</v>
      </c>
      <c r="G702">
        <v>49</v>
      </c>
      <c r="H702">
        <v>38</v>
      </c>
      <c r="I702" t="s">
        <v>71</v>
      </c>
      <c r="J702" t="s">
        <v>1311</v>
      </c>
      <c r="K702" t="s">
        <v>33</v>
      </c>
      <c r="L702" s="1">
        <v>45545</v>
      </c>
      <c r="M702" t="s">
        <v>2882</v>
      </c>
      <c r="N702">
        <v>42</v>
      </c>
      <c r="O702">
        <v>44</v>
      </c>
      <c r="P702" t="s">
        <v>26</v>
      </c>
    </row>
    <row r="703" spans="1:16" x14ac:dyDescent="0.4">
      <c r="A703" t="s">
        <v>2883</v>
      </c>
      <c r="B703" t="s">
        <v>76</v>
      </c>
      <c r="C703" t="s">
        <v>77</v>
      </c>
      <c r="D703" t="s">
        <v>2884</v>
      </c>
      <c r="E703" t="s">
        <v>1492</v>
      </c>
      <c r="F703">
        <v>65</v>
      </c>
      <c r="G703">
        <v>94</v>
      </c>
      <c r="H703">
        <v>4</v>
      </c>
      <c r="I703" t="s">
        <v>71</v>
      </c>
      <c r="J703" t="s">
        <v>609</v>
      </c>
      <c r="K703" t="s">
        <v>585</v>
      </c>
      <c r="L703" t="s">
        <v>158</v>
      </c>
      <c r="M703" t="s">
        <v>2885</v>
      </c>
      <c r="N703">
        <v>66</v>
      </c>
      <c r="O703">
        <v>36</v>
      </c>
      <c r="P703" t="s">
        <v>42</v>
      </c>
    </row>
    <row r="704" spans="1:16" x14ac:dyDescent="0.4">
      <c r="A704" t="s">
        <v>2886</v>
      </c>
      <c r="B704" t="s">
        <v>1104</v>
      </c>
      <c r="C704" t="s">
        <v>54</v>
      </c>
      <c r="D704" t="s">
        <v>2887</v>
      </c>
      <c r="E704" t="s">
        <v>2888</v>
      </c>
      <c r="F704">
        <v>18</v>
      </c>
      <c r="G704">
        <v>8</v>
      </c>
      <c r="H704">
        <v>68</v>
      </c>
      <c r="I704" t="s">
        <v>106</v>
      </c>
      <c r="J704" s="1">
        <v>45328</v>
      </c>
      <c r="K704" s="1">
        <v>45361</v>
      </c>
      <c r="L704" t="s">
        <v>637</v>
      </c>
      <c r="M704" t="s">
        <v>2889</v>
      </c>
      <c r="N704">
        <v>54</v>
      </c>
      <c r="O704">
        <v>45</v>
      </c>
      <c r="P704" t="s">
        <v>42</v>
      </c>
    </row>
    <row r="705" spans="1:16" x14ac:dyDescent="0.4">
      <c r="A705" t="s">
        <v>2890</v>
      </c>
      <c r="B705" t="s">
        <v>2592</v>
      </c>
      <c r="C705" t="s">
        <v>77</v>
      </c>
      <c r="D705" t="s">
        <v>2891</v>
      </c>
      <c r="E705" t="s">
        <v>2892</v>
      </c>
      <c r="F705">
        <v>70</v>
      </c>
      <c r="G705">
        <v>29</v>
      </c>
      <c r="H705">
        <v>24</v>
      </c>
      <c r="I705" t="s">
        <v>2595</v>
      </c>
      <c r="J705" t="s">
        <v>1125</v>
      </c>
      <c r="K705" t="s">
        <v>1272</v>
      </c>
      <c r="L705" t="s">
        <v>712</v>
      </c>
      <c r="M705" t="s">
        <v>2893</v>
      </c>
      <c r="N705">
        <v>62</v>
      </c>
      <c r="O705">
        <v>55</v>
      </c>
      <c r="P705" t="s">
        <v>42</v>
      </c>
    </row>
    <row r="706" spans="1:16" x14ac:dyDescent="0.4">
      <c r="A706" t="s">
        <v>2894</v>
      </c>
      <c r="B706" t="s">
        <v>912</v>
      </c>
      <c r="C706" t="s">
        <v>68</v>
      </c>
      <c r="D706" t="s">
        <v>2895</v>
      </c>
      <c r="E706" t="s">
        <v>1258</v>
      </c>
      <c r="F706">
        <v>23</v>
      </c>
      <c r="G706">
        <v>71</v>
      </c>
      <c r="H706">
        <v>32</v>
      </c>
      <c r="I706" t="s">
        <v>106</v>
      </c>
      <c r="J706" t="s">
        <v>1482</v>
      </c>
      <c r="K706" t="s">
        <v>467</v>
      </c>
      <c r="L706" t="s">
        <v>228</v>
      </c>
      <c r="M706" t="s">
        <v>2896</v>
      </c>
      <c r="N706">
        <v>63</v>
      </c>
      <c r="O706">
        <v>23</v>
      </c>
      <c r="P706" t="s">
        <v>26</v>
      </c>
    </row>
    <row r="707" spans="1:16" x14ac:dyDescent="0.4">
      <c r="A707" t="s">
        <v>2897</v>
      </c>
      <c r="B707" t="s">
        <v>621</v>
      </c>
      <c r="C707" t="s">
        <v>18</v>
      </c>
      <c r="D707" t="s">
        <v>2898</v>
      </c>
      <c r="E707" t="s">
        <v>1271</v>
      </c>
      <c r="F707">
        <v>26</v>
      </c>
      <c r="G707">
        <v>83</v>
      </c>
      <c r="H707">
        <v>24</v>
      </c>
      <c r="I707" t="s">
        <v>624</v>
      </c>
      <c r="J707" s="1">
        <v>45840</v>
      </c>
      <c r="K707" t="s">
        <v>654</v>
      </c>
      <c r="L707" t="s">
        <v>807</v>
      </c>
      <c r="M707" t="s">
        <v>2899</v>
      </c>
      <c r="N707">
        <v>75</v>
      </c>
      <c r="O707">
        <v>12</v>
      </c>
      <c r="P707" t="s">
        <v>42</v>
      </c>
    </row>
    <row r="708" spans="1:16" x14ac:dyDescent="0.4">
      <c r="A708" t="s">
        <v>2900</v>
      </c>
      <c r="B708" t="s">
        <v>989</v>
      </c>
      <c r="C708" t="s">
        <v>29</v>
      </c>
      <c r="D708" t="s">
        <v>2901</v>
      </c>
      <c r="E708" t="s">
        <v>2212</v>
      </c>
      <c r="F708">
        <v>20</v>
      </c>
      <c r="G708">
        <v>42</v>
      </c>
      <c r="H708">
        <v>45</v>
      </c>
      <c r="I708" t="s">
        <v>591</v>
      </c>
      <c r="J708" t="s">
        <v>1683</v>
      </c>
      <c r="K708" t="s">
        <v>1110</v>
      </c>
      <c r="L708" t="s">
        <v>40</v>
      </c>
      <c r="M708" t="s">
        <v>2902</v>
      </c>
      <c r="N708">
        <v>72</v>
      </c>
      <c r="O708">
        <v>28</v>
      </c>
      <c r="P708" t="s">
        <v>26</v>
      </c>
    </row>
    <row r="709" spans="1:16" x14ac:dyDescent="0.4">
      <c r="A709" t="s">
        <v>2903</v>
      </c>
      <c r="B709" t="s">
        <v>470</v>
      </c>
      <c r="C709" t="s">
        <v>77</v>
      </c>
      <c r="D709" t="s">
        <v>2904</v>
      </c>
      <c r="E709" t="s">
        <v>2905</v>
      </c>
      <c r="F709">
        <v>55</v>
      </c>
      <c r="G709">
        <v>58</v>
      </c>
      <c r="H709">
        <v>6</v>
      </c>
      <c r="I709" t="s">
        <v>1200</v>
      </c>
      <c r="J709" t="s">
        <v>719</v>
      </c>
      <c r="K709" s="1">
        <v>45633</v>
      </c>
      <c r="L709" t="s">
        <v>435</v>
      </c>
      <c r="M709" t="s">
        <v>2906</v>
      </c>
      <c r="N709">
        <v>48</v>
      </c>
      <c r="O709">
        <v>17</v>
      </c>
      <c r="P709" t="s">
        <v>26</v>
      </c>
    </row>
    <row r="710" spans="1:16" x14ac:dyDescent="0.4">
      <c r="A710" t="s">
        <v>2907</v>
      </c>
      <c r="B710" t="s">
        <v>984</v>
      </c>
      <c r="C710" t="s">
        <v>18</v>
      </c>
      <c r="D710" t="s">
        <v>2908</v>
      </c>
      <c r="E710" t="s">
        <v>2909</v>
      </c>
      <c r="F710">
        <v>82</v>
      </c>
      <c r="G710">
        <v>67</v>
      </c>
      <c r="H710">
        <v>67</v>
      </c>
      <c r="I710" t="s">
        <v>986</v>
      </c>
      <c r="J710" t="s">
        <v>718</v>
      </c>
      <c r="K710" s="1">
        <v>45480</v>
      </c>
      <c r="L710" t="s">
        <v>107</v>
      </c>
      <c r="M710" t="s">
        <v>2910</v>
      </c>
      <c r="N710">
        <v>26</v>
      </c>
      <c r="O710">
        <v>1</v>
      </c>
      <c r="P710" t="s">
        <v>42</v>
      </c>
    </row>
    <row r="711" spans="1:16" x14ac:dyDescent="0.4">
      <c r="A711" t="s">
        <v>2911</v>
      </c>
      <c r="B711" t="s">
        <v>1761</v>
      </c>
      <c r="C711" t="s">
        <v>169</v>
      </c>
      <c r="D711" t="s">
        <v>2912</v>
      </c>
      <c r="E711" t="s">
        <v>2913</v>
      </c>
      <c r="F711">
        <v>73</v>
      </c>
      <c r="G711">
        <v>12</v>
      </c>
      <c r="H711">
        <v>28</v>
      </c>
      <c r="I711" t="s">
        <v>320</v>
      </c>
      <c r="J711" t="s">
        <v>434</v>
      </c>
      <c r="K711" s="1">
        <v>45510</v>
      </c>
      <c r="L711" t="s">
        <v>1188</v>
      </c>
      <c r="M711" t="s">
        <v>2914</v>
      </c>
      <c r="N711">
        <v>89</v>
      </c>
      <c r="O711">
        <v>92</v>
      </c>
      <c r="P711" t="s">
        <v>51</v>
      </c>
    </row>
    <row r="712" spans="1:16" x14ac:dyDescent="0.4">
      <c r="A712" t="s">
        <v>2915</v>
      </c>
      <c r="B712" t="s">
        <v>458</v>
      </c>
      <c r="C712" t="s">
        <v>29</v>
      </c>
      <c r="D712" t="s">
        <v>2916</v>
      </c>
      <c r="E712" t="s">
        <v>2917</v>
      </c>
      <c r="F712">
        <v>81</v>
      </c>
      <c r="G712">
        <v>83</v>
      </c>
      <c r="H712">
        <v>36</v>
      </c>
      <c r="I712" t="s">
        <v>461</v>
      </c>
      <c r="J712" t="s">
        <v>1272</v>
      </c>
      <c r="K712" s="1">
        <v>45839</v>
      </c>
      <c r="L712" t="s">
        <v>2918</v>
      </c>
      <c r="M712" t="s">
        <v>2919</v>
      </c>
      <c r="N712">
        <v>74</v>
      </c>
      <c r="O712">
        <v>86</v>
      </c>
      <c r="P712" t="s">
        <v>42</v>
      </c>
    </row>
    <row r="713" spans="1:16" x14ac:dyDescent="0.4">
      <c r="A713" t="s">
        <v>2920</v>
      </c>
      <c r="B713" t="s">
        <v>271</v>
      </c>
      <c r="C713" t="s">
        <v>54</v>
      </c>
      <c r="D713" t="s">
        <v>2921</v>
      </c>
      <c r="E713" t="s">
        <v>1145</v>
      </c>
      <c r="F713">
        <v>20</v>
      </c>
      <c r="G713">
        <v>65</v>
      </c>
      <c r="H713">
        <v>61</v>
      </c>
      <c r="I713" t="s">
        <v>106</v>
      </c>
      <c r="J713" s="1">
        <v>45389</v>
      </c>
      <c r="K713" s="1">
        <v>45572</v>
      </c>
      <c r="L713" t="s">
        <v>1205</v>
      </c>
      <c r="M713" t="s">
        <v>2922</v>
      </c>
      <c r="N713">
        <v>51</v>
      </c>
      <c r="O713">
        <v>78</v>
      </c>
      <c r="P713" t="s">
        <v>51</v>
      </c>
    </row>
    <row r="714" spans="1:16" x14ac:dyDescent="0.4">
      <c r="A714" t="s">
        <v>2923</v>
      </c>
      <c r="B714" t="s">
        <v>318</v>
      </c>
      <c r="C714" t="s">
        <v>29</v>
      </c>
      <c r="D714" t="s">
        <v>2924</v>
      </c>
      <c r="E714" t="s">
        <v>1926</v>
      </c>
      <c r="F714">
        <v>78</v>
      </c>
      <c r="G714">
        <v>38</v>
      </c>
      <c r="H714">
        <v>27</v>
      </c>
      <c r="I714" t="s">
        <v>320</v>
      </c>
      <c r="J714" s="1">
        <v>45447</v>
      </c>
      <c r="K714" s="1">
        <v>45542</v>
      </c>
      <c r="L714" s="1">
        <v>45635</v>
      </c>
      <c r="M714" t="s">
        <v>2925</v>
      </c>
      <c r="N714">
        <v>54</v>
      </c>
      <c r="O714">
        <v>42</v>
      </c>
      <c r="P714" t="s">
        <v>51</v>
      </c>
    </row>
    <row r="715" spans="1:16" x14ac:dyDescent="0.4">
      <c r="A715" t="s">
        <v>2926</v>
      </c>
      <c r="B715" t="s">
        <v>533</v>
      </c>
      <c r="C715" t="s">
        <v>112</v>
      </c>
      <c r="D715" t="s">
        <v>2927</v>
      </c>
      <c r="E715" t="s">
        <v>2928</v>
      </c>
      <c r="F715">
        <v>84</v>
      </c>
      <c r="G715">
        <v>58</v>
      </c>
      <c r="H715">
        <v>28</v>
      </c>
      <c r="I715" t="s">
        <v>39</v>
      </c>
      <c r="J715" t="s">
        <v>49</v>
      </c>
      <c r="K715" s="1">
        <v>45749</v>
      </c>
      <c r="L715" t="s">
        <v>916</v>
      </c>
      <c r="M715" t="s">
        <v>2929</v>
      </c>
      <c r="N715">
        <v>51</v>
      </c>
      <c r="O715">
        <v>12</v>
      </c>
      <c r="P715" t="s">
        <v>51</v>
      </c>
    </row>
    <row r="716" spans="1:16" x14ac:dyDescent="0.4">
      <c r="A716" t="s">
        <v>2930</v>
      </c>
      <c r="B716" t="s">
        <v>67</v>
      </c>
      <c r="C716" t="s">
        <v>68</v>
      </c>
      <c r="D716" t="s">
        <v>2931</v>
      </c>
      <c r="E716" t="s">
        <v>227</v>
      </c>
      <c r="F716">
        <v>32</v>
      </c>
      <c r="G716">
        <v>38</v>
      </c>
      <c r="H716">
        <v>23</v>
      </c>
      <c r="I716" t="s">
        <v>71</v>
      </c>
      <c r="J716" t="s">
        <v>688</v>
      </c>
      <c r="K716" t="s">
        <v>33</v>
      </c>
      <c r="L716" s="1">
        <v>45690</v>
      </c>
      <c r="M716" t="s">
        <v>2932</v>
      </c>
      <c r="N716">
        <v>52</v>
      </c>
      <c r="O716">
        <v>11</v>
      </c>
      <c r="P716" t="s">
        <v>26</v>
      </c>
    </row>
    <row r="717" spans="1:16" x14ac:dyDescent="0.4">
      <c r="A717" t="s">
        <v>2933</v>
      </c>
      <c r="B717" t="s">
        <v>1821</v>
      </c>
      <c r="C717" t="s">
        <v>68</v>
      </c>
      <c r="D717" t="s">
        <v>2934</v>
      </c>
      <c r="E717" t="s">
        <v>2928</v>
      </c>
      <c r="F717">
        <v>90</v>
      </c>
      <c r="G717">
        <v>75</v>
      </c>
      <c r="H717">
        <v>6</v>
      </c>
      <c r="I717" t="s">
        <v>220</v>
      </c>
      <c r="J717" s="1">
        <v>45450</v>
      </c>
      <c r="K717" s="1">
        <v>45658</v>
      </c>
      <c r="L717" t="s">
        <v>826</v>
      </c>
      <c r="M717" t="s">
        <v>2935</v>
      </c>
      <c r="N717">
        <v>55</v>
      </c>
      <c r="O717">
        <v>64</v>
      </c>
      <c r="P717" t="s">
        <v>51</v>
      </c>
    </row>
    <row r="718" spans="1:16" x14ac:dyDescent="0.4">
      <c r="A718" t="s">
        <v>2936</v>
      </c>
      <c r="B718" t="s">
        <v>1455</v>
      </c>
      <c r="C718" t="s">
        <v>77</v>
      </c>
      <c r="D718" t="s">
        <v>2937</v>
      </c>
      <c r="E718" t="s">
        <v>1487</v>
      </c>
      <c r="F718">
        <v>70</v>
      </c>
      <c r="G718">
        <v>81</v>
      </c>
      <c r="H718">
        <v>75</v>
      </c>
      <c r="I718" t="s">
        <v>106</v>
      </c>
      <c r="J718" s="1">
        <v>45513</v>
      </c>
      <c r="K718" t="s">
        <v>135</v>
      </c>
      <c r="L718" t="s">
        <v>462</v>
      </c>
      <c r="M718" t="s">
        <v>2938</v>
      </c>
      <c r="N718">
        <v>24</v>
      </c>
      <c r="O718">
        <v>54</v>
      </c>
      <c r="P718" t="s">
        <v>42</v>
      </c>
    </row>
    <row r="719" spans="1:16" x14ac:dyDescent="0.4">
      <c r="A719" t="s">
        <v>2939</v>
      </c>
      <c r="B719" t="s">
        <v>498</v>
      </c>
      <c r="C719" t="s">
        <v>54</v>
      </c>
      <c r="D719" t="s">
        <v>2940</v>
      </c>
      <c r="E719" t="s">
        <v>2941</v>
      </c>
      <c r="F719">
        <v>90</v>
      </c>
      <c r="G719">
        <v>22</v>
      </c>
      <c r="H719">
        <v>20</v>
      </c>
      <c r="I719" t="s">
        <v>21</v>
      </c>
      <c r="J719" t="s">
        <v>127</v>
      </c>
      <c r="K719" t="s">
        <v>199</v>
      </c>
      <c r="L719" t="s">
        <v>193</v>
      </c>
      <c r="M719" t="s">
        <v>2942</v>
      </c>
      <c r="N719">
        <v>81</v>
      </c>
      <c r="O719">
        <v>88</v>
      </c>
      <c r="P719" t="s">
        <v>42</v>
      </c>
    </row>
    <row r="720" spans="1:16" x14ac:dyDescent="0.4">
      <c r="A720" t="s">
        <v>2943</v>
      </c>
      <c r="B720" t="s">
        <v>681</v>
      </c>
      <c r="C720" t="s">
        <v>54</v>
      </c>
      <c r="D720" t="s">
        <v>2944</v>
      </c>
      <c r="E720" t="s">
        <v>816</v>
      </c>
      <c r="F720">
        <v>100</v>
      </c>
      <c r="G720">
        <v>7</v>
      </c>
      <c r="H720">
        <v>14</v>
      </c>
      <c r="I720" t="s">
        <v>106</v>
      </c>
      <c r="J720" t="s">
        <v>1311</v>
      </c>
      <c r="K720" s="1">
        <v>45446</v>
      </c>
      <c r="L720" t="s">
        <v>915</v>
      </c>
      <c r="M720" t="s">
        <v>2945</v>
      </c>
      <c r="N720">
        <v>26</v>
      </c>
      <c r="O720">
        <v>33</v>
      </c>
      <c r="P720" t="s">
        <v>42</v>
      </c>
    </row>
    <row r="721" spans="1:16" x14ac:dyDescent="0.4">
      <c r="A721" t="s">
        <v>2946</v>
      </c>
      <c r="B721" t="s">
        <v>1406</v>
      </c>
      <c r="C721" t="s">
        <v>18</v>
      </c>
      <c r="D721" t="s">
        <v>2947</v>
      </c>
      <c r="E721" t="s">
        <v>1865</v>
      </c>
      <c r="F721">
        <v>89</v>
      </c>
      <c r="G721">
        <v>54</v>
      </c>
      <c r="H721">
        <v>15</v>
      </c>
      <c r="I721" t="s">
        <v>71</v>
      </c>
      <c r="J721" s="1">
        <v>45545</v>
      </c>
      <c r="K721" s="1">
        <v>45299</v>
      </c>
      <c r="L721" s="1">
        <v>45356</v>
      </c>
      <c r="M721" t="s">
        <v>2948</v>
      </c>
      <c r="N721">
        <v>64</v>
      </c>
      <c r="O721">
        <v>63</v>
      </c>
      <c r="P721" t="s">
        <v>51</v>
      </c>
    </row>
    <row r="722" spans="1:16" x14ac:dyDescent="0.4">
      <c r="A722" t="s">
        <v>2949</v>
      </c>
      <c r="B722" t="s">
        <v>984</v>
      </c>
      <c r="C722" t="s">
        <v>18</v>
      </c>
      <c r="D722" t="s">
        <v>2950</v>
      </c>
      <c r="E722" t="s">
        <v>62</v>
      </c>
      <c r="F722">
        <v>38</v>
      </c>
      <c r="G722">
        <v>43</v>
      </c>
      <c r="H722">
        <v>28</v>
      </c>
      <c r="I722" t="s">
        <v>2951</v>
      </c>
      <c r="J722" s="1">
        <v>45301</v>
      </c>
      <c r="K722" t="s">
        <v>955</v>
      </c>
      <c r="L722" t="s">
        <v>434</v>
      </c>
      <c r="M722" t="s">
        <v>2952</v>
      </c>
      <c r="N722">
        <v>34</v>
      </c>
      <c r="O722">
        <v>54</v>
      </c>
      <c r="P722" t="s">
        <v>42</v>
      </c>
    </row>
    <row r="723" spans="1:16" x14ac:dyDescent="0.4">
      <c r="A723" t="s">
        <v>2953</v>
      </c>
      <c r="B723" t="s">
        <v>111</v>
      </c>
      <c r="C723" t="s">
        <v>112</v>
      </c>
      <c r="D723" t="s">
        <v>2954</v>
      </c>
      <c r="E723" t="s">
        <v>2955</v>
      </c>
      <c r="F723">
        <v>61</v>
      </c>
      <c r="G723">
        <v>20</v>
      </c>
      <c r="H723">
        <v>29</v>
      </c>
      <c r="I723" t="s">
        <v>85</v>
      </c>
      <c r="J723" t="s">
        <v>637</v>
      </c>
      <c r="K723" t="s">
        <v>1629</v>
      </c>
      <c r="L723" s="1">
        <v>45635</v>
      </c>
      <c r="M723" t="s">
        <v>2956</v>
      </c>
      <c r="N723">
        <v>71</v>
      </c>
      <c r="O723">
        <v>97</v>
      </c>
      <c r="P723" t="s">
        <v>42</v>
      </c>
    </row>
    <row r="724" spans="1:16" x14ac:dyDescent="0.4">
      <c r="A724" t="s">
        <v>2957</v>
      </c>
      <c r="B724" t="s">
        <v>375</v>
      </c>
      <c r="C724" t="s">
        <v>54</v>
      </c>
      <c r="D724" t="s">
        <v>2958</v>
      </c>
      <c r="E724" t="s">
        <v>1492</v>
      </c>
      <c r="F724">
        <v>75</v>
      </c>
      <c r="G724">
        <v>48</v>
      </c>
      <c r="H724">
        <v>25</v>
      </c>
      <c r="I724" t="s">
        <v>85</v>
      </c>
      <c r="J724" s="1">
        <v>45608</v>
      </c>
      <c r="K724" t="s">
        <v>173</v>
      </c>
      <c r="L724" t="s">
        <v>802</v>
      </c>
      <c r="M724" t="s">
        <v>2959</v>
      </c>
      <c r="N724">
        <v>96</v>
      </c>
      <c r="O724">
        <v>65</v>
      </c>
      <c r="P724" t="s">
        <v>42</v>
      </c>
    </row>
    <row r="725" spans="1:16" x14ac:dyDescent="0.4">
      <c r="A725" t="s">
        <v>2960</v>
      </c>
      <c r="B725" t="s">
        <v>332</v>
      </c>
      <c r="C725" t="s">
        <v>112</v>
      </c>
      <c r="D725" t="s">
        <v>2961</v>
      </c>
      <c r="E725" t="s">
        <v>2962</v>
      </c>
      <c r="F725">
        <v>87</v>
      </c>
      <c r="G725">
        <v>70</v>
      </c>
      <c r="H725">
        <v>77</v>
      </c>
      <c r="I725" t="s">
        <v>642</v>
      </c>
      <c r="J725" s="1">
        <v>45509</v>
      </c>
      <c r="K725" t="s">
        <v>135</v>
      </c>
      <c r="L725" s="1">
        <v>45690</v>
      </c>
      <c r="M725" t="s">
        <v>2963</v>
      </c>
      <c r="N725">
        <v>73</v>
      </c>
      <c r="O725">
        <v>44</v>
      </c>
      <c r="P725" t="s">
        <v>51</v>
      </c>
    </row>
    <row r="726" spans="1:16" x14ac:dyDescent="0.4">
      <c r="A726" t="s">
        <v>2964</v>
      </c>
      <c r="B726" t="s">
        <v>138</v>
      </c>
      <c r="C726" t="s">
        <v>18</v>
      </c>
      <c r="D726" t="s">
        <v>2965</v>
      </c>
      <c r="E726" t="s">
        <v>2966</v>
      </c>
      <c r="F726">
        <v>71</v>
      </c>
      <c r="G726">
        <v>77</v>
      </c>
      <c r="H726">
        <v>30</v>
      </c>
      <c r="I726" t="s">
        <v>47</v>
      </c>
      <c r="J726" t="s">
        <v>1151</v>
      </c>
      <c r="K726" s="1">
        <v>45546</v>
      </c>
      <c r="L726" t="s">
        <v>1174</v>
      </c>
      <c r="M726" t="s">
        <v>2967</v>
      </c>
      <c r="N726">
        <v>34</v>
      </c>
      <c r="O726">
        <v>57</v>
      </c>
      <c r="P726" t="s">
        <v>42</v>
      </c>
    </row>
    <row r="727" spans="1:16" x14ac:dyDescent="0.4">
      <c r="A727" t="s">
        <v>2968</v>
      </c>
      <c r="B727" t="s">
        <v>263</v>
      </c>
      <c r="C727" t="s">
        <v>169</v>
      </c>
      <c r="D727" t="s">
        <v>2969</v>
      </c>
      <c r="E727" t="s">
        <v>2970</v>
      </c>
      <c r="F727">
        <v>98</v>
      </c>
      <c r="G727">
        <v>100</v>
      </c>
      <c r="H727">
        <v>34</v>
      </c>
      <c r="I727" t="s">
        <v>266</v>
      </c>
      <c r="J727" t="s">
        <v>244</v>
      </c>
      <c r="K727" t="s">
        <v>592</v>
      </c>
      <c r="L727" t="s">
        <v>422</v>
      </c>
      <c r="M727" t="s">
        <v>2971</v>
      </c>
      <c r="N727">
        <v>53</v>
      </c>
      <c r="O727">
        <v>20</v>
      </c>
      <c r="P727" t="s">
        <v>51</v>
      </c>
    </row>
    <row r="728" spans="1:16" x14ac:dyDescent="0.4">
      <c r="A728" t="s">
        <v>2972</v>
      </c>
      <c r="B728" t="s">
        <v>176</v>
      </c>
      <c r="C728" t="s">
        <v>54</v>
      </c>
      <c r="D728" t="s">
        <v>2973</v>
      </c>
      <c r="E728" t="s">
        <v>1230</v>
      </c>
      <c r="F728">
        <v>19</v>
      </c>
      <c r="G728">
        <v>92</v>
      </c>
      <c r="H728">
        <v>41</v>
      </c>
      <c r="I728" t="s">
        <v>106</v>
      </c>
      <c r="J728" s="1">
        <v>45778</v>
      </c>
      <c r="K728" s="1">
        <v>45962</v>
      </c>
      <c r="L728" t="s">
        <v>244</v>
      </c>
      <c r="M728" t="s">
        <v>2974</v>
      </c>
      <c r="N728">
        <v>51</v>
      </c>
      <c r="O728">
        <v>79</v>
      </c>
      <c r="P728" t="s">
        <v>51</v>
      </c>
    </row>
    <row r="729" spans="1:16" x14ac:dyDescent="0.4">
      <c r="A729" t="s">
        <v>2975</v>
      </c>
      <c r="B729" t="s">
        <v>698</v>
      </c>
      <c r="C729" t="s">
        <v>54</v>
      </c>
      <c r="D729" t="s">
        <v>2976</v>
      </c>
      <c r="E729" t="s">
        <v>2977</v>
      </c>
      <c r="F729">
        <v>85</v>
      </c>
      <c r="G729">
        <v>90</v>
      </c>
      <c r="H729">
        <v>16</v>
      </c>
      <c r="I729" t="s">
        <v>220</v>
      </c>
      <c r="J729" t="s">
        <v>916</v>
      </c>
      <c r="K729" s="1">
        <v>45357</v>
      </c>
      <c r="L729" t="s">
        <v>1387</v>
      </c>
      <c r="M729" t="s">
        <v>2978</v>
      </c>
      <c r="N729">
        <v>61</v>
      </c>
      <c r="O729">
        <v>80</v>
      </c>
      <c r="P729" t="s">
        <v>42</v>
      </c>
    </row>
    <row r="730" spans="1:16" x14ac:dyDescent="0.4">
      <c r="A730" t="s">
        <v>2979</v>
      </c>
      <c r="B730" t="s">
        <v>1503</v>
      </c>
      <c r="C730" t="s">
        <v>54</v>
      </c>
      <c r="D730" t="s">
        <v>2980</v>
      </c>
      <c r="E730" t="s">
        <v>1192</v>
      </c>
      <c r="F730">
        <v>71</v>
      </c>
      <c r="G730">
        <v>36</v>
      </c>
      <c r="H730">
        <v>45</v>
      </c>
      <c r="I730" t="s">
        <v>242</v>
      </c>
      <c r="J730" t="s">
        <v>1664</v>
      </c>
      <c r="K730" t="s">
        <v>341</v>
      </c>
      <c r="L730" s="1">
        <v>45689</v>
      </c>
      <c r="M730" t="s">
        <v>2981</v>
      </c>
      <c r="N730">
        <v>87</v>
      </c>
      <c r="O730">
        <v>2</v>
      </c>
      <c r="P730" t="s">
        <v>42</v>
      </c>
    </row>
    <row r="731" spans="1:16" x14ac:dyDescent="0.4">
      <c r="A731" t="s">
        <v>2982</v>
      </c>
      <c r="B731" t="s">
        <v>1406</v>
      </c>
      <c r="C731" t="s">
        <v>18</v>
      </c>
      <c r="D731" t="s">
        <v>2983</v>
      </c>
      <c r="E731" t="s">
        <v>357</v>
      </c>
      <c r="F731">
        <v>44</v>
      </c>
      <c r="G731">
        <v>48</v>
      </c>
      <c r="H731">
        <v>77</v>
      </c>
      <c r="I731" t="s">
        <v>71</v>
      </c>
      <c r="J731" t="s">
        <v>243</v>
      </c>
      <c r="K731" t="s">
        <v>712</v>
      </c>
      <c r="L731" t="s">
        <v>444</v>
      </c>
      <c r="M731" t="s">
        <v>2984</v>
      </c>
      <c r="N731">
        <v>67</v>
      </c>
      <c r="O731">
        <v>79</v>
      </c>
      <c r="P731" t="s">
        <v>26</v>
      </c>
    </row>
    <row r="732" spans="1:16" x14ac:dyDescent="0.4">
      <c r="A732" t="s">
        <v>2985</v>
      </c>
      <c r="B732" t="s">
        <v>627</v>
      </c>
      <c r="C732" t="s">
        <v>18</v>
      </c>
      <c r="D732" t="s">
        <v>2986</v>
      </c>
      <c r="E732" t="s">
        <v>634</v>
      </c>
      <c r="F732">
        <v>25</v>
      </c>
      <c r="G732">
        <v>95</v>
      </c>
      <c r="H732">
        <v>71</v>
      </c>
      <c r="I732" t="s">
        <v>106</v>
      </c>
      <c r="J732" t="s">
        <v>1110</v>
      </c>
      <c r="K732" s="1">
        <v>45542</v>
      </c>
      <c r="L732" t="s">
        <v>1217</v>
      </c>
      <c r="M732" t="s">
        <v>2987</v>
      </c>
      <c r="N732">
        <v>24</v>
      </c>
      <c r="O732">
        <v>76</v>
      </c>
      <c r="P732" t="s">
        <v>42</v>
      </c>
    </row>
    <row r="733" spans="1:16" x14ac:dyDescent="0.4">
      <c r="A733" t="s">
        <v>2988</v>
      </c>
      <c r="B733" t="s">
        <v>582</v>
      </c>
      <c r="C733" t="s">
        <v>68</v>
      </c>
      <c r="D733" t="s">
        <v>2989</v>
      </c>
      <c r="E733" t="s">
        <v>1891</v>
      </c>
      <c r="F733">
        <v>24</v>
      </c>
      <c r="G733">
        <v>14</v>
      </c>
      <c r="H733">
        <v>5</v>
      </c>
      <c r="I733" t="s">
        <v>57</v>
      </c>
      <c r="J733" t="s">
        <v>73</v>
      </c>
      <c r="K733" t="s">
        <v>666</v>
      </c>
      <c r="L733" t="s">
        <v>579</v>
      </c>
      <c r="M733" t="s">
        <v>2990</v>
      </c>
      <c r="N733">
        <v>98</v>
      </c>
      <c r="O733">
        <v>9</v>
      </c>
      <c r="P733" t="s">
        <v>51</v>
      </c>
    </row>
    <row r="734" spans="1:16" x14ac:dyDescent="0.4">
      <c r="A734" t="s">
        <v>2991</v>
      </c>
      <c r="B734" t="s">
        <v>1017</v>
      </c>
      <c r="C734" t="s">
        <v>169</v>
      </c>
      <c r="D734" t="s">
        <v>2992</v>
      </c>
      <c r="E734" t="s">
        <v>357</v>
      </c>
      <c r="F734">
        <v>44</v>
      </c>
      <c r="G734">
        <v>97</v>
      </c>
      <c r="H734">
        <v>76</v>
      </c>
      <c r="I734" t="s">
        <v>591</v>
      </c>
      <c r="J734" t="s">
        <v>1129</v>
      </c>
      <c r="K734" s="1">
        <v>45569</v>
      </c>
      <c r="L734" t="s">
        <v>1179</v>
      </c>
      <c r="M734" t="s">
        <v>2993</v>
      </c>
      <c r="N734">
        <v>80</v>
      </c>
      <c r="O734">
        <v>33</v>
      </c>
      <c r="P734" t="s">
        <v>26</v>
      </c>
    </row>
    <row r="735" spans="1:16" x14ac:dyDescent="0.4">
      <c r="A735" t="s">
        <v>2994</v>
      </c>
      <c r="B735" t="s">
        <v>885</v>
      </c>
      <c r="C735" t="s">
        <v>18</v>
      </c>
      <c r="D735" t="s">
        <v>2995</v>
      </c>
      <c r="E735" t="s">
        <v>1553</v>
      </c>
      <c r="F735">
        <v>63</v>
      </c>
      <c r="G735">
        <v>4</v>
      </c>
      <c r="H735">
        <v>46</v>
      </c>
      <c r="I735" t="s">
        <v>71</v>
      </c>
      <c r="J735" t="s">
        <v>173</v>
      </c>
      <c r="K735" t="s">
        <v>549</v>
      </c>
      <c r="L735" s="1">
        <v>45538</v>
      </c>
      <c r="M735" t="s">
        <v>2996</v>
      </c>
      <c r="N735">
        <v>40</v>
      </c>
      <c r="O735">
        <v>69</v>
      </c>
      <c r="P735" t="s">
        <v>26</v>
      </c>
    </row>
    <row r="736" spans="1:16" x14ac:dyDescent="0.4">
      <c r="A736" t="s">
        <v>2997</v>
      </c>
      <c r="B736" t="s">
        <v>607</v>
      </c>
      <c r="C736" t="s">
        <v>68</v>
      </c>
      <c r="D736" t="s">
        <v>2998</v>
      </c>
      <c r="E736" t="s">
        <v>724</v>
      </c>
      <c r="F736">
        <v>69</v>
      </c>
      <c r="G736">
        <v>59</v>
      </c>
      <c r="H736">
        <v>29</v>
      </c>
      <c r="I736" t="s">
        <v>466</v>
      </c>
      <c r="J736" t="s">
        <v>287</v>
      </c>
      <c r="K736" t="s">
        <v>811</v>
      </c>
      <c r="L736" t="s">
        <v>388</v>
      </c>
      <c r="M736" t="s">
        <v>2999</v>
      </c>
      <c r="N736">
        <v>63</v>
      </c>
      <c r="O736">
        <v>91</v>
      </c>
      <c r="P736" t="s">
        <v>51</v>
      </c>
    </row>
    <row r="737" spans="1:16" x14ac:dyDescent="0.4">
      <c r="A737" t="s">
        <v>3000</v>
      </c>
      <c r="B737" t="s">
        <v>814</v>
      </c>
      <c r="C737" t="s">
        <v>169</v>
      </c>
      <c r="D737" t="s">
        <v>3001</v>
      </c>
      <c r="E737" t="s">
        <v>2280</v>
      </c>
      <c r="F737">
        <v>88</v>
      </c>
      <c r="G737">
        <v>71</v>
      </c>
      <c r="H737">
        <v>9</v>
      </c>
      <c r="I737" t="s">
        <v>817</v>
      </c>
      <c r="J737" t="s">
        <v>1238</v>
      </c>
      <c r="K737" t="s">
        <v>158</v>
      </c>
      <c r="L737" t="s">
        <v>495</v>
      </c>
      <c r="M737" t="s">
        <v>3002</v>
      </c>
      <c r="N737">
        <v>28</v>
      </c>
      <c r="O737">
        <v>14</v>
      </c>
      <c r="P737" t="s">
        <v>42</v>
      </c>
    </row>
    <row r="738" spans="1:16" x14ac:dyDescent="0.4">
      <c r="A738" t="s">
        <v>3003</v>
      </c>
      <c r="B738" t="s">
        <v>989</v>
      </c>
      <c r="C738" t="s">
        <v>29</v>
      </c>
      <c r="D738" t="s">
        <v>3004</v>
      </c>
      <c r="E738" t="s">
        <v>3005</v>
      </c>
      <c r="F738">
        <v>74</v>
      </c>
      <c r="G738">
        <v>2</v>
      </c>
      <c r="H738">
        <v>45</v>
      </c>
      <c r="I738" t="s">
        <v>591</v>
      </c>
      <c r="J738" t="s">
        <v>462</v>
      </c>
      <c r="K738" s="1">
        <v>45718</v>
      </c>
      <c r="L738" s="1">
        <v>45447</v>
      </c>
      <c r="M738" t="s">
        <v>3006</v>
      </c>
      <c r="N738">
        <v>37</v>
      </c>
      <c r="O738">
        <v>99</v>
      </c>
      <c r="P738" t="s">
        <v>51</v>
      </c>
    </row>
    <row r="739" spans="1:16" x14ac:dyDescent="0.4">
      <c r="A739" t="s">
        <v>3007</v>
      </c>
      <c r="B739" t="s">
        <v>498</v>
      </c>
      <c r="C739" t="s">
        <v>54</v>
      </c>
      <c r="D739" t="s">
        <v>3008</v>
      </c>
      <c r="E739" t="s">
        <v>3009</v>
      </c>
      <c r="F739">
        <v>98</v>
      </c>
      <c r="G739">
        <v>43</v>
      </c>
      <c r="H739">
        <v>9</v>
      </c>
      <c r="I739" t="s">
        <v>21</v>
      </c>
      <c r="J739" t="s">
        <v>1110</v>
      </c>
      <c r="K739" s="1">
        <v>45446</v>
      </c>
      <c r="L739" t="s">
        <v>655</v>
      </c>
      <c r="M739" t="s">
        <v>3010</v>
      </c>
      <c r="N739">
        <v>86</v>
      </c>
      <c r="O739">
        <v>62</v>
      </c>
      <c r="P739" t="s">
        <v>42</v>
      </c>
    </row>
    <row r="740" spans="1:16" x14ac:dyDescent="0.4">
      <c r="A740" t="s">
        <v>3011</v>
      </c>
      <c r="B740" t="s">
        <v>2592</v>
      </c>
      <c r="C740" t="s">
        <v>77</v>
      </c>
      <c r="D740" t="s">
        <v>3012</v>
      </c>
      <c r="E740" t="s">
        <v>1339</v>
      </c>
      <c r="F740">
        <v>22</v>
      </c>
      <c r="G740">
        <v>19</v>
      </c>
      <c r="H740">
        <v>4</v>
      </c>
      <c r="I740" t="s">
        <v>2595</v>
      </c>
      <c r="J740" t="s">
        <v>946</v>
      </c>
      <c r="K740" t="s">
        <v>215</v>
      </c>
      <c r="L740" t="s">
        <v>712</v>
      </c>
      <c r="M740" t="s">
        <v>3013</v>
      </c>
      <c r="N740">
        <v>88</v>
      </c>
      <c r="O740">
        <v>24</v>
      </c>
      <c r="P740" t="s">
        <v>26</v>
      </c>
    </row>
    <row r="741" spans="1:16" x14ac:dyDescent="0.4">
      <c r="A741" t="s">
        <v>3014</v>
      </c>
      <c r="B741" t="s">
        <v>1447</v>
      </c>
      <c r="C741" t="s">
        <v>54</v>
      </c>
      <c r="D741" t="s">
        <v>3015</v>
      </c>
      <c r="E741" t="s">
        <v>97</v>
      </c>
      <c r="F741">
        <v>55</v>
      </c>
      <c r="G741">
        <v>96</v>
      </c>
      <c r="H741">
        <v>40</v>
      </c>
      <c r="I741" t="s">
        <v>220</v>
      </c>
      <c r="J741" t="s">
        <v>347</v>
      </c>
      <c r="K741" s="1">
        <v>45601</v>
      </c>
      <c r="L741" s="1">
        <v>45449</v>
      </c>
      <c r="M741" t="s">
        <v>3016</v>
      </c>
      <c r="N741">
        <v>23</v>
      </c>
      <c r="O741">
        <v>47</v>
      </c>
      <c r="P741" t="s">
        <v>26</v>
      </c>
    </row>
    <row r="742" spans="1:16" x14ac:dyDescent="0.4">
      <c r="A742" t="s">
        <v>3017</v>
      </c>
      <c r="B742" t="s">
        <v>447</v>
      </c>
      <c r="C742" t="s">
        <v>77</v>
      </c>
      <c r="D742" t="s">
        <v>3018</v>
      </c>
      <c r="E742" t="s">
        <v>2955</v>
      </c>
      <c r="F742">
        <v>96</v>
      </c>
      <c r="G742">
        <v>80</v>
      </c>
      <c r="H742">
        <v>20</v>
      </c>
      <c r="I742" t="s">
        <v>717</v>
      </c>
      <c r="J742" t="s">
        <v>1057</v>
      </c>
      <c r="K742" t="s">
        <v>1387</v>
      </c>
      <c r="L742" t="s">
        <v>366</v>
      </c>
      <c r="M742" t="s">
        <v>3019</v>
      </c>
      <c r="N742">
        <v>94</v>
      </c>
      <c r="O742">
        <v>49</v>
      </c>
      <c r="P742" t="s">
        <v>26</v>
      </c>
    </row>
    <row r="743" spans="1:16" x14ac:dyDescent="0.4">
      <c r="A743" t="s">
        <v>3020</v>
      </c>
      <c r="B743" t="s">
        <v>131</v>
      </c>
      <c r="C743" t="s">
        <v>77</v>
      </c>
      <c r="D743" t="s">
        <v>3021</v>
      </c>
      <c r="E743" t="s">
        <v>2877</v>
      </c>
      <c r="F743">
        <v>91</v>
      </c>
      <c r="G743">
        <v>7</v>
      </c>
      <c r="H743">
        <v>64</v>
      </c>
      <c r="I743" t="s">
        <v>134</v>
      </c>
      <c r="J743" s="1">
        <v>45546</v>
      </c>
      <c r="K743" s="1">
        <v>45634</v>
      </c>
      <c r="L743" t="s">
        <v>214</v>
      </c>
      <c r="M743" t="s">
        <v>3022</v>
      </c>
      <c r="N743">
        <v>32</v>
      </c>
      <c r="O743">
        <v>65</v>
      </c>
      <c r="P743" t="s">
        <v>26</v>
      </c>
    </row>
    <row r="744" spans="1:16" x14ac:dyDescent="0.4">
      <c r="A744" t="s">
        <v>3023</v>
      </c>
      <c r="B744" t="s">
        <v>1228</v>
      </c>
      <c r="C744" t="s">
        <v>112</v>
      </c>
      <c r="D744" t="s">
        <v>3024</v>
      </c>
      <c r="E744" t="s">
        <v>1437</v>
      </c>
      <c r="F744">
        <v>40</v>
      </c>
      <c r="G744">
        <v>91</v>
      </c>
      <c r="H744">
        <v>24</v>
      </c>
      <c r="I744" t="s">
        <v>57</v>
      </c>
      <c r="J744" t="s">
        <v>525</v>
      </c>
      <c r="K744" s="1">
        <v>45638</v>
      </c>
      <c r="L744" t="s">
        <v>1165</v>
      </c>
      <c r="M744" t="s">
        <v>3025</v>
      </c>
      <c r="N744">
        <v>28</v>
      </c>
      <c r="O744">
        <v>47</v>
      </c>
      <c r="P744" t="s">
        <v>26</v>
      </c>
    </row>
    <row r="745" spans="1:16" x14ac:dyDescent="0.4">
      <c r="A745" t="s">
        <v>3026</v>
      </c>
      <c r="B745" t="s">
        <v>1761</v>
      </c>
      <c r="C745" t="s">
        <v>169</v>
      </c>
      <c r="D745" t="s">
        <v>3027</v>
      </c>
      <c r="E745" t="s">
        <v>865</v>
      </c>
      <c r="F745">
        <v>52</v>
      </c>
      <c r="G745">
        <v>46</v>
      </c>
      <c r="H745">
        <v>12</v>
      </c>
      <c r="I745" t="s">
        <v>320</v>
      </c>
      <c r="J745" t="s">
        <v>99</v>
      </c>
      <c r="K745" s="1">
        <v>45388</v>
      </c>
      <c r="L745" t="s">
        <v>1141</v>
      </c>
      <c r="M745" t="s">
        <v>3028</v>
      </c>
      <c r="N745">
        <v>43</v>
      </c>
      <c r="O745">
        <v>34</v>
      </c>
      <c r="P745" t="s">
        <v>42</v>
      </c>
    </row>
    <row r="746" spans="1:16" x14ac:dyDescent="0.4">
      <c r="A746" t="s">
        <v>3029</v>
      </c>
      <c r="B746" t="s">
        <v>681</v>
      </c>
      <c r="C746" t="s">
        <v>54</v>
      </c>
      <c r="D746" t="s">
        <v>3030</v>
      </c>
      <c r="E746" t="s">
        <v>1649</v>
      </c>
      <c r="F746">
        <v>22</v>
      </c>
      <c r="G746">
        <v>22</v>
      </c>
      <c r="H746">
        <v>65</v>
      </c>
      <c r="I746" t="s">
        <v>106</v>
      </c>
      <c r="J746" t="s">
        <v>479</v>
      </c>
      <c r="K746" t="s">
        <v>328</v>
      </c>
      <c r="L746" s="1">
        <v>45632</v>
      </c>
      <c r="M746" t="s">
        <v>3031</v>
      </c>
      <c r="N746">
        <v>62</v>
      </c>
      <c r="O746">
        <v>78</v>
      </c>
      <c r="P746" t="s">
        <v>42</v>
      </c>
    </row>
    <row r="747" spans="1:16" x14ac:dyDescent="0.4">
      <c r="A747" t="s">
        <v>3032</v>
      </c>
      <c r="B747" t="s">
        <v>36</v>
      </c>
      <c r="C747" t="s">
        <v>18</v>
      </c>
      <c r="D747" t="s">
        <v>3033</v>
      </c>
      <c r="E747" t="s">
        <v>1457</v>
      </c>
      <c r="F747">
        <v>98</v>
      </c>
      <c r="G747">
        <v>41</v>
      </c>
      <c r="H747">
        <v>98</v>
      </c>
      <c r="I747" t="s">
        <v>3034</v>
      </c>
      <c r="J747" s="1">
        <v>45778</v>
      </c>
      <c r="K747" t="s">
        <v>826</v>
      </c>
      <c r="L747" t="s">
        <v>649</v>
      </c>
      <c r="M747" t="s">
        <v>3035</v>
      </c>
      <c r="N747">
        <v>70</v>
      </c>
      <c r="O747">
        <v>75</v>
      </c>
      <c r="P747" t="s">
        <v>42</v>
      </c>
    </row>
    <row r="748" spans="1:16" x14ac:dyDescent="0.4">
      <c r="A748" t="s">
        <v>3036</v>
      </c>
      <c r="B748" t="s">
        <v>984</v>
      </c>
      <c r="C748" t="s">
        <v>18</v>
      </c>
      <c r="D748" t="s">
        <v>3037</v>
      </c>
      <c r="E748" t="s">
        <v>56</v>
      </c>
      <c r="F748">
        <v>59</v>
      </c>
      <c r="G748">
        <v>73</v>
      </c>
      <c r="H748">
        <v>86</v>
      </c>
      <c r="I748" t="s">
        <v>986</v>
      </c>
      <c r="J748" t="s">
        <v>827</v>
      </c>
      <c r="K748" s="1">
        <v>45658</v>
      </c>
      <c r="L748" s="1">
        <v>45605</v>
      </c>
      <c r="M748" t="s">
        <v>3038</v>
      </c>
      <c r="N748">
        <v>32</v>
      </c>
      <c r="O748">
        <v>56</v>
      </c>
      <c r="P748" t="s">
        <v>42</v>
      </c>
    </row>
    <row r="749" spans="1:16" x14ac:dyDescent="0.4">
      <c r="A749" t="s">
        <v>3039</v>
      </c>
      <c r="B749" t="s">
        <v>595</v>
      </c>
      <c r="C749" t="s">
        <v>112</v>
      </c>
      <c r="D749" t="s">
        <v>3040</v>
      </c>
      <c r="E749" t="s">
        <v>2064</v>
      </c>
      <c r="F749">
        <v>99</v>
      </c>
      <c r="G749">
        <v>3</v>
      </c>
      <c r="H749">
        <v>79</v>
      </c>
      <c r="I749" t="s">
        <v>220</v>
      </c>
      <c r="J749" s="1">
        <v>45418</v>
      </c>
      <c r="K749" t="s">
        <v>467</v>
      </c>
      <c r="L749" t="s">
        <v>1343</v>
      </c>
      <c r="M749" t="s">
        <v>3041</v>
      </c>
      <c r="N749">
        <v>65</v>
      </c>
      <c r="O749">
        <v>16</v>
      </c>
      <c r="P749" t="s">
        <v>42</v>
      </c>
    </row>
    <row r="750" spans="1:16" x14ac:dyDescent="0.4">
      <c r="A750" t="s">
        <v>3042</v>
      </c>
      <c r="B750" t="s">
        <v>431</v>
      </c>
      <c r="C750" t="s">
        <v>29</v>
      </c>
      <c r="D750" t="s">
        <v>3043</v>
      </c>
      <c r="E750" t="s">
        <v>590</v>
      </c>
      <c r="F750">
        <v>18</v>
      </c>
      <c r="G750">
        <v>36</v>
      </c>
      <c r="H750">
        <v>53</v>
      </c>
      <c r="I750" t="s">
        <v>3044</v>
      </c>
      <c r="J750" s="1">
        <v>45631</v>
      </c>
      <c r="K750" s="1">
        <v>45296</v>
      </c>
      <c r="L750" t="s">
        <v>213</v>
      </c>
      <c r="M750" t="s">
        <v>3045</v>
      </c>
      <c r="N750">
        <v>65</v>
      </c>
      <c r="O750">
        <v>100</v>
      </c>
      <c r="P750" t="s">
        <v>51</v>
      </c>
    </row>
    <row r="751" spans="1:16" x14ac:dyDescent="0.4">
      <c r="A751" t="s">
        <v>3046</v>
      </c>
      <c r="B751" t="s">
        <v>994</v>
      </c>
      <c r="C751" t="s">
        <v>54</v>
      </c>
      <c r="D751" t="s">
        <v>3047</v>
      </c>
      <c r="E751" t="s">
        <v>1019</v>
      </c>
      <c r="F751">
        <v>58</v>
      </c>
      <c r="G751">
        <v>12</v>
      </c>
      <c r="H751">
        <v>99</v>
      </c>
      <c r="I751" t="s">
        <v>85</v>
      </c>
      <c r="J751" t="s">
        <v>1106</v>
      </c>
      <c r="K751" s="1">
        <v>45992</v>
      </c>
      <c r="L751" t="s">
        <v>64</v>
      </c>
      <c r="M751" t="s">
        <v>3048</v>
      </c>
      <c r="N751">
        <v>71</v>
      </c>
      <c r="O751">
        <v>30</v>
      </c>
      <c r="P751" t="s">
        <v>51</v>
      </c>
    </row>
    <row r="752" spans="1:16" x14ac:dyDescent="0.4">
      <c r="A752" t="s">
        <v>3049</v>
      </c>
      <c r="B752" t="s">
        <v>36</v>
      </c>
      <c r="C752" t="s">
        <v>18</v>
      </c>
      <c r="D752" t="s">
        <v>3050</v>
      </c>
      <c r="E752" t="s">
        <v>1230</v>
      </c>
      <c r="F752">
        <v>30</v>
      </c>
      <c r="G752">
        <v>34</v>
      </c>
      <c r="H752">
        <v>96</v>
      </c>
      <c r="I752" t="s">
        <v>3051</v>
      </c>
      <c r="J752" s="1">
        <v>45393</v>
      </c>
      <c r="K752" t="s">
        <v>1057</v>
      </c>
      <c r="L752" t="s">
        <v>1884</v>
      </c>
      <c r="M752" t="s">
        <v>3052</v>
      </c>
      <c r="N752">
        <v>61</v>
      </c>
      <c r="O752">
        <v>13</v>
      </c>
      <c r="P752" t="s">
        <v>42</v>
      </c>
    </row>
    <row r="753" spans="1:16" x14ac:dyDescent="0.4">
      <c r="A753" t="s">
        <v>3053</v>
      </c>
      <c r="B753" t="s">
        <v>1470</v>
      </c>
      <c r="C753" t="s">
        <v>54</v>
      </c>
      <c r="D753" t="s">
        <v>3054</v>
      </c>
      <c r="E753" t="s">
        <v>406</v>
      </c>
      <c r="F753">
        <v>97</v>
      </c>
      <c r="G753">
        <v>97</v>
      </c>
      <c r="H753">
        <v>71</v>
      </c>
      <c r="I753" t="s">
        <v>21</v>
      </c>
      <c r="J753" s="1">
        <v>45633</v>
      </c>
      <c r="K753" t="s">
        <v>842</v>
      </c>
      <c r="L753" t="s">
        <v>1173</v>
      </c>
      <c r="M753" t="s">
        <v>3055</v>
      </c>
      <c r="N753">
        <v>53</v>
      </c>
      <c r="O753">
        <v>31</v>
      </c>
      <c r="P753" t="s">
        <v>51</v>
      </c>
    </row>
    <row r="754" spans="1:16" x14ac:dyDescent="0.4">
      <c r="A754" t="s">
        <v>3056</v>
      </c>
      <c r="B754" t="s">
        <v>76</v>
      </c>
      <c r="C754" t="s">
        <v>77</v>
      </c>
      <c r="D754" t="s">
        <v>3057</v>
      </c>
      <c r="E754" t="s">
        <v>1347</v>
      </c>
      <c r="F754">
        <v>50</v>
      </c>
      <c r="G754">
        <v>93</v>
      </c>
      <c r="H754">
        <v>37</v>
      </c>
      <c r="I754" t="s">
        <v>1593</v>
      </c>
      <c r="J754" s="1">
        <v>45962</v>
      </c>
      <c r="K754" s="1">
        <v>45325</v>
      </c>
      <c r="L754" s="1">
        <v>45631</v>
      </c>
      <c r="M754" t="s">
        <v>3058</v>
      </c>
      <c r="N754">
        <v>78</v>
      </c>
      <c r="O754">
        <v>79</v>
      </c>
      <c r="P754" t="s">
        <v>42</v>
      </c>
    </row>
    <row r="755" spans="1:16" x14ac:dyDescent="0.4">
      <c r="A755" t="s">
        <v>3059</v>
      </c>
      <c r="B755" t="s">
        <v>923</v>
      </c>
      <c r="C755" t="s">
        <v>77</v>
      </c>
      <c r="D755" t="s">
        <v>3060</v>
      </c>
      <c r="E755" t="s">
        <v>2685</v>
      </c>
      <c r="F755">
        <v>70</v>
      </c>
      <c r="G755">
        <v>96</v>
      </c>
      <c r="H755">
        <v>35</v>
      </c>
      <c r="I755" t="s">
        <v>266</v>
      </c>
      <c r="J755" s="1">
        <v>45871</v>
      </c>
      <c r="K755" t="s">
        <v>213</v>
      </c>
      <c r="L755" t="s">
        <v>719</v>
      </c>
      <c r="M755" t="s">
        <v>3061</v>
      </c>
      <c r="N755">
        <v>63</v>
      </c>
      <c r="O755">
        <v>84</v>
      </c>
      <c r="P755" t="s">
        <v>42</v>
      </c>
    </row>
    <row r="756" spans="1:16" x14ac:dyDescent="0.4">
      <c r="A756" t="s">
        <v>3062</v>
      </c>
      <c r="B756" t="s">
        <v>588</v>
      </c>
      <c r="C756" t="s">
        <v>54</v>
      </c>
      <c r="D756" t="s">
        <v>3063</v>
      </c>
      <c r="E756" t="s">
        <v>2522</v>
      </c>
      <c r="F756">
        <v>40</v>
      </c>
      <c r="G756">
        <v>61</v>
      </c>
      <c r="H756">
        <v>47</v>
      </c>
      <c r="I756" t="s">
        <v>591</v>
      </c>
      <c r="J756" t="s">
        <v>629</v>
      </c>
      <c r="K756" s="1">
        <v>45602</v>
      </c>
      <c r="L756" t="s">
        <v>1129</v>
      </c>
      <c r="M756" t="s">
        <v>3064</v>
      </c>
      <c r="N756">
        <v>76</v>
      </c>
      <c r="O756">
        <v>10</v>
      </c>
      <c r="P756" t="s">
        <v>26</v>
      </c>
    </row>
    <row r="757" spans="1:16" x14ac:dyDescent="0.4">
      <c r="A757" t="s">
        <v>3065</v>
      </c>
      <c r="B757" t="s">
        <v>67</v>
      </c>
      <c r="C757" t="s">
        <v>68</v>
      </c>
      <c r="D757" t="s">
        <v>3066</v>
      </c>
      <c r="E757" t="s">
        <v>1947</v>
      </c>
      <c r="F757">
        <v>75</v>
      </c>
      <c r="G757">
        <v>23</v>
      </c>
      <c r="H757">
        <v>34</v>
      </c>
      <c r="I757" t="s">
        <v>71</v>
      </c>
      <c r="J757" t="s">
        <v>165</v>
      </c>
      <c r="K757" s="1">
        <v>45391</v>
      </c>
      <c r="L757" s="1">
        <v>45389</v>
      </c>
      <c r="M757" t="s">
        <v>3067</v>
      </c>
      <c r="N757">
        <v>100</v>
      </c>
      <c r="O757">
        <v>54</v>
      </c>
      <c r="P757" t="s">
        <v>42</v>
      </c>
    </row>
    <row r="758" spans="1:16" x14ac:dyDescent="0.4">
      <c r="A758" t="s">
        <v>3068</v>
      </c>
      <c r="B758" t="s">
        <v>124</v>
      </c>
      <c r="C758" t="s">
        <v>54</v>
      </c>
      <c r="D758" t="s">
        <v>3069</v>
      </c>
      <c r="E758" t="s">
        <v>858</v>
      </c>
      <c r="F758">
        <v>26</v>
      </c>
      <c r="G758">
        <v>97</v>
      </c>
      <c r="H758">
        <v>12</v>
      </c>
      <c r="I758" t="s">
        <v>39</v>
      </c>
      <c r="J758" t="s">
        <v>935</v>
      </c>
      <c r="K758" t="s">
        <v>367</v>
      </c>
      <c r="L758" s="1">
        <v>45632</v>
      </c>
      <c r="M758" t="s">
        <v>3070</v>
      </c>
      <c r="N758">
        <v>94</v>
      </c>
      <c r="O758">
        <v>58</v>
      </c>
      <c r="P758" t="s">
        <v>26</v>
      </c>
    </row>
    <row r="759" spans="1:16" x14ac:dyDescent="0.4">
      <c r="A759" t="s">
        <v>3071</v>
      </c>
      <c r="B759" t="s">
        <v>28</v>
      </c>
      <c r="C759" t="s">
        <v>29</v>
      </c>
      <c r="D759" t="s">
        <v>3072</v>
      </c>
      <c r="E759" t="s">
        <v>1246</v>
      </c>
      <c r="F759">
        <v>13</v>
      </c>
      <c r="G759">
        <v>55</v>
      </c>
      <c r="H759">
        <v>77</v>
      </c>
      <c r="I759" t="s">
        <v>32</v>
      </c>
      <c r="J759" t="s">
        <v>383</v>
      </c>
      <c r="K759" t="s">
        <v>1311</v>
      </c>
      <c r="L759" s="1">
        <v>45362</v>
      </c>
      <c r="M759" t="s">
        <v>3073</v>
      </c>
      <c r="N759">
        <v>67</v>
      </c>
      <c r="O759">
        <v>68</v>
      </c>
      <c r="P759" t="s">
        <v>42</v>
      </c>
    </row>
    <row r="760" spans="1:16" x14ac:dyDescent="0.4">
      <c r="A760" t="s">
        <v>3074</v>
      </c>
      <c r="B760" t="s">
        <v>53</v>
      </c>
      <c r="C760" t="s">
        <v>54</v>
      </c>
      <c r="D760" t="s">
        <v>3075</v>
      </c>
      <c r="E760" t="s">
        <v>3076</v>
      </c>
      <c r="F760">
        <v>11</v>
      </c>
      <c r="G760">
        <v>58</v>
      </c>
      <c r="H760">
        <v>32</v>
      </c>
      <c r="I760" t="s">
        <v>57</v>
      </c>
      <c r="J760" t="s">
        <v>592</v>
      </c>
      <c r="K760" s="1">
        <v>45542</v>
      </c>
      <c r="L760" t="s">
        <v>485</v>
      </c>
      <c r="M760" t="s">
        <v>3077</v>
      </c>
      <c r="N760">
        <v>99</v>
      </c>
      <c r="O760">
        <v>94</v>
      </c>
      <c r="P760" t="s">
        <v>51</v>
      </c>
    </row>
    <row r="761" spans="1:16" x14ac:dyDescent="0.4">
      <c r="A761" t="s">
        <v>3078</v>
      </c>
      <c r="B761" t="s">
        <v>1761</v>
      </c>
      <c r="C761" t="s">
        <v>169</v>
      </c>
      <c r="D761" t="s">
        <v>3079</v>
      </c>
      <c r="E761" t="s">
        <v>250</v>
      </c>
      <c r="F761">
        <v>98</v>
      </c>
      <c r="G761">
        <v>67</v>
      </c>
      <c r="H761">
        <v>49</v>
      </c>
      <c r="I761" t="s">
        <v>320</v>
      </c>
      <c r="J761" s="1">
        <v>45543</v>
      </c>
      <c r="K761" t="s">
        <v>655</v>
      </c>
      <c r="L761" s="1">
        <v>45386</v>
      </c>
      <c r="M761" t="s">
        <v>3080</v>
      </c>
      <c r="N761">
        <v>21</v>
      </c>
      <c r="O761">
        <v>61</v>
      </c>
      <c r="P761" t="s">
        <v>51</v>
      </c>
    </row>
    <row r="762" spans="1:16" x14ac:dyDescent="0.4">
      <c r="A762" t="s">
        <v>3081</v>
      </c>
      <c r="B762" t="s">
        <v>476</v>
      </c>
      <c r="C762" t="s">
        <v>54</v>
      </c>
      <c r="D762" t="s">
        <v>3082</v>
      </c>
      <c r="E762" t="s">
        <v>553</v>
      </c>
      <c r="F762">
        <v>35</v>
      </c>
      <c r="G762">
        <v>4</v>
      </c>
      <c r="H762">
        <v>76</v>
      </c>
      <c r="I762" t="s">
        <v>57</v>
      </c>
      <c r="J762" s="1">
        <v>45543</v>
      </c>
      <c r="K762" t="s">
        <v>1173</v>
      </c>
      <c r="L762" t="s">
        <v>22</v>
      </c>
      <c r="M762" t="s">
        <v>3083</v>
      </c>
      <c r="N762">
        <v>90</v>
      </c>
      <c r="O762">
        <v>30</v>
      </c>
      <c r="P762" t="s">
        <v>26</v>
      </c>
    </row>
    <row r="763" spans="1:16" x14ac:dyDescent="0.4">
      <c r="A763" t="s">
        <v>3084</v>
      </c>
      <c r="B763" t="s">
        <v>1290</v>
      </c>
      <c r="C763" t="s">
        <v>169</v>
      </c>
      <c r="D763" t="s">
        <v>3085</v>
      </c>
      <c r="E763" t="s">
        <v>2650</v>
      </c>
      <c r="F763">
        <v>45</v>
      </c>
      <c r="G763">
        <v>56</v>
      </c>
      <c r="H763">
        <v>64</v>
      </c>
      <c r="I763" t="s">
        <v>1293</v>
      </c>
      <c r="J763" t="s">
        <v>730</v>
      </c>
      <c r="K763" t="s">
        <v>893</v>
      </c>
      <c r="L763" s="1">
        <v>45419</v>
      </c>
      <c r="M763" t="s">
        <v>3086</v>
      </c>
      <c r="N763">
        <v>35</v>
      </c>
      <c r="O763">
        <v>82</v>
      </c>
      <c r="P763" t="s">
        <v>26</v>
      </c>
    </row>
    <row r="764" spans="1:16" x14ac:dyDescent="0.4">
      <c r="A764" t="s">
        <v>3087</v>
      </c>
      <c r="B764" t="s">
        <v>1249</v>
      </c>
      <c r="C764" t="s">
        <v>54</v>
      </c>
      <c r="D764" t="s">
        <v>3088</v>
      </c>
      <c r="E764" t="s">
        <v>2438</v>
      </c>
      <c r="F764">
        <v>47</v>
      </c>
      <c r="G764">
        <v>22</v>
      </c>
      <c r="H764">
        <v>69</v>
      </c>
      <c r="I764" t="s">
        <v>57</v>
      </c>
      <c r="J764" s="1">
        <v>45325</v>
      </c>
      <c r="K764" t="s">
        <v>730</v>
      </c>
      <c r="L764" s="1">
        <v>45357</v>
      </c>
      <c r="M764" t="s">
        <v>3089</v>
      </c>
      <c r="N764">
        <v>26</v>
      </c>
      <c r="O764">
        <v>59</v>
      </c>
      <c r="P764" t="s">
        <v>42</v>
      </c>
    </row>
    <row r="765" spans="1:16" x14ac:dyDescent="0.4">
      <c r="A765" t="s">
        <v>3090</v>
      </c>
      <c r="B765" t="s">
        <v>943</v>
      </c>
      <c r="C765" t="s">
        <v>68</v>
      </c>
      <c r="D765" t="s">
        <v>3091</v>
      </c>
      <c r="E765" t="s">
        <v>1187</v>
      </c>
      <c r="F765">
        <v>89</v>
      </c>
      <c r="G765">
        <v>66</v>
      </c>
      <c r="H765">
        <v>28</v>
      </c>
      <c r="I765" t="s">
        <v>945</v>
      </c>
      <c r="J765" t="s">
        <v>193</v>
      </c>
      <c r="K765" t="s">
        <v>229</v>
      </c>
      <c r="L765" t="s">
        <v>308</v>
      </c>
      <c r="M765" t="s">
        <v>3092</v>
      </c>
      <c r="N765">
        <v>39</v>
      </c>
      <c r="O765">
        <v>25</v>
      </c>
      <c r="P765" t="s">
        <v>51</v>
      </c>
    </row>
    <row r="766" spans="1:16" x14ac:dyDescent="0.4">
      <c r="A766" t="s">
        <v>3093</v>
      </c>
      <c r="B766" t="s">
        <v>318</v>
      </c>
      <c r="C766" t="s">
        <v>29</v>
      </c>
      <c r="D766" t="s">
        <v>3094</v>
      </c>
      <c r="E766" t="s">
        <v>235</v>
      </c>
      <c r="F766">
        <v>33</v>
      </c>
      <c r="G766">
        <v>22</v>
      </c>
      <c r="H766">
        <v>94</v>
      </c>
      <c r="I766" t="s">
        <v>320</v>
      </c>
      <c r="J766" t="s">
        <v>367</v>
      </c>
      <c r="K766" t="s">
        <v>451</v>
      </c>
      <c r="L766" t="s">
        <v>382</v>
      </c>
      <c r="M766" t="s">
        <v>3095</v>
      </c>
      <c r="N766">
        <v>96</v>
      </c>
      <c r="O766">
        <v>56</v>
      </c>
      <c r="P766" t="s">
        <v>26</v>
      </c>
    </row>
    <row r="767" spans="1:16" x14ac:dyDescent="0.4">
      <c r="A767" t="s">
        <v>3096</v>
      </c>
      <c r="B767" t="s">
        <v>1447</v>
      </c>
      <c r="C767" t="s">
        <v>54</v>
      </c>
      <c r="D767" t="s">
        <v>3097</v>
      </c>
      <c r="E767" t="s">
        <v>1457</v>
      </c>
      <c r="F767">
        <v>90</v>
      </c>
      <c r="G767">
        <v>30</v>
      </c>
      <c r="H767">
        <v>42</v>
      </c>
      <c r="I767" t="s">
        <v>220</v>
      </c>
      <c r="J767" t="s">
        <v>259</v>
      </c>
      <c r="K767" t="s">
        <v>525</v>
      </c>
      <c r="L767" s="1">
        <v>45325</v>
      </c>
      <c r="M767" t="s">
        <v>3098</v>
      </c>
      <c r="N767">
        <v>76</v>
      </c>
      <c r="O767">
        <v>69</v>
      </c>
      <c r="P767" t="s">
        <v>42</v>
      </c>
    </row>
    <row r="768" spans="1:16" x14ac:dyDescent="0.4">
      <c r="A768" t="s">
        <v>3099</v>
      </c>
      <c r="B768" t="s">
        <v>621</v>
      </c>
      <c r="C768" t="s">
        <v>18</v>
      </c>
      <c r="D768" t="s">
        <v>3100</v>
      </c>
      <c r="E768" t="s">
        <v>1672</v>
      </c>
      <c r="F768">
        <v>44</v>
      </c>
      <c r="G768">
        <v>26</v>
      </c>
      <c r="H768">
        <v>60</v>
      </c>
      <c r="I768" t="s">
        <v>624</v>
      </c>
      <c r="J768" t="s">
        <v>1014</v>
      </c>
      <c r="K768" t="s">
        <v>243</v>
      </c>
      <c r="L768" s="1">
        <v>45420</v>
      </c>
      <c r="M768" t="s">
        <v>3101</v>
      </c>
      <c r="N768">
        <v>63</v>
      </c>
      <c r="O768">
        <v>59</v>
      </c>
      <c r="P768" t="s">
        <v>26</v>
      </c>
    </row>
    <row r="769" spans="1:16" x14ac:dyDescent="0.4">
      <c r="A769" t="s">
        <v>3102</v>
      </c>
      <c r="B769" t="s">
        <v>1750</v>
      </c>
      <c r="C769" t="s">
        <v>18</v>
      </c>
      <c r="D769" t="s">
        <v>3103</v>
      </c>
      <c r="E769" t="s">
        <v>3104</v>
      </c>
      <c r="F769">
        <v>41</v>
      </c>
      <c r="G769">
        <v>56</v>
      </c>
      <c r="H769">
        <v>12</v>
      </c>
      <c r="I769" t="s">
        <v>3105</v>
      </c>
      <c r="J769" s="1">
        <v>45448</v>
      </c>
      <c r="K769" t="s">
        <v>308</v>
      </c>
      <c r="L769" t="s">
        <v>462</v>
      </c>
      <c r="M769" t="s">
        <v>3106</v>
      </c>
      <c r="N769">
        <v>93</v>
      </c>
      <c r="O769">
        <v>88</v>
      </c>
      <c r="P769" t="s">
        <v>51</v>
      </c>
    </row>
    <row r="770" spans="1:16" x14ac:dyDescent="0.4">
      <c r="A770" t="s">
        <v>3107</v>
      </c>
      <c r="B770" t="s">
        <v>521</v>
      </c>
      <c r="C770" t="s">
        <v>54</v>
      </c>
      <c r="D770" t="s">
        <v>3108</v>
      </c>
      <c r="E770" t="s">
        <v>2280</v>
      </c>
      <c r="F770">
        <v>72</v>
      </c>
      <c r="G770">
        <v>58</v>
      </c>
      <c r="H770">
        <v>69</v>
      </c>
      <c r="I770" t="s">
        <v>523</v>
      </c>
      <c r="J770" t="s">
        <v>2918</v>
      </c>
      <c r="K770" s="1">
        <v>45718</v>
      </c>
      <c r="L770" t="s">
        <v>1500</v>
      </c>
      <c r="M770" t="s">
        <v>3109</v>
      </c>
      <c r="N770">
        <v>96</v>
      </c>
      <c r="O770">
        <v>23</v>
      </c>
      <c r="P770" t="s">
        <v>42</v>
      </c>
    </row>
    <row r="771" spans="1:16" x14ac:dyDescent="0.4">
      <c r="A771" t="s">
        <v>3110</v>
      </c>
      <c r="B771" t="s">
        <v>76</v>
      </c>
      <c r="C771" t="s">
        <v>77</v>
      </c>
      <c r="D771" t="s">
        <v>3111</v>
      </c>
      <c r="E771" t="s">
        <v>273</v>
      </c>
      <c r="F771">
        <v>72</v>
      </c>
      <c r="G771">
        <v>58</v>
      </c>
      <c r="H771">
        <v>52</v>
      </c>
      <c r="I771" t="s">
        <v>554</v>
      </c>
      <c r="J771" t="s">
        <v>353</v>
      </c>
      <c r="K771" t="s">
        <v>347</v>
      </c>
      <c r="L771" t="s">
        <v>415</v>
      </c>
      <c r="M771" t="s">
        <v>3112</v>
      </c>
      <c r="N771">
        <v>36</v>
      </c>
      <c r="O771">
        <v>14</v>
      </c>
      <c r="P771" t="s">
        <v>51</v>
      </c>
    </row>
    <row r="772" spans="1:16" x14ac:dyDescent="0.4">
      <c r="A772" t="s">
        <v>3113</v>
      </c>
      <c r="B772" t="s">
        <v>318</v>
      </c>
      <c r="C772" t="s">
        <v>29</v>
      </c>
      <c r="D772" t="s">
        <v>3114</v>
      </c>
      <c r="E772" t="s">
        <v>1178</v>
      </c>
      <c r="F772">
        <v>40</v>
      </c>
      <c r="G772">
        <v>30</v>
      </c>
      <c r="H772">
        <v>60</v>
      </c>
      <c r="I772" t="s">
        <v>320</v>
      </c>
      <c r="J772" s="1">
        <v>45421</v>
      </c>
      <c r="K772" t="s">
        <v>415</v>
      </c>
      <c r="L772" s="1">
        <v>45356</v>
      </c>
      <c r="M772" t="s">
        <v>3115</v>
      </c>
      <c r="N772">
        <v>33</v>
      </c>
      <c r="O772">
        <v>84</v>
      </c>
      <c r="P772" t="s">
        <v>51</v>
      </c>
    </row>
    <row r="773" spans="1:16" x14ac:dyDescent="0.4">
      <c r="A773" t="s">
        <v>3116</v>
      </c>
      <c r="B773" t="s">
        <v>1835</v>
      </c>
      <c r="C773" t="s">
        <v>112</v>
      </c>
      <c r="D773" t="s">
        <v>3117</v>
      </c>
      <c r="E773" t="s">
        <v>648</v>
      </c>
      <c r="F773">
        <v>36</v>
      </c>
      <c r="G773">
        <v>53</v>
      </c>
      <c r="H773">
        <v>92</v>
      </c>
      <c r="I773" t="s">
        <v>242</v>
      </c>
      <c r="J773" s="1">
        <v>45480</v>
      </c>
      <c r="K773" s="1">
        <v>45297</v>
      </c>
      <c r="L773" t="s">
        <v>1683</v>
      </c>
      <c r="M773" t="s">
        <v>3118</v>
      </c>
      <c r="N773">
        <v>67</v>
      </c>
      <c r="O773">
        <v>43</v>
      </c>
      <c r="P773" t="s">
        <v>42</v>
      </c>
    </row>
    <row r="774" spans="1:16" x14ac:dyDescent="0.4">
      <c r="A774" t="s">
        <v>3119</v>
      </c>
      <c r="B774" t="s">
        <v>912</v>
      </c>
      <c r="C774" t="s">
        <v>68</v>
      </c>
      <c r="D774" t="s">
        <v>3120</v>
      </c>
      <c r="E774" t="s">
        <v>1926</v>
      </c>
      <c r="F774">
        <v>51</v>
      </c>
      <c r="G774">
        <v>87</v>
      </c>
      <c r="H774">
        <v>86</v>
      </c>
      <c r="I774" t="s">
        <v>106</v>
      </c>
      <c r="J774" s="1">
        <v>45295</v>
      </c>
      <c r="K774" t="s">
        <v>148</v>
      </c>
      <c r="L774" s="1">
        <v>45602</v>
      </c>
      <c r="M774" t="s">
        <v>3121</v>
      </c>
      <c r="N774">
        <v>24</v>
      </c>
      <c r="O774">
        <v>83</v>
      </c>
      <c r="P774" t="s">
        <v>42</v>
      </c>
    </row>
    <row r="775" spans="1:16" x14ac:dyDescent="0.4">
      <c r="A775" t="s">
        <v>3122</v>
      </c>
      <c r="B775" t="s">
        <v>318</v>
      </c>
      <c r="C775" t="s">
        <v>29</v>
      </c>
      <c r="D775" t="s">
        <v>3123</v>
      </c>
      <c r="E775" t="s">
        <v>2159</v>
      </c>
      <c r="F775">
        <v>87</v>
      </c>
      <c r="G775">
        <v>91</v>
      </c>
      <c r="H775">
        <v>23</v>
      </c>
      <c r="I775" t="s">
        <v>3124</v>
      </c>
      <c r="J775" t="s">
        <v>655</v>
      </c>
      <c r="K775" t="s">
        <v>811</v>
      </c>
      <c r="L775" t="s">
        <v>173</v>
      </c>
      <c r="M775" t="s">
        <v>3125</v>
      </c>
      <c r="N775">
        <v>90</v>
      </c>
      <c r="O775">
        <v>75</v>
      </c>
      <c r="P775" t="s">
        <v>42</v>
      </c>
    </row>
    <row r="776" spans="1:16" x14ac:dyDescent="0.4">
      <c r="A776" t="s">
        <v>3126</v>
      </c>
      <c r="B776" t="s">
        <v>225</v>
      </c>
      <c r="C776" t="s">
        <v>54</v>
      </c>
      <c r="D776" t="s">
        <v>3127</v>
      </c>
      <c r="E776" t="s">
        <v>2905</v>
      </c>
      <c r="F776">
        <v>79</v>
      </c>
      <c r="G776">
        <v>37</v>
      </c>
      <c r="H776">
        <v>98</v>
      </c>
      <c r="I776" t="s">
        <v>21</v>
      </c>
      <c r="J776" s="1">
        <v>45300</v>
      </c>
      <c r="K776" s="1">
        <v>45325</v>
      </c>
      <c r="L776" t="s">
        <v>666</v>
      </c>
      <c r="M776" t="s">
        <v>3128</v>
      </c>
      <c r="N776">
        <v>33</v>
      </c>
      <c r="O776">
        <v>20</v>
      </c>
      <c r="P776" t="s">
        <v>26</v>
      </c>
    </row>
    <row r="777" spans="1:16" x14ac:dyDescent="0.4">
      <c r="A777" t="s">
        <v>3129</v>
      </c>
      <c r="B777" t="s">
        <v>677</v>
      </c>
      <c r="C777" t="s">
        <v>169</v>
      </c>
      <c r="D777" t="s">
        <v>3130</v>
      </c>
      <c r="E777" t="s">
        <v>2184</v>
      </c>
      <c r="F777">
        <v>14</v>
      </c>
      <c r="G777">
        <v>52</v>
      </c>
      <c r="H777">
        <v>80</v>
      </c>
      <c r="I777" t="s">
        <v>3131</v>
      </c>
      <c r="J777" t="s">
        <v>955</v>
      </c>
      <c r="K777" t="s">
        <v>866</v>
      </c>
      <c r="L777" t="s">
        <v>274</v>
      </c>
      <c r="M777" t="s">
        <v>3132</v>
      </c>
      <c r="N777">
        <v>64</v>
      </c>
      <c r="O777">
        <v>17</v>
      </c>
      <c r="P777" t="s">
        <v>26</v>
      </c>
    </row>
    <row r="778" spans="1:16" x14ac:dyDescent="0.4">
      <c r="A778" t="s">
        <v>3133</v>
      </c>
      <c r="B778" t="s">
        <v>375</v>
      </c>
      <c r="C778" t="s">
        <v>54</v>
      </c>
      <c r="D778" t="s">
        <v>3134</v>
      </c>
      <c r="E778" t="s">
        <v>1315</v>
      </c>
      <c r="F778">
        <v>81</v>
      </c>
      <c r="G778">
        <v>35</v>
      </c>
      <c r="H778">
        <v>82</v>
      </c>
      <c r="I778" t="s">
        <v>85</v>
      </c>
      <c r="J778" t="s">
        <v>2285</v>
      </c>
      <c r="K778" t="s">
        <v>718</v>
      </c>
      <c r="L778" s="1">
        <v>45932</v>
      </c>
      <c r="M778" t="s">
        <v>3135</v>
      </c>
      <c r="N778">
        <v>86</v>
      </c>
      <c r="O778">
        <v>71</v>
      </c>
      <c r="P778" t="s">
        <v>42</v>
      </c>
    </row>
    <row r="779" spans="1:16" x14ac:dyDescent="0.4">
      <c r="A779" t="s">
        <v>3136</v>
      </c>
      <c r="B779" t="s">
        <v>1104</v>
      </c>
      <c r="C779" t="s">
        <v>54</v>
      </c>
      <c r="D779" t="s">
        <v>3137</v>
      </c>
      <c r="E779" t="s">
        <v>449</v>
      </c>
      <c r="F779">
        <v>75</v>
      </c>
      <c r="G779">
        <v>18</v>
      </c>
      <c r="H779">
        <v>65</v>
      </c>
      <c r="I779" t="s">
        <v>106</v>
      </c>
      <c r="J779" t="s">
        <v>598</v>
      </c>
      <c r="K779" t="s">
        <v>2285</v>
      </c>
      <c r="L779" t="s">
        <v>1014</v>
      </c>
      <c r="M779" t="s">
        <v>3138</v>
      </c>
      <c r="N779">
        <v>32</v>
      </c>
      <c r="O779">
        <v>92</v>
      </c>
      <c r="P779" t="s">
        <v>51</v>
      </c>
    </row>
    <row r="780" spans="1:16" x14ac:dyDescent="0.4">
      <c r="A780" t="s">
        <v>3139</v>
      </c>
      <c r="B780" t="s">
        <v>799</v>
      </c>
      <c r="C780" t="s">
        <v>77</v>
      </c>
      <c r="D780" t="s">
        <v>3140</v>
      </c>
      <c r="E780" t="s">
        <v>427</v>
      </c>
      <c r="F780">
        <v>48</v>
      </c>
      <c r="G780">
        <v>12</v>
      </c>
      <c r="H780">
        <v>62</v>
      </c>
      <c r="I780" t="s">
        <v>134</v>
      </c>
      <c r="J780" t="s">
        <v>1005</v>
      </c>
      <c r="K780" s="1">
        <v>45387</v>
      </c>
      <c r="L780" t="s">
        <v>24</v>
      </c>
      <c r="M780" t="s">
        <v>3141</v>
      </c>
      <c r="N780">
        <v>59</v>
      </c>
      <c r="O780">
        <v>23</v>
      </c>
      <c r="P780" t="s">
        <v>51</v>
      </c>
    </row>
    <row r="781" spans="1:16" x14ac:dyDescent="0.4">
      <c r="A781" t="s">
        <v>3142</v>
      </c>
      <c r="B781" t="s">
        <v>271</v>
      </c>
      <c r="C781" t="s">
        <v>54</v>
      </c>
      <c r="D781" t="s">
        <v>3143</v>
      </c>
      <c r="E781" t="s">
        <v>1957</v>
      </c>
      <c r="F781">
        <v>50</v>
      </c>
      <c r="G781">
        <v>68</v>
      </c>
      <c r="H781">
        <v>90</v>
      </c>
      <c r="I781" t="s">
        <v>106</v>
      </c>
      <c r="J781" s="1">
        <v>45638</v>
      </c>
      <c r="K781" s="1">
        <v>45540</v>
      </c>
      <c r="L781" s="1">
        <v>45418</v>
      </c>
      <c r="M781" t="s">
        <v>3144</v>
      </c>
      <c r="N781">
        <v>40</v>
      </c>
      <c r="O781">
        <v>13</v>
      </c>
      <c r="P781" t="s">
        <v>26</v>
      </c>
    </row>
    <row r="782" spans="1:16" x14ac:dyDescent="0.4">
      <c r="A782" t="s">
        <v>3145</v>
      </c>
      <c r="B782" t="s">
        <v>263</v>
      </c>
      <c r="C782" t="s">
        <v>169</v>
      </c>
      <c r="D782" t="s">
        <v>3146</v>
      </c>
      <c r="E782" t="s">
        <v>484</v>
      </c>
      <c r="F782">
        <v>11</v>
      </c>
      <c r="G782">
        <v>87</v>
      </c>
      <c r="H782">
        <v>43</v>
      </c>
      <c r="I782" t="s">
        <v>266</v>
      </c>
      <c r="J782" s="1">
        <v>45689</v>
      </c>
      <c r="K782" s="1">
        <v>45449</v>
      </c>
      <c r="L782" s="1">
        <v>45902</v>
      </c>
      <c r="M782" t="s">
        <v>3147</v>
      </c>
      <c r="N782">
        <v>86</v>
      </c>
      <c r="O782">
        <v>91</v>
      </c>
      <c r="P782" t="s">
        <v>51</v>
      </c>
    </row>
    <row r="783" spans="1:16" x14ac:dyDescent="0.4">
      <c r="A783" t="s">
        <v>3148</v>
      </c>
      <c r="B783" t="s">
        <v>669</v>
      </c>
      <c r="C783" t="s">
        <v>18</v>
      </c>
      <c r="D783" t="s">
        <v>3149</v>
      </c>
      <c r="E783" t="s">
        <v>801</v>
      </c>
      <c r="F783">
        <v>74</v>
      </c>
      <c r="G783">
        <v>22</v>
      </c>
      <c r="H783">
        <v>91</v>
      </c>
      <c r="I783" t="s">
        <v>671</v>
      </c>
      <c r="J783" t="s">
        <v>1331</v>
      </c>
      <c r="K783" t="s">
        <v>1106</v>
      </c>
      <c r="L783" t="s">
        <v>792</v>
      </c>
      <c r="M783" t="s">
        <v>3150</v>
      </c>
      <c r="N783">
        <v>24</v>
      </c>
      <c r="O783">
        <v>12</v>
      </c>
      <c r="P783" t="s">
        <v>51</v>
      </c>
    </row>
    <row r="784" spans="1:16" x14ac:dyDescent="0.4">
      <c r="A784" t="s">
        <v>3151</v>
      </c>
      <c r="B784" t="s">
        <v>1538</v>
      </c>
      <c r="C784" t="s">
        <v>54</v>
      </c>
      <c r="D784" t="s">
        <v>3152</v>
      </c>
      <c r="E784" t="s">
        <v>97</v>
      </c>
      <c r="F784">
        <v>11</v>
      </c>
      <c r="G784">
        <v>10</v>
      </c>
      <c r="H784">
        <v>60</v>
      </c>
      <c r="I784" t="s">
        <v>71</v>
      </c>
      <c r="J784" s="1">
        <v>45575</v>
      </c>
      <c r="K784" s="1">
        <v>45448</v>
      </c>
      <c r="L784" t="s">
        <v>315</v>
      </c>
      <c r="M784" t="s">
        <v>3153</v>
      </c>
      <c r="N784">
        <v>93</v>
      </c>
      <c r="O784">
        <v>53</v>
      </c>
      <c r="P784" t="s">
        <v>26</v>
      </c>
    </row>
    <row r="785" spans="1:16" x14ac:dyDescent="0.4">
      <c r="A785" t="s">
        <v>3154</v>
      </c>
      <c r="B785" t="s">
        <v>492</v>
      </c>
      <c r="C785" t="s">
        <v>77</v>
      </c>
      <c r="D785" t="s">
        <v>3155</v>
      </c>
      <c r="E785" t="s">
        <v>3156</v>
      </c>
      <c r="F785">
        <v>85</v>
      </c>
      <c r="G785">
        <v>15</v>
      </c>
      <c r="H785">
        <v>30</v>
      </c>
      <c r="I785" t="s">
        <v>57</v>
      </c>
      <c r="J785" t="s">
        <v>1141</v>
      </c>
      <c r="K785" t="s">
        <v>455</v>
      </c>
      <c r="L785" s="1">
        <v>45455</v>
      </c>
      <c r="M785" t="s">
        <v>3157</v>
      </c>
      <c r="N785">
        <v>95</v>
      </c>
      <c r="O785">
        <v>63</v>
      </c>
      <c r="P785" t="s">
        <v>51</v>
      </c>
    </row>
    <row r="786" spans="1:16" x14ac:dyDescent="0.4">
      <c r="A786" t="s">
        <v>3158</v>
      </c>
      <c r="B786" t="s">
        <v>779</v>
      </c>
      <c r="C786" t="s">
        <v>54</v>
      </c>
      <c r="D786" t="s">
        <v>3159</v>
      </c>
      <c r="E786" t="s">
        <v>365</v>
      </c>
      <c r="F786">
        <v>57</v>
      </c>
      <c r="G786">
        <v>43</v>
      </c>
      <c r="H786">
        <v>46</v>
      </c>
      <c r="I786" t="s">
        <v>71</v>
      </c>
      <c r="J786" t="s">
        <v>1369</v>
      </c>
      <c r="K786" s="1">
        <v>45303</v>
      </c>
      <c r="L786" s="1">
        <v>45390</v>
      </c>
      <c r="M786" t="s">
        <v>3160</v>
      </c>
      <c r="N786">
        <v>87</v>
      </c>
      <c r="O786">
        <v>88</v>
      </c>
      <c r="P786" t="s">
        <v>26</v>
      </c>
    </row>
    <row r="787" spans="1:16" x14ac:dyDescent="0.4">
      <c r="A787" t="s">
        <v>3161</v>
      </c>
      <c r="B787" t="s">
        <v>1104</v>
      </c>
      <c r="C787" t="s">
        <v>54</v>
      </c>
      <c r="D787" t="s">
        <v>3162</v>
      </c>
      <c r="E787" t="s">
        <v>1467</v>
      </c>
      <c r="F787">
        <v>75</v>
      </c>
      <c r="G787">
        <v>56</v>
      </c>
      <c r="H787">
        <v>57</v>
      </c>
      <c r="I787" t="s">
        <v>1728</v>
      </c>
      <c r="J787" t="s">
        <v>526</v>
      </c>
      <c r="K787" t="s">
        <v>455</v>
      </c>
      <c r="L787" t="s">
        <v>24</v>
      </c>
      <c r="M787" t="s">
        <v>3163</v>
      </c>
      <c r="N787">
        <v>63</v>
      </c>
      <c r="O787">
        <v>64</v>
      </c>
      <c r="P787" t="s">
        <v>26</v>
      </c>
    </row>
    <row r="788" spans="1:16" x14ac:dyDescent="0.4">
      <c r="A788" t="s">
        <v>3164</v>
      </c>
      <c r="B788" t="s">
        <v>932</v>
      </c>
      <c r="C788" t="s">
        <v>77</v>
      </c>
      <c r="D788" t="s">
        <v>3165</v>
      </c>
      <c r="E788" t="s">
        <v>371</v>
      </c>
      <c r="F788">
        <v>63</v>
      </c>
      <c r="G788">
        <v>7</v>
      </c>
      <c r="H788">
        <v>23</v>
      </c>
      <c r="I788" t="s">
        <v>2657</v>
      </c>
      <c r="J788" s="1">
        <v>45482</v>
      </c>
      <c r="K788" t="s">
        <v>346</v>
      </c>
      <c r="L788" t="s">
        <v>383</v>
      </c>
      <c r="M788" t="s">
        <v>3166</v>
      </c>
      <c r="N788">
        <v>78</v>
      </c>
      <c r="O788">
        <v>100</v>
      </c>
      <c r="P788" t="s">
        <v>51</v>
      </c>
    </row>
    <row r="789" spans="1:16" x14ac:dyDescent="0.4">
      <c r="A789" t="s">
        <v>3167</v>
      </c>
      <c r="B789" t="s">
        <v>458</v>
      </c>
      <c r="C789" t="s">
        <v>29</v>
      </c>
      <c r="D789" t="s">
        <v>3168</v>
      </c>
      <c r="E789" t="s">
        <v>3169</v>
      </c>
      <c r="F789">
        <v>35</v>
      </c>
      <c r="G789">
        <v>20</v>
      </c>
      <c r="H789">
        <v>42</v>
      </c>
      <c r="I789" t="s">
        <v>3170</v>
      </c>
      <c r="J789" t="s">
        <v>127</v>
      </c>
      <c r="K789" s="1">
        <v>45420</v>
      </c>
      <c r="L789" s="1">
        <v>45870</v>
      </c>
      <c r="M789" t="s">
        <v>3171</v>
      </c>
      <c r="N789">
        <v>53</v>
      </c>
      <c r="O789">
        <v>56</v>
      </c>
      <c r="P789" t="s">
        <v>26</v>
      </c>
    </row>
    <row r="790" spans="1:16" x14ac:dyDescent="0.4">
      <c r="A790" t="s">
        <v>3172</v>
      </c>
      <c r="B790" t="s">
        <v>184</v>
      </c>
      <c r="C790" t="s">
        <v>54</v>
      </c>
      <c r="D790" t="s">
        <v>3173</v>
      </c>
      <c r="E790" t="s">
        <v>2377</v>
      </c>
      <c r="F790">
        <v>24</v>
      </c>
      <c r="G790">
        <v>32</v>
      </c>
      <c r="H790">
        <v>17</v>
      </c>
      <c r="I790" t="s">
        <v>91</v>
      </c>
      <c r="J790" t="s">
        <v>842</v>
      </c>
      <c r="K790" t="s">
        <v>579</v>
      </c>
      <c r="L790" s="1">
        <v>45329</v>
      </c>
      <c r="M790" t="s">
        <v>3174</v>
      </c>
      <c r="N790">
        <v>55</v>
      </c>
      <c r="O790">
        <v>72</v>
      </c>
      <c r="P790" t="s">
        <v>26</v>
      </c>
    </row>
    <row r="791" spans="1:16" x14ac:dyDescent="0.4">
      <c r="A791" t="s">
        <v>3175</v>
      </c>
      <c r="B791" t="s">
        <v>621</v>
      </c>
      <c r="C791" t="s">
        <v>18</v>
      </c>
      <c r="D791" t="s">
        <v>3176</v>
      </c>
      <c r="E791" t="s">
        <v>2962</v>
      </c>
      <c r="F791">
        <v>53</v>
      </c>
      <c r="G791">
        <v>26</v>
      </c>
      <c r="H791">
        <v>3</v>
      </c>
      <c r="I791" t="s">
        <v>624</v>
      </c>
      <c r="J791" s="1">
        <v>45325</v>
      </c>
      <c r="K791" s="1">
        <v>45389</v>
      </c>
      <c r="L791" s="1">
        <v>45446</v>
      </c>
      <c r="M791" t="s">
        <v>3177</v>
      </c>
      <c r="N791">
        <v>100</v>
      </c>
      <c r="O791">
        <v>94</v>
      </c>
      <c r="P791" t="s">
        <v>51</v>
      </c>
    </row>
    <row r="792" spans="1:16" x14ac:dyDescent="0.4">
      <c r="A792" t="s">
        <v>3178</v>
      </c>
      <c r="B792" t="s">
        <v>533</v>
      </c>
      <c r="C792" t="s">
        <v>112</v>
      </c>
      <c r="D792" t="s">
        <v>3179</v>
      </c>
      <c r="E792" t="s">
        <v>1391</v>
      </c>
      <c r="F792">
        <v>74</v>
      </c>
      <c r="G792">
        <v>81</v>
      </c>
      <c r="H792">
        <v>41</v>
      </c>
      <c r="I792" t="s">
        <v>39</v>
      </c>
      <c r="J792" s="1">
        <v>45779</v>
      </c>
      <c r="K792" s="1">
        <v>45327</v>
      </c>
      <c r="L792" t="s">
        <v>1129</v>
      </c>
      <c r="M792" t="s">
        <v>3180</v>
      </c>
      <c r="N792">
        <v>51</v>
      </c>
      <c r="O792">
        <v>67</v>
      </c>
      <c r="P792" t="s">
        <v>51</v>
      </c>
    </row>
    <row r="793" spans="1:16" x14ac:dyDescent="0.4">
      <c r="A793" t="s">
        <v>3181</v>
      </c>
      <c r="B793" t="s">
        <v>1406</v>
      </c>
      <c r="C793" t="s">
        <v>18</v>
      </c>
      <c r="D793" t="s">
        <v>3182</v>
      </c>
      <c r="E793" t="s">
        <v>1204</v>
      </c>
      <c r="F793">
        <v>79</v>
      </c>
      <c r="G793">
        <v>38</v>
      </c>
      <c r="H793">
        <v>67</v>
      </c>
      <c r="I793" t="s">
        <v>71</v>
      </c>
      <c r="J793" s="1">
        <v>45419</v>
      </c>
      <c r="K793" s="1">
        <v>45514</v>
      </c>
      <c r="L793" s="1">
        <v>45300</v>
      </c>
      <c r="M793" t="s">
        <v>3183</v>
      </c>
      <c r="N793">
        <v>43</v>
      </c>
      <c r="O793">
        <v>93</v>
      </c>
      <c r="P793" t="s">
        <v>26</v>
      </c>
    </row>
    <row r="794" spans="1:16" x14ac:dyDescent="0.4">
      <c r="A794" t="s">
        <v>3184</v>
      </c>
      <c r="B794" t="s">
        <v>138</v>
      </c>
      <c r="C794" t="s">
        <v>18</v>
      </c>
      <c r="D794" t="s">
        <v>3185</v>
      </c>
      <c r="E794" t="s">
        <v>472</v>
      </c>
      <c r="F794">
        <v>54</v>
      </c>
      <c r="G794">
        <v>78</v>
      </c>
      <c r="H794">
        <v>81</v>
      </c>
      <c r="I794" t="s">
        <v>47</v>
      </c>
      <c r="J794" s="1">
        <v>45327</v>
      </c>
      <c r="K794" t="s">
        <v>1418</v>
      </c>
      <c r="L794" s="1">
        <v>45419</v>
      </c>
      <c r="M794" t="s">
        <v>3186</v>
      </c>
      <c r="N794">
        <v>41</v>
      </c>
      <c r="O794">
        <v>63</v>
      </c>
      <c r="P794" t="s">
        <v>42</v>
      </c>
    </row>
    <row r="795" spans="1:16" x14ac:dyDescent="0.4">
      <c r="A795" t="s">
        <v>3187</v>
      </c>
      <c r="B795" t="s">
        <v>607</v>
      </c>
      <c r="C795" t="s">
        <v>68</v>
      </c>
      <c r="D795" t="s">
        <v>3188</v>
      </c>
      <c r="E795" t="s">
        <v>3189</v>
      </c>
      <c r="F795">
        <v>44</v>
      </c>
      <c r="G795">
        <v>83</v>
      </c>
      <c r="H795">
        <v>78</v>
      </c>
      <c r="I795" t="s">
        <v>466</v>
      </c>
      <c r="J795" s="1">
        <v>45511</v>
      </c>
      <c r="K795" s="1">
        <v>45839</v>
      </c>
      <c r="L795" t="s">
        <v>421</v>
      </c>
      <c r="M795" t="s">
        <v>3190</v>
      </c>
      <c r="N795">
        <v>46</v>
      </c>
      <c r="O795">
        <v>4</v>
      </c>
      <c r="P795" t="s">
        <v>26</v>
      </c>
    </row>
    <row r="796" spans="1:16" x14ac:dyDescent="0.4">
      <c r="A796" t="s">
        <v>3191</v>
      </c>
      <c r="B796" t="s">
        <v>669</v>
      </c>
      <c r="C796" t="s">
        <v>18</v>
      </c>
      <c r="D796" t="s">
        <v>3192</v>
      </c>
      <c r="E796" t="s">
        <v>1718</v>
      </c>
      <c r="F796">
        <v>77</v>
      </c>
      <c r="G796">
        <v>19</v>
      </c>
      <c r="H796">
        <v>31</v>
      </c>
      <c r="I796" t="s">
        <v>671</v>
      </c>
      <c r="J796" t="s">
        <v>654</v>
      </c>
      <c r="K796" t="s">
        <v>444</v>
      </c>
      <c r="L796" t="s">
        <v>300</v>
      </c>
      <c r="M796" t="s">
        <v>3193</v>
      </c>
      <c r="N796">
        <v>27</v>
      </c>
      <c r="O796">
        <v>25</v>
      </c>
      <c r="P796" t="s">
        <v>42</v>
      </c>
    </row>
    <row r="797" spans="1:16" x14ac:dyDescent="0.4">
      <c r="A797" t="s">
        <v>3194</v>
      </c>
      <c r="B797" t="s">
        <v>1447</v>
      </c>
      <c r="C797" t="s">
        <v>54</v>
      </c>
      <c r="D797" t="s">
        <v>3195</v>
      </c>
      <c r="E797" t="s">
        <v>1385</v>
      </c>
      <c r="F797">
        <v>42</v>
      </c>
      <c r="G797">
        <v>61</v>
      </c>
      <c r="H797">
        <v>52</v>
      </c>
      <c r="I797" t="s">
        <v>220</v>
      </c>
      <c r="J797" s="1">
        <v>45334</v>
      </c>
      <c r="K797" t="s">
        <v>450</v>
      </c>
      <c r="L797" t="s">
        <v>842</v>
      </c>
      <c r="M797" t="s">
        <v>3196</v>
      </c>
      <c r="N797">
        <v>86</v>
      </c>
      <c r="O797">
        <v>99</v>
      </c>
      <c r="P797" t="s">
        <v>42</v>
      </c>
    </row>
    <row r="798" spans="1:16" x14ac:dyDescent="0.4">
      <c r="A798" t="s">
        <v>3197</v>
      </c>
      <c r="B798" t="s">
        <v>1814</v>
      </c>
      <c r="C798" t="s">
        <v>54</v>
      </c>
      <c r="D798" t="s">
        <v>3198</v>
      </c>
      <c r="E798" t="s">
        <v>1183</v>
      </c>
      <c r="F798">
        <v>44</v>
      </c>
      <c r="G798">
        <v>77</v>
      </c>
      <c r="H798">
        <v>45</v>
      </c>
      <c r="I798" t="s">
        <v>106</v>
      </c>
      <c r="J798" t="s">
        <v>854</v>
      </c>
      <c r="K798" t="s">
        <v>165</v>
      </c>
      <c r="L798" t="s">
        <v>100</v>
      </c>
      <c r="M798" t="s">
        <v>3199</v>
      </c>
      <c r="N798">
        <v>89</v>
      </c>
      <c r="O798">
        <v>64</v>
      </c>
      <c r="P798" t="s">
        <v>26</v>
      </c>
    </row>
    <row r="799" spans="1:16" x14ac:dyDescent="0.4">
      <c r="A799" t="s">
        <v>3200</v>
      </c>
      <c r="B799" t="s">
        <v>839</v>
      </c>
      <c r="C799" t="s">
        <v>77</v>
      </c>
      <c r="D799" t="s">
        <v>3201</v>
      </c>
      <c r="E799" t="s">
        <v>478</v>
      </c>
      <c r="F799">
        <v>81</v>
      </c>
      <c r="G799">
        <v>76</v>
      </c>
      <c r="H799">
        <v>10</v>
      </c>
      <c r="I799" t="s">
        <v>57</v>
      </c>
      <c r="J799" t="s">
        <v>725</v>
      </c>
      <c r="K799" t="s">
        <v>1129</v>
      </c>
      <c r="L799" t="s">
        <v>99</v>
      </c>
      <c r="M799" t="s">
        <v>3202</v>
      </c>
      <c r="N799">
        <v>68</v>
      </c>
      <c r="O799">
        <v>100</v>
      </c>
      <c r="P799" t="s">
        <v>42</v>
      </c>
    </row>
    <row r="800" spans="1:16" x14ac:dyDescent="0.4">
      <c r="A800" t="s">
        <v>3203</v>
      </c>
      <c r="B800" t="s">
        <v>36</v>
      </c>
      <c r="C800" t="s">
        <v>18</v>
      </c>
      <c r="D800" t="s">
        <v>3204</v>
      </c>
      <c r="E800" t="s">
        <v>1034</v>
      </c>
      <c r="F800">
        <v>92</v>
      </c>
      <c r="G800">
        <v>48</v>
      </c>
      <c r="H800">
        <v>22</v>
      </c>
      <c r="I800" t="s">
        <v>2693</v>
      </c>
      <c r="J800" t="s">
        <v>1188</v>
      </c>
      <c r="K800" s="1">
        <v>45303</v>
      </c>
      <c r="L800" t="s">
        <v>1174</v>
      </c>
      <c r="M800" t="s">
        <v>3205</v>
      </c>
      <c r="N800">
        <v>38</v>
      </c>
      <c r="O800">
        <v>61</v>
      </c>
      <c r="P800" t="s">
        <v>42</v>
      </c>
    </row>
    <row r="801" spans="1:16" x14ac:dyDescent="0.4">
      <c r="A801" t="s">
        <v>3206</v>
      </c>
      <c r="B801" t="s">
        <v>1761</v>
      </c>
      <c r="C801" t="s">
        <v>169</v>
      </c>
      <c r="D801" t="s">
        <v>3207</v>
      </c>
      <c r="E801" t="s">
        <v>2025</v>
      </c>
      <c r="F801">
        <v>78</v>
      </c>
      <c r="G801">
        <v>68</v>
      </c>
      <c r="H801">
        <v>86</v>
      </c>
      <c r="I801" t="s">
        <v>320</v>
      </c>
      <c r="J801" t="s">
        <v>718</v>
      </c>
      <c r="K801" t="s">
        <v>300</v>
      </c>
      <c r="L801" t="s">
        <v>158</v>
      </c>
      <c r="M801" t="s">
        <v>3208</v>
      </c>
      <c r="N801">
        <v>47</v>
      </c>
      <c r="O801">
        <v>95</v>
      </c>
      <c r="P801" t="s">
        <v>26</v>
      </c>
    </row>
    <row r="802" spans="1:16" x14ac:dyDescent="0.4">
      <c r="A802" t="s">
        <v>3209</v>
      </c>
      <c r="B802" t="s">
        <v>492</v>
      </c>
      <c r="C802" t="s">
        <v>77</v>
      </c>
      <c r="D802" t="s">
        <v>3210</v>
      </c>
      <c r="E802" t="s">
        <v>1183</v>
      </c>
      <c r="F802">
        <v>85</v>
      </c>
      <c r="G802">
        <v>66</v>
      </c>
      <c r="H802">
        <v>85</v>
      </c>
      <c r="I802" t="s">
        <v>771</v>
      </c>
      <c r="J802" s="1">
        <v>45809</v>
      </c>
      <c r="K802" t="s">
        <v>969</v>
      </c>
      <c r="L802" s="1">
        <v>45544</v>
      </c>
      <c r="M802" t="s">
        <v>3211</v>
      </c>
      <c r="N802">
        <v>65</v>
      </c>
      <c r="O802">
        <v>58</v>
      </c>
      <c r="P802" t="s">
        <v>26</v>
      </c>
    </row>
    <row r="803" spans="1:16" x14ac:dyDescent="0.4">
      <c r="A803" t="s">
        <v>3212</v>
      </c>
      <c r="B803" t="s">
        <v>722</v>
      </c>
      <c r="C803" t="s">
        <v>54</v>
      </c>
      <c r="D803" t="s">
        <v>3213</v>
      </c>
      <c r="E803" t="s">
        <v>2955</v>
      </c>
      <c r="F803">
        <v>65</v>
      </c>
      <c r="G803">
        <v>69</v>
      </c>
      <c r="H803">
        <v>4</v>
      </c>
      <c r="I803" t="s">
        <v>39</v>
      </c>
      <c r="J803" t="s">
        <v>882</v>
      </c>
      <c r="K803" t="s">
        <v>1005</v>
      </c>
      <c r="L803" t="s">
        <v>244</v>
      </c>
      <c r="M803" t="s">
        <v>3214</v>
      </c>
      <c r="N803">
        <v>80</v>
      </c>
      <c r="O803">
        <v>26</v>
      </c>
      <c r="P803" t="s">
        <v>51</v>
      </c>
    </row>
    <row r="804" spans="1:16" x14ac:dyDescent="0.4">
      <c r="A804" t="s">
        <v>3215</v>
      </c>
      <c r="B804" t="s">
        <v>248</v>
      </c>
      <c r="C804" t="s">
        <v>68</v>
      </c>
      <c r="D804" t="s">
        <v>3216</v>
      </c>
      <c r="E804" t="s">
        <v>1747</v>
      </c>
      <c r="F804">
        <v>36</v>
      </c>
      <c r="G804">
        <v>3</v>
      </c>
      <c r="H804">
        <v>54</v>
      </c>
      <c r="I804" t="s">
        <v>39</v>
      </c>
      <c r="J804" s="1">
        <v>45354</v>
      </c>
      <c r="K804" t="s">
        <v>1369</v>
      </c>
      <c r="L804" t="s">
        <v>115</v>
      </c>
      <c r="M804" t="s">
        <v>3217</v>
      </c>
      <c r="N804">
        <v>74</v>
      </c>
      <c r="O804">
        <v>8</v>
      </c>
      <c r="P804" t="s">
        <v>26</v>
      </c>
    </row>
    <row r="805" spans="1:16" x14ac:dyDescent="0.4">
      <c r="A805" t="s">
        <v>3218</v>
      </c>
      <c r="B805" t="s">
        <v>521</v>
      </c>
      <c r="C805" t="s">
        <v>54</v>
      </c>
      <c r="D805" t="s">
        <v>3219</v>
      </c>
      <c r="E805" t="s">
        <v>3220</v>
      </c>
      <c r="F805">
        <v>26</v>
      </c>
      <c r="G805">
        <v>63</v>
      </c>
      <c r="H805">
        <v>88</v>
      </c>
      <c r="I805" t="s">
        <v>523</v>
      </c>
      <c r="J805" s="1">
        <v>45540</v>
      </c>
      <c r="K805" t="s">
        <v>462</v>
      </c>
      <c r="L805" t="s">
        <v>100</v>
      </c>
      <c r="M805" t="s">
        <v>3221</v>
      </c>
      <c r="N805">
        <v>84</v>
      </c>
      <c r="O805">
        <v>70</v>
      </c>
      <c r="P805" t="s">
        <v>51</v>
      </c>
    </row>
    <row r="806" spans="1:16" x14ac:dyDescent="0.4">
      <c r="A806" t="s">
        <v>3222</v>
      </c>
      <c r="B806" t="s">
        <v>1086</v>
      </c>
      <c r="C806" t="s">
        <v>68</v>
      </c>
      <c r="D806" t="s">
        <v>3223</v>
      </c>
      <c r="E806" t="s">
        <v>1549</v>
      </c>
      <c r="F806">
        <v>39</v>
      </c>
      <c r="G806">
        <v>13</v>
      </c>
      <c r="H806">
        <v>13</v>
      </c>
      <c r="I806" t="s">
        <v>71</v>
      </c>
      <c r="J806" t="s">
        <v>556</v>
      </c>
      <c r="K806" t="s">
        <v>48</v>
      </c>
      <c r="L806" t="s">
        <v>1238</v>
      </c>
      <c r="M806" t="s">
        <v>3224</v>
      </c>
      <c r="N806">
        <v>84</v>
      </c>
      <c r="O806">
        <v>93</v>
      </c>
      <c r="P806" t="s">
        <v>51</v>
      </c>
    </row>
    <row r="807" spans="1:16" x14ac:dyDescent="0.4">
      <c r="A807" t="s">
        <v>3225</v>
      </c>
      <c r="B807" t="s">
        <v>103</v>
      </c>
      <c r="C807" t="s">
        <v>18</v>
      </c>
      <c r="D807" t="s">
        <v>3226</v>
      </c>
      <c r="E807" t="s">
        <v>2442</v>
      </c>
      <c r="F807">
        <v>39</v>
      </c>
      <c r="G807">
        <v>83</v>
      </c>
      <c r="H807">
        <v>21</v>
      </c>
      <c r="I807" t="s">
        <v>106</v>
      </c>
      <c r="J807" t="s">
        <v>509</v>
      </c>
      <c r="K807" t="s">
        <v>956</v>
      </c>
      <c r="L807" s="1">
        <v>45630</v>
      </c>
      <c r="M807" t="s">
        <v>3227</v>
      </c>
      <c r="N807">
        <v>73</v>
      </c>
      <c r="O807">
        <v>88</v>
      </c>
      <c r="P807" t="s">
        <v>51</v>
      </c>
    </row>
    <row r="808" spans="1:16" x14ac:dyDescent="0.4">
      <c r="A808" t="s">
        <v>3228</v>
      </c>
      <c r="B808" t="s">
        <v>184</v>
      </c>
      <c r="C808" t="s">
        <v>54</v>
      </c>
      <c r="D808" t="s">
        <v>3229</v>
      </c>
      <c r="E808" t="s">
        <v>306</v>
      </c>
      <c r="F808">
        <v>83</v>
      </c>
      <c r="G808">
        <v>61</v>
      </c>
      <c r="H808">
        <v>4</v>
      </c>
      <c r="I808" t="s">
        <v>91</v>
      </c>
      <c r="J808" t="s">
        <v>1080</v>
      </c>
      <c r="K808" s="1">
        <v>45423</v>
      </c>
      <c r="L808" t="s">
        <v>420</v>
      </c>
      <c r="M808" t="s">
        <v>3230</v>
      </c>
      <c r="N808">
        <v>35</v>
      </c>
      <c r="O808">
        <v>7</v>
      </c>
      <c r="P808" t="s">
        <v>42</v>
      </c>
    </row>
    <row r="809" spans="1:16" x14ac:dyDescent="0.4">
      <c r="A809" t="s">
        <v>3231</v>
      </c>
      <c r="B809" t="s">
        <v>233</v>
      </c>
      <c r="C809" t="s">
        <v>54</v>
      </c>
      <c r="D809" t="s">
        <v>3232</v>
      </c>
      <c r="E809" t="s">
        <v>2482</v>
      </c>
      <c r="F809">
        <v>28</v>
      </c>
      <c r="G809">
        <v>5</v>
      </c>
      <c r="H809">
        <v>9</v>
      </c>
      <c r="I809" t="s">
        <v>466</v>
      </c>
      <c r="J809" t="s">
        <v>467</v>
      </c>
      <c r="K809" t="s">
        <v>467</v>
      </c>
      <c r="L809" s="1">
        <v>45385</v>
      </c>
      <c r="M809" t="s">
        <v>3233</v>
      </c>
      <c r="N809">
        <v>33</v>
      </c>
      <c r="O809">
        <v>9</v>
      </c>
      <c r="P809" t="s">
        <v>26</v>
      </c>
    </row>
    <row r="810" spans="1:16" x14ac:dyDescent="0.4">
      <c r="A810" t="s">
        <v>3234</v>
      </c>
      <c r="B810" t="s">
        <v>814</v>
      </c>
      <c r="C810" t="s">
        <v>169</v>
      </c>
      <c r="D810" t="s">
        <v>3235</v>
      </c>
      <c r="E810" t="s">
        <v>1747</v>
      </c>
      <c r="F810">
        <v>85</v>
      </c>
      <c r="G810">
        <v>17</v>
      </c>
      <c r="H810">
        <v>96</v>
      </c>
      <c r="I810" t="s">
        <v>817</v>
      </c>
      <c r="J810" s="1">
        <v>45423</v>
      </c>
      <c r="K810" s="1">
        <v>45329</v>
      </c>
      <c r="L810" s="1">
        <v>45508</v>
      </c>
      <c r="M810" t="s">
        <v>3236</v>
      </c>
      <c r="N810">
        <v>92</v>
      </c>
      <c r="O810">
        <v>34</v>
      </c>
      <c r="P810" t="s">
        <v>26</v>
      </c>
    </row>
    <row r="811" spans="1:16" x14ac:dyDescent="0.4">
      <c r="A811" t="s">
        <v>3237</v>
      </c>
      <c r="B811" t="s">
        <v>1104</v>
      </c>
      <c r="C811" t="s">
        <v>54</v>
      </c>
      <c r="D811" t="s">
        <v>3238</v>
      </c>
      <c r="E811" t="s">
        <v>1330</v>
      </c>
      <c r="F811">
        <v>76</v>
      </c>
      <c r="G811">
        <v>39</v>
      </c>
      <c r="H811">
        <v>15</v>
      </c>
      <c r="I811" t="s">
        <v>106</v>
      </c>
      <c r="J811" s="1">
        <v>45455</v>
      </c>
      <c r="K811" t="s">
        <v>260</v>
      </c>
      <c r="L811" t="s">
        <v>22</v>
      </c>
      <c r="M811" t="s">
        <v>3239</v>
      </c>
      <c r="N811">
        <v>77</v>
      </c>
      <c r="O811">
        <v>70</v>
      </c>
      <c r="P811" t="s">
        <v>42</v>
      </c>
    </row>
    <row r="812" spans="1:16" x14ac:dyDescent="0.4">
      <c r="A812" t="s">
        <v>3240</v>
      </c>
      <c r="B812" t="s">
        <v>1538</v>
      </c>
      <c r="C812" t="s">
        <v>54</v>
      </c>
      <c r="D812" t="s">
        <v>3241</v>
      </c>
      <c r="E812" t="s">
        <v>1736</v>
      </c>
      <c r="F812">
        <v>100</v>
      </c>
      <c r="G812">
        <v>64</v>
      </c>
      <c r="H812">
        <v>62</v>
      </c>
      <c r="I812" t="s">
        <v>71</v>
      </c>
      <c r="J812" t="s">
        <v>1179</v>
      </c>
      <c r="K812" t="s">
        <v>2285</v>
      </c>
      <c r="L812" t="s">
        <v>301</v>
      </c>
      <c r="M812" t="s">
        <v>3242</v>
      </c>
      <c r="N812">
        <v>84</v>
      </c>
      <c r="O812">
        <v>44</v>
      </c>
      <c r="P812" t="s">
        <v>26</v>
      </c>
    </row>
    <row r="813" spans="1:16" x14ac:dyDescent="0.4">
      <c r="A813" t="s">
        <v>3243</v>
      </c>
      <c r="B813" t="s">
        <v>722</v>
      </c>
      <c r="C813" t="s">
        <v>54</v>
      </c>
      <c r="D813" t="s">
        <v>3244</v>
      </c>
      <c r="E813" t="s">
        <v>3245</v>
      </c>
      <c r="F813">
        <v>17</v>
      </c>
      <c r="G813">
        <v>45</v>
      </c>
      <c r="H813">
        <v>44</v>
      </c>
      <c r="I813" t="s">
        <v>39</v>
      </c>
      <c r="J813" t="s">
        <v>915</v>
      </c>
      <c r="K813" s="1">
        <v>45355</v>
      </c>
      <c r="L813" s="1">
        <v>45575</v>
      </c>
      <c r="M813" t="s">
        <v>3246</v>
      </c>
      <c r="N813">
        <v>37</v>
      </c>
      <c r="O813">
        <v>16</v>
      </c>
      <c r="P813" t="s">
        <v>51</v>
      </c>
    </row>
    <row r="814" spans="1:16" x14ac:dyDescent="0.4">
      <c r="A814" t="s">
        <v>3247</v>
      </c>
      <c r="B814" t="s">
        <v>1017</v>
      </c>
      <c r="C814" t="s">
        <v>169</v>
      </c>
      <c r="D814" t="s">
        <v>3248</v>
      </c>
      <c r="E814" t="s">
        <v>1065</v>
      </c>
      <c r="F814">
        <v>51</v>
      </c>
      <c r="G814">
        <v>35</v>
      </c>
      <c r="H814">
        <v>95</v>
      </c>
      <c r="I814" t="s">
        <v>591</v>
      </c>
      <c r="J814" t="s">
        <v>548</v>
      </c>
      <c r="K814" s="1">
        <v>45509</v>
      </c>
      <c r="L814" t="s">
        <v>22</v>
      </c>
      <c r="M814" t="s">
        <v>3249</v>
      </c>
      <c r="N814">
        <v>80</v>
      </c>
      <c r="O814">
        <v>89</v>
      </c>
      <c r="P814" t="s">
        <v>42</v>
      </c>
    </row>
    <row r="815" spans="1:16" x14ac:dyDescent="0.4">
      <c r="A815" t="s">
        <v>3250</v>
      </c>
      <c r="B815" t="s">
        <v>1383</v>
      </c>
      <c r="C815" t="s">
        <v>54</v>
      </c>
      <c r="D815" t="s">
        <v>3251</v>
      </c>
      <c r="E815" t="s">
        <v>227</v>
      </c>
      <c r="F815">
        <v>54</v>
      </c>
      <c r="G815">
        <v>88</v>
      </c>
      <c r="H815">
        <v>43</v>
      </c>
      <c r="I815" t="s">
        <v>1386</v>
      </c>
      <c r="J815" s="1">
        <v>45993</v>
      </c>
      <c r="K815" t="s">
        <v>100</v>
      </c>
      <c r="L815" t="s">
        <v>637</v>
      </c>
      <c r="M815" t="s">
        <v>3252</v>
      </c>
      <c r="N815">
        <v>81</v>
      </c>
      <c r="O815">
        <v>77</v>
      </c>
      <c r="P815" t="s">
        <v>42</v>
      </c>
    </row>
    <row r="816" spans="1:16" x14ac:dyDescent="0.4">
      <c r="A816" t="s">
        <v>3253</v>
      </c>
      <c r="B816" t="s">
        <v>363</v>
      </c>
      <c r="C816" t="s">
        <v>112</v>
      </c>
      <c r="D816" t="s">
        <v>3254</v>
      </c>
      <c r="E816" t="s">
        <v>1347</v>
      </c>
      <c r="F816">
        <v>94</v>
      </c>
      <c r="G816">
        <v>56</v>
      </c>
      <c r="H816">
        <v>80</v>
      </c>
      <c r="I816" t="s">
        <v>57</v>
      </c>
      <c r="J816" s="1">
        <v>45748</v>
      </c>
      <c r="K816" s="1">
        <v>45334</v>
      </c>
      <c r="L816" t="s">
        <v>1351</v>
      </c>
      <c r="M816" t="s">
        <v>3255</v>
      </c>
      <c r="N816">
        <v>47</v>
      </c>
      <c r="O816">
        <v>96</v>
      </c>
      <c r="P816" t="s">
        <v>42</v>
      </c>
    </row>
    <row r="817" spans="1:16" x14ac:dyDescent="0.4">
      <c r="A817" t="s">
        <v>3256</v>
      </c>
      <c r="B817" t="s">
        <v>962</v>
      </c>
      <c r="C817" t="s">
        <v>54</v>
      </c>
      <c r="D817" t="s">
        <v>3257</v>
      </c>
      <c r="E817" t="s">
        <v>114</v>
      </c>
      <c r="F817">
        <v>34</v>
      </c>
      <c r="G817">
        <v>95</v>
      </c>
      <c r="H817">
        <v>18</v>
      </c>
      <c r="I817" t="s">
        <v>220</v>
      </c>
      <c r="J817" t="s">
        <v>108</v>
      </c>
      <c r="K817" t="s">
        <v>383</v>
      </c>
      <c r="L817" s="1">
        <v>45631</v>
      </c>
      <c r="M817" t="s">
        <v>3258</v>
      </c>
      <c r="N817">
        <v>41</v>
      </c>
      <c r="O817">
        <v>26</v>
      </c>
      <c r="P817" t="s">
        <v>26</v>
      </c>
    </row>
    <row r="818" spans="1:16" x14ac:dyDescent="0.4">
      <c r="A818" t="s">
        <v>3259</v>
      </c>
      <c r="B818" t="s">
        <v>255</v>
      </c>
      <c r="C818" t="s">
        <v>29</v>
      </c>
      <c r="D818" t="s">
        <v>3260</v>
      </c>
      <c r="E818" t="s">
        <v>3261</v>
      </c>
      <c r="F818">
        <v>27</v>
      </c>
      <c r="G818">
        <v>1</v>
      </c>
      <c r="H818">
        <v>3</v>
      </c>
      <c r="I818" t="s">
        <v>258</v>
      </c>
      <c r="J818" t="s">
        <v>1141</v>
      </c>
      <c r="K818" s="1">
        <v>45543</v>
      </c>
      <c r="L818" t="s">
        <v>367</v>
      </c>
      <c r="M818" t="s">
        <v>3262</v>
      </c>
      <c r="N818">
        <v>34</v>
      </c>
      <c r="O818">
        <v>63</v>
      </c>
      <c r="P818" t="s">
        <v>42</v>
      </c>
    </row>
    <row r="819" spans="1:16" x14ac:dyDescent="0.4">
      <c r="A819" t="s">
        <v>3263</v>
      </c>
      <c r="B819" t="s">
        <v>60</v>
      </c>
      <c r="C819" t="s">
        <v>18</v>
      </c>
      <c r="D819" t="s">
        <v>3264</v>
      </c>
      <c r="E819" t="s">
        <v>257</v>
      </c>
      <c r="F819">
        <v>50</v>
      </c>
      <c r="G819">
        <v>42</v>
      </c>
      <c r="H819">
        <v>20</v>
      </c>
      <c r="I819" t="s">
        <v>63</v>
      </c>
      <c r="J819" s="1">
        <v>45454</v>
      </c>
      <c r="K819" t="s">
        <v>48</v>
      </c>
      <c r="L819" t="s">
        <v>1049</v>
      </c>
      <c r="M819" t="s">
        <v>3265</v>
      </c>
      <c r="N819">
        <v>87</v>
      </c>
      <c r="O819">
        <v>59</v>
      </c>
      <c r="P819" t="s">
        <v>51</v>
      </c>
    </row>
    <row r="820" spans="1:16" x14ac:dyDescent="0.4">
      <c r="A820" t="s">
        <v>3266</v>
      </c>
      <c r="B820" t="s">
        <v>669</v>
      </c>
      <c r="C820" t="s">
        <v>18</v>
      </c>
      <c r="D820" t="s">
        <v>3267</v>
      </c>
      <c r="E820" t="s">
        <v>2966</v>
      </c>
      <c r="F820">
        <v>85</v>
      </c>
      <c r="G820">
        <v>12</v>
      </c>
      <c r="H820">
        <v>94</v>
      </c>
      <c r="I820" t="s">
        <v>671</v>
      </c>
      <c r="J820" t="s">
        <v>561</v>
      </c>
      <c r="K820" t="s">
        <v>455</v>
      </c>
      <c r="L820" t="s">
        <v>1238</v>
      </c>
      <c r="M820" t="s">
        <v>3268</v>
      </c>
      <c r="N820">
        <v>26</v>
      </c>
      <c r="O820">
        <v>32</v>
      </c>
      <c r="P820" t="s">
        <v>26</v>
      </c>
    </row>
    <row r="821" spans="1:16" x14ac:dyDescent="0.4">
      <c r="A821" t="s">
        <v>3269</v>
      </c>
      <c r="B821" t="s">
        <v>627</v>
      </c>
      <c r="C821" t="s">
        <v>18</v>
      </c>
      <c r="D821" t="s">
        <v>3270</v>
      </c>
      <c r="E821" t="s">
        <v>1136</v>
      </c>
      <c r="F821">
        <v>24</v>
      </c>
      <c r="G821">
        <v>2</v>
      </c>
      <c r="H821">
        <v>49</v>
      </c>
      <c r="I821" t="s">
        <v>106</v>
      </c>
      <c r="J821" s="1">
        <v>45328</v>
      </c>
      <c r="K821" t="s">
        <v>286</v>
      </c>
      <c r="L821" s="1">
        <v>45421</v>
      </c>
      <c r="M821" t="s">
        <v>3271</v>
      </c>
      <c r="N821">
        <v>98</v>
      </c>
      <c r="O821">
        <v>82</v>
      </c>
      <c r="P821" t="s">
        <v>51</v>
      </c>
    </row>
    <row r="822" spans="1:16" x14ac:dyDescent="0.4">
      <c r="A822" t="s">
        <v>3272</v>
      </c>
      <c r="B822" t="s">
        <v>1428</v>
      </c>
      <c r="C822" t="s">
        <v>169</v>
      </c>
      <c r="D822" t="s">
        <v>3273</v>
      </c>
      <c r="E822" t="s">
        <v>973</v>
      </c>
      <c r="F822">
        <v>82</v>
      </c>
      <c r="G822">
        <v>31</v>
      </c>
      <c r="H822">
        <v>86</v>
      </c>
      <c r="I822" t="s">
        <v>32</v>
      </c>
      <c r="J822" s="1">
        <v>45569</v>
      </c>
      <c r="K822" t="s">
        <v>807</v>
      </c>
      <c r="L822" s="1">
        <v>45870</v>
      </c>
      <c r="M822" t="s">
        <v>3274</v>
      </c>
      <c r="N822">
        <v>66</v>
      </c>
      <c r="O822">
        <v>74</v>
      </c>
      <c r="P822" t="s">
        <v>51</v>
      </c>
    </row>
    <row r="823" spans="1:16" x14ac:dyDescent="0.4">
      <c r="A823" t="s">
        <v>3275</v>
      </c>
      <c r="B823" t="s">
        <v>1503</v>
      </c>
      <c r="C823" t="s">
        <v>54</v>
      </c>
      <c r="D823" t="s">
        <v>3276</v>
      </c>
      <c r="E823" t="s">
        <v>2650</v>
      </c>
      <c r="F823">
        <v>17</v>
      </c>
      <c r="G823">
        <v>14</v>
      </c>
      <c r="H823">
        <v>17</v>
      </c>
      <c r="I823" t="s">
        <v>242</v>
      </c>
      <c r="J823" t="s">
        <v>561</v>
      </c>
      <c r="K823" s="1">
        <v>45422</v>
      </c>
      <c r="L823" t="s">
        <v>1482</v>
      </c>
      <c r="M823" t="s">
        <v>3277</v>
      </c>
      <c r="N823">
        <v>36</v>
      </c>
      <c r="O823">
        <v>64</v>
      </c>
      <c r="P823" t="s">
        <v>26</v>
      </c>
    </row>
    <row r="824" spans="1:16" x14ac:dyDescent="0.4">
      <c r="A824" t="s">
        <v>3278</v>
      </c>
      <c r="B824" t="s">
        <v>784</v>
      </c>
      <c r="C824" t="s">
        <v>68</v>
      </c>
      <c r="D824" t="s">
        <v>3279</v>
      </c>
      <c r="E824" t="s">
        <v>371</v>
      </c>
      <c r="F824">
        <v>25</v>
      </c>
      <c r="G824">
        <v>97</v>
      </c>
      <c r="H824">
        <v>63</v>
      </c>
      <c r="I824" t="s">
        <v>314</v>
      </c>
      <c r="J824" t="s">
        <v>548</v>
      </c>
      <c r="K824" t="s">
        <v>165</v>
      </c>
      <c r="L824" t="s">
        <v>700</v>
      </c>
      <c r="M824" t="s">
        <v>3280</v>
      </c>
      <c r="N824">
        <v>72</v>
      </c>
      <c r="O824">
        <v>23</v>
      </c>
      <c r="P824" t="s">
        <v>26</v>
      </c>
    </row>
    <row r="825" spans="1:16" x14ac:dyDescent="0.4">
      <c r="A825" t="s">
        <v>3281</v>
      </c>
      <c r="B825" t="s">
        <v>677</v>
      </c>
      <c r="C825" t="s">
        <v>169</v>
      </c>
      <c r="D825" t="s">
        <v>3282</v>
      </c>
      <c r="E825" t="s">
        <v>850</v>
      </c>
      <c r="F825">
        <v>56</v>
      </c>
      <c r="G825">
        <v>59</v>
      </c>
      <c r="H825">
        <v>87</v>
      </c>
      <c r="I825" t="s">
        <v>134</v>
      </c>
      <c r="J825" t="s">
        <v>321</v>
      </c>
      <c r="K825" t="s">
        <v>701</v>
      </c>
      <c r="L825" t="s">
        <v>525</v>
      </c>
      <c r="M825" t="s">
        <v>3283</v>
      </c>
      <c r="N825">
        <v>65</v>
      </c>
      <c r="O825">
        <v>45</v>
      </c>
      <c r="P825" t="s">
        <v>51</v>
      </c>
    </row>
    <row r="826" spans="1:16" x14ac:dyDescent="0.4">
      <c r="A826" t="s">
        <v>3284</v>
      </c>
      <c r="B826" t="s">
        <v>1455</v>
      </c>
      <c r="C826" t="s">
        <v>77</v>
      </c>
      <c r="D826" t="s">
        <v>3285</v>
      </c>
      <c r="E826" t="s">
        <v>648</v>
      </c>
      <c r="F826">
        <v>72</v>
      </c>
      <c r="G826">
        <v>3</v>
      </c>
      <c r="H826">
        <v>10</v>
      </c>
      <c r="I826" t="s">
        <v>106</v>
      </c>
      <c r="J826" t="s">
        <v>649</v>
      </c>
      <c r="K826" t="s">
        <v>609</v>
      </c>
      <c r="L826" s="1">
        <v>45422</v>
      </c>
      <c r="M826" t="s">
        <v>3286</v>
      </c>
      <c r="N826">
        <v>52</v>
      </c>
      <c r="O826">
        <v>14</v>
      </c>
      <c r="P826" t="s">
        <v>42</v>
      </c>
    </row>
    <row r="827" spans="1:16" x14ac:dyDescent="0.4">
      <c r="A827" t="s">
        <v>3287</v>
      </c>
      <c r="B827" t="s">
        <v>210</v>
      </c>
      <c r="C827" t="s">
        <v>54</v>
      </c>
      <c r="D827" t="s">
        <v>3288</v>
      </c>
      <c r="E827" t="s">
        <v>584</v>
      </c>
      <c r="F827">
        <v>65</v>
      </c>
      <c r="G827">
        <v>42</v>
      </c>
      <c r="H827">
        <v>62</v>
      </c>
      <c r="I827" t="s">
        <v>3051</v>
      </c>
      <c r="J827" t="s">
        <v>420</v>
      </c>
      <c r="K827" t="s">
        <v>792</v>
      </c>
      <c r="L827" t="s">
        <v>866</v>
      </c>
      <c r="M827" t="s">
        <v>3289</v>
      </c>
      <c r="N827">
        <v>54</v>
      </c>
      <c r="O827">
        <v>2</v>
      </c>
      <c r="P827" t="s">
        <v>51</v>
      </c>
    </row>
    <row r="828" spans="1:16" x14ac:dyDescent="0.4">
      <c r="A828" t="s">
        <v>3290</v>
      </c>
      <c r="B828" t="s">
        <v>1383</v>
      </c>
      <c r="C828" t="s">
        <v>54</v>
      </c>
      <c r="D828" t="s">
        <v>3291</v>
      </c>
      <c r="E828" t="s">
        <v>2263</v>
      </c>
      <c r="F828">
        <v>30</v>
      </c>
      <c r="G828">
        <v>66</v>
      </c>
      <c r="H828">
        <v>28</v>
      </c>
      <c r="I828" t="s">
        <v>1386</v>
      </c>
      <c r="J828" s="1">
        <v>45543</v>
      </c>
      <c r="K828" s="1">
        <v>45871</v>
      </c>
      <c r="L828" t="s">
        <v>158</v>
      </c>
      <c r="M828" t="s">
        <v>3292</v>
      </c>
      <c r="N828">
        <v>63</v>
      </c>
      <c r="O828">
        <v>98</v>
      </c>
      <c r="P828" t="s">
        <v>51</v>
      </c>
    </row>
    <row r="829" spans="1:16" x14ac:dyDescent="0.4">
      <c r="A829" t="s">
        <v>3293</v>
      </c>
      <c r="B829" t="s">
        <v>271</v>
      </c>
      <c r="C829" t="s">
        <v>54</v>
      </c>
      <c r="D829" t="s">
        <v>3294</v>
      </c>
      <c r="E829" t="s">
        <v>908</v>
      </c>
      <c r="F829">
        <v>39</v>
      </c>
      <c r="G829">
        <v>37</v>
      </c>
      <c r="H829">
        <v>48</v>
      </c>
      <c r="I829" t="s">
        <v>106</v>
      </c>
      <c r="J829" t="s">
        <v>630</v>
      </c>
      <c r="K829" t="s">
        <v>893</v>
      </c>
      <c r="L829" t="s">
        <v>213</v>
      </c>
      <c r="M829" t="s">
        <v>3295</v>
      </c>
      <c r="N829">
        <v>25</v>
      </c>
      <c r="O829">
        <v>19</v>
      </c>
      <c r="P829" t="s">
        <v>51</v>
      </c>
    </row>
    <row r="830" spans="1:16" x14ac:dyDescent="0.4">
      <c r="A830" t="s">
        <v>3296</v>
      </c>
      <c r="B830" t="s">
        <v>239</v>
      </c>
      <c r="C830" t="s">
        <v>54</v>
      </c>
      <c r="D830" t="s">
        <v>3297</v>
      </c>
      <c r="E830" t="s">
        <v>1585</v>
      </c>
      <c r="F830">
        <v>14</v>
      </c>
      <c r="G830">
        <v>81</v>
      </c>
      <c r="H830">
        <v>65</v>
      </c>
      <c r="I830" t="s">
        <v>242</v>
      </c>
      <c r="J830" t="s">
        <v>341</v>
      </c>
      <c r="K830" t="s">
        <v>1014</v>
      </c>
      <c r="L830" t="s">
        <v>548</v>
      </c>
      <c r="M830" t="s">
        <v>3298</v>
      </c>
      <c r="N830">
        <v>74</v>
      </c>
      <c r="O830">
        <v>84</v>
      </c>
      <c r="P830" t="s">
        <v>51</v>
      </c>
    </row>
    <row r="831" spans="1:16" x14ac:dyDescent="0.4">
      <c r="A831" t="s">
        <v>3299</v>
      </c>
      <c r="B831" t="s">
        <v>425</v>
      </c>
      <c r="C831" t="s">
        <v>54</v>
      </c>
      <c r="D831" t="s">
        <v>3300</v>
      </c>
      <c r="E831" t="s">
        <v>1347</v>
      </c>
      <c r="F831">
        <v>74</v>
      </c>
      <c r="G831">
        <v>37</v>
      </c>
      <c r="H831">
        <v>57</v>
      </c>
      <c r="I831" t="s">
        <v>47</v>
      </c>
      <c r="J831" t="s">
        <v>180</v>
      </c>
      <c r="K831" s="1">
        <v>45385</v>
      </c>
      <c r="L831" t="s">
        <v>99</v>
      </c>
      <c r="M831" t="s">
        <v>3301</v>
      </c>
      <c r="N831">
        <v>91</v>
      </c>
      <c r="O831">
        <v>18</v>
      </c>
      <c r="P831" t="s">
        <v>51</v>
      </c>
    </row>
    <row r="832" spans="1:16" x14ac:dyDescent="0.4">
      <c r="A832" t="s">
        <v>3302</v>
      </c>
      <c r="B832" t="s">
        <v>189</v>
      </c>
      <c r="C832" t="s">
        <v>77</v>
      </c>
      <c r="D832" t="s">
        <v>3303</v>
      </c>
      <c r="E832" t="s">
        <v>2522</v>
      </c>
      <c r="F832">
        <v>63</v>
      </c>
      <c r="G832">
        <v>41</v>
      </c>
      <c r="H832">
        <v>98</v>
      </c>
      <c r="I832" t="s">
        <v>3304</v>
      </c>
      <c r="J832" t="s">
        <v>548</v>
      </c>
      <c r="K832" t="s">
        <v>3305</v>
      </c>
      <c r="L832" t="s">
        <v>882</v>
      </c>
      <c r="M832" t="s">
        <v>3306</v>
      </c>
      <c r="N832">
        <v>37</v>
      </c>
      <c r="O832">
        <v>7</v>
      </c>
      <c r="P832" t="s">
        <v>51</v>
      </c>
    </row>
    <row r="833" spans="1:16" x14ac:dyDescent="0.4">
      <c r="A833" t="s">
        <v>3307</v>
      </c>
      <c r="B833" t="s">
        <v>733</v>
      </c>
      <c r="C833" t="s">
        <v>54</v>
      </c>
      <c r="D833" t="s">
        <v>3308</v>
      </c>
      <c r="E833" t="s">
        <v>133</v>
      </c>
      <c r="F833">
        <v>47</v>
      </c>
      <c r="G833">
        <v>67</v>
      </c>
      <c r="H833">
        <v>57</v>
      </c>
      <c r="I833" t="s">
        <v>57</v>
      </c>
      <c r="J833" s="1">
        <v>45394</v>
      </c>
      <c r="K833" t="s">
        <v>322</v>
      </c>
      <c r="L833" t="s">
        <v>1500</v>
      </c>
      <c r="M833" t="s">
        <v>3309</v>
      </c>
      <c r="N833">
        <v>36</v>
      </c>
      <c r="O833">
        <v>48</v>
      </c>
      <c r="P833" t="s">
        <v>42</v>
      </c>
    </row>
    <row r="834" spans="1:16" x14ac:dyDescent="0.4">
      <c r="A834" t="s">
        <v>3310</v>
      </c>
      <c r="B834" t="s">
        <v>932</v>
      </c>
      <c r="C834" t="s">
        <v>77</v>
      </c>
      <c r="D834" t="s">
        <v>3311</v>
      </c>
      <c r="E834" t="s">
        <v>939</v>
      </c>
      <c r="F834">
        <v>42</v>
      </c>
      <c r="G834">
        <v>94</v>
      </c>
      <c r="H834">
        <v>79</v>
      </c>
      <c r="I834" t="s">
        <v>71</v>
      </c>
      <c r="J834" t="s">
        <v>3305</v>
      </c>
      <c r="K834" t="s">
        <v>192</v>
      </c>
      <c r="L834" t="s">
        <v>347</v>
      </c>
      <c r="M834" t="s">
        <v>3312</v>
      </c>
      <c r="N834">
        <v>61</v>
      </c>
      <c r="O834">
        <v>92</v>
      </c>
      <c r="P834" t="s">
        <v>42</v>
      </c>
    </row>
    <row r="835" spans="1:16" x14ac:dyDescent="0.4">
      <c r="A835" t="s">
        <v>3313</v>
      </c>
      <c r="B835" t="s">
        <v>1538</v>
      </c>
      <c r="C835" t="s">
        <v>54</v>
      </c>
      <c r="D835" t="s">
        <v>3314</v>
      </c>
      <c r="E835" t="s">
        <v>1315</v>
      </c>
      <c r="F835">
        <v>32</v>
      </c>
      <c r="G835">
        <v>49</v>
      </c>
      <c r="H835">
        <v>73</v>
      </c>
      <c r="I835" t="s">
        <v>71</v>
      </c>
      <c r="J835" s="1">
        <v>45450</v>
      </c>
      <c r="K835" t="s">
        <v>1884</v>
      </c>
      <c r="L835" t="s">
        <v>1129</v>
      </c>
      <c r="M835" t="s">
        <v>3315</v>
      </c>
      <c r="N835">
        <v>80</v>
      </c>
      <c r="O835">
        <v>36</v>
      </c>
      <c r="P835" t="s">
        <v>26</v>
      </c>
    </row>
    <row r="836" spans="1:16" x14ac:dyDescent="0.4">
      <c r="A836" t="s">
        <v>3316</v>
      </c>
      <c r="B836" t="s">
        <v>681</v>
      </c>
      <c r="C836" t="s">
        <v>54</v>
      </c>
      <c r="D836" t="s">
        <v>3317</v>
      </c>
      <c r="E836" t="s">
        <v>1027</v>
      </c>
      <c r="F836">
        <v>88</v>
      </c>
      <c r="G836">
        <v>56</v>
      </c>
      <c r="H836">
        <v>72</v>
      </c>
      <c r="I836" t="s">
        <v>106</v>
      </c>
      <c r="J836" s="1">
        <v>45992</v>
      </c>
      <c r="K836" s="1">
        <v>45630</v>
      </c>
      <c r="L836" t="s">
        <v>252</v>
      </c>
      <c r="M836" t="s">
        <v>3318</v>
      </c>
      <c r="N836">
        <v>25</v>
      </c>
      <c r="O836">
        <v>36</v>
      </c>
      <c r="P836" t="s">
        <v>51</v>
      </c>
    </row>
    <row r="837" spans="1:16" x14ac:dyDescent="0.4">
      <c r="A837" t="s">
        <v>3319</v>
      </c>
      <c r="B837" t="s">
        <v>1485</v>
      </c>
      <c r="C837" t="s">
        <v>77</v>
      </c>
      <c r="D837" t="s">
        <v>3320</v>
      </c>
      <c r="E837" t="s">
        <v>3321</v>
      </c>
      <c r="F837">
        <v>80</v>
      </c>
      <c r="G837">
        <v>69</v>
      </c>
      <c r="H837">
        <v>71</v>
      </c>
      <c r="I837" t="s">
        <v>63</v>
      </c>
      <c r="J837" t="s">
        <v>422</v>
      </c>
      <c r="K837" s="1">
        <v>45356</v>
      </c>
      <c r="L837" t="s">
        <v>49</v>
      </c>
      <c r="M837" t="s">
        <v>3322</v>
      </c>
      <c r="N837">
        <v>41</v>
      </c>
      <c r="O837">
        <v>43</v>
      </c>
      <c r="P837" t="s">
        <v>42</v>
      </c>
    </row>
    <row r="838" spans="1:16" x14ac:dyDescent="0.4">
      <c r="A838" t="s">
        <v>3323</v>
      </c>
      <c r="B838" t="s">
        <v>375</v>
      </c>
      <c r="C838" t="s">
        <v>54</v>
      </c>
      <c r="D838" t="s">
        <v>3324</v>
      </c>
      <c r="E838" t="s">
        <v>1852</v>
      </c>
      <c r="F838">
        <v>36</v>
      </c>
      <c r="G838">
        <v>59</v>
      </c>
      <c r="H838">
        <v>90</v>
      </c>
      <c r="I838" t="s">
        <v>85</v>
      </c>
      <c r="J838" s="1">
        <v>45511</v>
      </c>
      <c r="K838" s="1">
        <v>45547</v>
      </c>
      <c r="L838" s="1">
        <v>45607</v>
      </c>
      <c r="M838" t="s">
        <v>3325</v>
      </c>
      <c r="N838">
        <v>25</v>
      </c>
      <c r="O838">
        <v>60</v>
      </c>
      <c r="P838" t="s">
        <v>26</v>
      </c>
    </row>
    <row r="839" spans="1:16" x14ac:dyDescent="0.4">
      <c r="A839" t="s">
        <v>3326</v>
      </c>
      <c r="B839" t="s">
        <v>138</v>
      </c>
      <c r="C839" t="s">
        <v>18</v>
      </c>
      <c r="D839" t="s">
        <v>3327</v>
      </c>
      <c r="E839" t="s">
        <v>427</v>
      </c>
      <c r="F839">
        <v>11</v>
      </c>
      <c r="G839">
        <v>77</v>
      </c>
      <c r="H839">
        <v>7</v>
      </c>
      <c r="I839" t="s">
        <v>47</v>
      </c>
      <c r="J839" t="s">
        <v>1272</v>
      </c>
      <c r="K839" s="1">
        <v>45423</v>
      </c>
      <c r="L839" s="1">
        <v>45572</v>
      </c>
      <c r="M839" t="s">
        <v>3328</v>
      </c>
      <c r="N839">
        <v>77</v>
      </c>
      <c r="O839">
        <v>46</v>
      </c>
      <c r="P839" t="s">
        <v>42</v>
      </c>
    </row>
    <row r="840" spans="1:16" x14ac:dyDescent="0.4">
      <c r="A840" t="s">
        <v>3329</v>
      </c>
      <c r="B840" t="s">
        <v>733</v>
      </c>
      <c r="C840" t="s">
        <v>54</v>
      </c>
      <c r="D840" t="s">
        <v>3330</v>
      </c>
      <c r="E840" t="s">
        <v>1461</v>
      </c>
      <c r="F840">
        <v>40</v>
      </c>
      <c r="G840">
        <v>83</v>
      </c>
      <c r="H840">
        <v>50</v>
      </c>
      <c r="I840" t="s">
        <v>57</v>
      </c>
      <c r="J840" s="1">
        <v>45418</v>
      </c>
      <c r="K840" s="1">
        <v>45360</v>
      </c>
      <c r="L840" t="s">
        <v>688</v>
      </c>
      <c r="M840" t="s">
        <v>3331</v>
      </c>
      <c r="N840">
        <v>92</v>
      </c>
      <c r="O840">
        <v>50</v>
      </c>
      <c r="P840" t="s">
        <v>51</v>
      </c>
    </row>
    <row r="841" spans="1:16" x14ac:dyDescent="0.4">
      <c r="A841" t="s">
        <v>3332</v>
      </c>
      <c r="B841" t="s">
        <v>138</v>
      </c>
      <c r="C841" t="s">
        <v>18</v>
      </c>
      <c r="D841" t="s">
        <v>3333</v>
      </c>
      <c r="E841" t="s">
        <v>3169</v>
      </c>
      <c r="F841">
        <v>63</v>
      </c>
      <c r="G841">
        <v>43</v>
      </c>
      <c r="H841">
        <v>8</v>
      </c>
      <c r="I841" t="s">
        <v>47</v>
      </c>
      <c r="J841" t="s">
        <v>421</v>
      </c>
      <c r="K841" t="s">
        <v>635</v>
      </c>
      <c r="L841" s="1">
        <v>45516</v>
      </c>
      <c r="M841" t="s">
        <v>3334</v>
      </c>
      <c r="N841">
        <v>55</v>
      </c>
      <c r="O841">
        <v>72</v>
      </c>
      <c r="P841" t="s">
        <v>51</v>
      </c>
    </row>
    <row r="842" spans="1:16" x14ac:dyDescent="0.4">
      <c r="A842" t="s">
        <v>3335</v>
      </c>
      <c r="B842" t="s">
        <v>196</v>
      </c>
      <c r="C842" t="s">
        <v>18</v>
      </c>
      <c r="D842" t="s">
        <v>3336</v>
      </c>
      <c r="E842" t="s">
        <v>2681</v>
      </c>
      <c r="F842">
        <v>90</v>
      </c>
      <c r="G842">
        <v>75</v>
      </c>
      <c r="H842">
        <v>43</v>
      </c>
      <c r="I842" t="s">
        <v>47</v>
      </c>
      <c r="J842" t="s">
        <v>164</v>
      </c>
      <c r="K842" t="s">
        <v>514</v>
      </c>
      <c r="L842" t="s">
        <v>1500</v>
      </c>
      <c r="M842" t="s">
        <v>3337</v>
      </c>
      <c r="N842">
        <v>80</v>
      </c>
      <c r="O842">
        <v>57</v>
      </c>
      <c r="P842" t="s">
        <v>26</v>
      </c>
    </row>
    <row r="843" spans="1:16" x14ac:dyDescent="0.4">
      <c r="A843" t="s">
        <v>3338</v>
      </c>
      <c r="B843" t="s">
        <v>332</v>
      </c>
      <c r="C843" t="s">
        <v>112</v>
      </c>
      <c r="D843" t="s">
        <v>3339</v>
      </c>
      <c r="E843" t="s">
        <v>1216</v>
      </c>
      <c r="F843">
        <v>47</v>
      </c>
      <c r="G843">
        <v>26</v>
      </c>
      <c r="H843">
        <v>40</v>
      </c>
      <c r="I843" t="s">
        <v>3340</v>
      </c>
      <c r="J843" t="s">
        <v>115</v>
      </c>
      <c r="K843" s="1">
        <v>45992</v>
      </c>
      <c r="L843" t="s">
        <v>402</v>
      </c>
      <c r="M843" t="s">
        <v>3341</v>
      </c>
      <c r="N843">
        <v>30</v>
      </c>
      <c r="O843">
        <v>72</v>
      </c>
      <c r="P843" t="s">
        <v>51</v>
      </c>
    </row>
    <row r="844" spans="1:16" x14ac:dyDescent="0.4">
      <c r="A844" t="s">
        <v>3342</v>
      </c>
      <c r="B844" t="s">
        <v>1228</v>
      </c>
      <c r="C844" t="s">
        <v>112</v>
      </c>
      <c r="D844" t="s">
        <v>3343</v>
      </c>
      <c r="E844" t="s">
        <v>1499</v>
      </c>
      <c r="F844">
        <v>29</v>
      </c>
      <c r="G844">
        <v>2</v>
      </c>
      <c r="H844">
        <v>84</v>
      </c>
      <c r="I844" t="s">
        <v>57</v>
      </c>
      <c r="J844" t="s">
        <v>549</v>
      </c>
      <c r="K844" t="s">
        <v>637</v>
      </c>
      <c r="L844" t="s">
        <v>935</v>
      </c>
      <c r="M844" t="s">
        <v>3344</v>
      </c>
      <c r="N844">
        <v>80</v>
      </c>
      <c r="O844">
        <v>85</v>
      </c>
      <c r="P844" t="s">
        <v>42</v>
      </c>
    </row>
    <row r="845" spans="1:16" x14ac:dyDescent="0.4">
      <c r="A845" t="s">
        <v>3345</v>
      </c>
      <c r="B845" t="s">
        <v>733</v>
      </c>
      <c r="C845" t="s">
        <v>54</v>
      </c>
      <c r="D845" t="s">
        <v>3346</v>
      </c>
      <c r="E845" t="s">
        <v>2438</v>
      </c>
      <c r="F845">
        <v>94</v>
      </c>
      <c r="G845">
        <v>69</v>
      </c>
      <c r="H845">
        <v>68</v>
      </c>
      <c r="I845" t="s">
        <v>57</v>
      </c>
      <c r="J845" s="1">
        <v>45511</v>
      </c>
      <c r="K845" t="s">
        <v>467</v>
      </c>
      <c r="L845" t="s">
        <v>827</v>
      </c>
      <c r="M845" t="s">
        <v>3347</v>
      </c>
      <c r="N845">
        <v>24</v>
      </c>
      <c r="O845">
        <v>20</v>
      </c>
      <c r="P845" t="s">
        <v>26</v>
      </c>
    </row>
    <row r="846" spans="1:16" x14ac:dyDescent="0.4">
      <c r="A846" t="s">
        <v>3348</v>
      </c>
      <c r="B846" t="s">
        <v>304</v>
      </c>
      <c r="C846" t="s">
        <v>54</v>
      </c>
      <c r="D846" t="s">
        <v>3349</v>
      </c>
      <c r="E846" t="s">
        <v>513</v>
      </c>
      <c r="F846">
        <v>32</v>
      </c>
      <c r="G846">
        <v>63</v>
      </c>
      <c r="H846">
        <v>92</v>
      </c>
      <c r="I846" t="s">
        <v>3350</v>
      </c>
      <c r="J846" t="s">
        <v>341</v>
      </c>
      <c r="K846" t="s">
        <v>915</v>
      </c>
      <c r="L846" s="1">
        <v>45546</v>
      </c>
      <c r="M846" t="s">
        <v>3351</v>
      </c>
      <c r="N846">
        <v>84</v>
      </c>
      <c r="O846">
        <v>34</v>
      </c>
      <c r="P846" t="s">
        <v>26</v>
      </c>
    </row>
    <row r="847" spans="1:16" x14ac:dyDescent="0.4">
      <c r="A847" t="s">
        <v>3352</v>
      </c>
      <c r="B847" t="s">
        <v>53</v>
      </c>
      <c r="C847" t="s">
        <v>54</v>
      </c>
      <c r="D847" t="s">
        <v>3353</v>
      </c>
      <c r="E847" t="s">
        <v>1553</v>
      </c>
      <c r="F847">
        <v>40</v>
      </c>
      <c r="G847">
        <v>3</v>
      </c>
      <c r="H847">
        <v>5</v>
      </c>
      <c r="I847" t="s">
        <v>57</v>
      </c>
      <c r="J847" s="1">
        <v>45385</v>
      </c>
      <c r="K847" t="s">
        <v>1005</v>
      </c>
      <c r="L847" t="s">
        <v>213</v>
      </c>
      <c r="M847" t="s">
        <v>3354</v>
      </c>
      <c r="N847">
        <v>45</v>
      </c>
      <c r="O847">
        <v>69</v>
      </c>
      <c r="P847" t="s">
        <v>26</v>
      </c>
    </row>
    <row r="848" spans="1:16" x14ac:dyDescent="0.4">
      <c r="A848" t="s">
        <v>3355</v>
      </c>
      <c r="B848" t="s">
        <v>76</v>
      </c>
      <c r="C848" t="s">
        <v>77</v>
      </c>
      <c r="D848" t="s">
        <v>3356</v>
      </c>
      <c r="E848" t="s">
        <v>1743</v>
      </c>
      <c r="F848">
        <v>50</v>
      </c>
      <c r="G848">
        <v>66</v>
      </c>
      <c r="H848">
        <v>1</v>
      </c>
      <c r="I848" t="s">
        <v>71</v>
      </c>
      <c r="J848" t="s">
        <v>548</v>
      </c>
      <c r="K848" s="1">
        <v>45485</v>
      </c>
      <c r="L848" s="1">
        <v>45749</v>
      </c>
      <c r="M848" t="s">
        <v>3357</v>
      </c>
      <c r="N848">
        <v>76</v>
      </c>
      <c r="O848">
        <v>73</v>
      </c>
      <c r="P848" t="s">
        <v>51</v>
      </c>
    </row>
    <row r="849" spans="1:16" x14ac:dyDescent="0.4">
      <c r="A849" t="s">
        <v>3358</v>
      </c>
      <c r="B849" t="s">
        <v>704</v>
      </c>
      <c r="C849" t="s">
        <v>169</v>
      </c>
      <c r="D849" t="s">
        <v>3359</v>
      </c>
      <c r="E849" t="s">
        <v>1962</v>
      </c>
      <c r="F849">
        <v>72</v>
      </c>
      <c r="G849">
        <v>29</v>
      </c>
      <c r="H849">
        <v>10</v>
      </c>
      <c r="I849" t="s">
        <v>147</v>
      </c>
      <c r="J849" s="1">
        <v>45446</v>
      </c>
      <c r="K849" s="1">
        <v>45477</v>
      </c>
      <c r="L849" t="s">
        <v>561</v>
      </c>
      <c r="M849" t="s">
        <v>3360</v>
      </c>
      <c r="N849">
        <v>54</v>
      </c>
      <c r="O849">
        <v>38</v>
      </c>
      <c r="P849" t="s">
        <v>26</v>
      </c>
    </row>
    <row r="850" spans="1:16" x14ac:dyDescent="0.4">
      <c r="A850" t="s">
        <v>3361</v>
      </c>
      <c r="B850" t="s">
        <v>722</v>
      </c>
      <c r="C850" t="s">
        <v>54</v>
      </c>
      <c r="D850" t="s">
        <v>3362</v>
      </c>
      <c r="E850" t="s">
        <v>530</v>
      </c>
      <c r="F850">
        <v>22</v>
      </c>
      <c r="G850">
        <v>35</v>
      </c>
      <c r="H850">
        <v>55</v>
      </c>
      <c r="I850" t="s">
        <v>39</v>
      </c>
      <c r="J850" t="s">
        <v>382</v>
      </c>
      <c r="K850" t="s">
        <v>422</v>
      </c>
      <c r="L850" t="s">
        <v>1272</v>
      </c>
      <c r="M850" t="s">
        <v>3363</v>
      </c>
      <c r="N850">
        <v>41</v>
      </c>
      <c r="O850">
        <v>27</v>
      </c>
      <c r="P850" t="s">
        <v>51</v>
      </c>
    </row>
    <row r="851" spans="1:16" x14ac:dyDescent="0.4">
      <c r="A851" t="s">
        <v>3364</v>
      </c>
      <c r="B851" t="s">
        <v>595</v>
      </c>
      <c r="C851" t="s">
        <v>112</v>
      </c>
      <c r="D851" t="s">
        <v>3365</v>
      </c>
      <c r="E851" t="s">
        <v>1732</v>
      </c>
      <c r="F851">
        <v>23</v>
      </c>
      <c r="G851">
        <v>76</v>
      </c>
      <c r="H851">
        <v>70</v>
      </c>
      <c r="I851" t="s">
        <v>220</v>
      </c>
      <c r="J851" s="1">
        <v>45839</v>
      </c>
      <c r="K851" t="s">
        <v>24</v>
      </c>
      <c r="L851" s="1">
        <v>45300</v>
      </c>
      <c r="M851" t="s">
        <v>3366</v>
      </c>
      <c r="N851">
        <v>97</v>
      </c>
      <c r="O851">
        <v>38</v>
      </c>
      <c r="P851" t="s">
        <v>42</v>
      </c>
    </row>
    <row r="852" spans="1:16" x14ac:dyDescent="0.4">
      <c r="A852" t="s">
        <v>3367</v>
      </c>
      <c r="B852" t="s">
        <v>1428</v>
      </c>
      <c r="C852" t="s">
        <v>169</v>
      </c>
      <c r="D852" t="s">
        <v>3368</v>
      </c>
      <c r="E852" t="s">
        <v>1607</v>
      </c>
      <c r="F852">
        <v>35</v>
      </c>
      <c r="G852">
        <v>72</v>
      </c>
      <c r="H852">
        <v>70</v>
      </c>
      <c r="I852" t="s">
        <v>32</v>
      </c>
      <c r="J852" t="s">
        <v>49</v>
      </c>
      <c r="K852" s="1">
        <v>45386</v>
      </c>
      <c r="L852" s="1">
        <v>45932</v>
      </c>
      <c r="M852" t="s">
        <v>3369</v>
      </c>
      <c r="N852">
        <v>74</v>
      </c>
      <c r="O852">
        <v>15</v>
      </c>
      <c r="P852" t="s">
        <v>42</v>
      </c>
    </row>
    <row r="853" spans="1:16" x14ac:dyDescent="0.4">
      <c r="A853" t="s">
        <v>3370</v>
      </c>
      <c r="B853" t="s">
        <v>233</v>
      </c>
      <c r="C853" t="s">
        <v>54</v>
      </c>
      <c r="D853" t="s">
        <v>3371</v>
      </c>
      <c r="E853" t="s">
        <v>1990</v>
      </c>
      <c r="F853">
        <v>12</v>
      </c>
      <c r="G853">
        <v>93</v>
      </c>
      <c r="H853">
        <v>29</v>
      </c>
      <c r="I853" t="s">
        <v>63</v>
      </c>
      <c r="J853" t="s">
        <v>599</v>
      </c>
      <c r="K853" s="1">
        <v>45455</v>
      </c>
      <c r="L853" t="s">
        <v>700</v>
      </c>
      <c r="M853" t="s">
        <v>3372</v>
      </c>
      <c r="N853">
        <v>45</v>
      </c>
      <c r="O853">
        <v>12</v>
      </c>
      <c r="P853" t="s">
        <v>42</v>
      </c>
    </row>
    <row r="854" spans="1:16" x14ac:dyDescent="0.4">
      <c r="A854" t="s">
        <v>3373</v>
      </c>
      <c r="B854" t="s">
        <v>923</v>
      </c>
      <c r="C854" t="s">
        <v>77</v>
      </c>
      <c r="D854" t="s">
        <v>3374</v>
      </c>
      <c r="E854" t="s">
        <v>1330</v>
      </c>
      <c r="F854">
        <v>86</v>
      </c>
      <c r="G854">
        <v>23</v>
      </c>
      <c r="H854">
        <v>1</v>
      </c>
      <c r="I854" t="s">
        <v>266</v>
      </c>
      <c r="J854" t="s">
        <v>73</v>
      </c>
      <c r="K854" t="s">
        <v>148</v>
      </c>
      <c r="L854" t="s">
        <v>1630</v>
      </c>
      <c r="M854" t="s">
        <v>3375</v>
      </c>
      <c r="N854">
        <v>100</v>
      </c>
      <c r="O854">
        <v>86</v>
      </c>
      <c r="P854" t="s">
        <v>42</v>
      </c>
    </row>
    <row r="855" spans="1:16" x14ac:dyDescent="0.4">
      <c r="A855" t="s">
        <v>3376</v>
      </c>
      <c r="B855" t="s">
        <v>1290</v>
      </c>
      <c r="C855" t="s">
        <v>169</v>
      </c>
      <c r="D855" t="s">
        <v>3377</v>
      </c>
      <c r="E855" t="s">
        <v>653</v>
      </c>
      <c r="F855">
        <v>91</v>
      </c>
      <c r="G855">
        <v>96</v>
      </c>
      <c r="H855">
        <v>90</v>
      </c>
      <c r="I855" t="s">
        <v>1293</v>
      </c>
      <c r="J855" t="s">
        <v>180</v>
      </c>
      <c r="K855" s="1">
        <v>45604</v>
      </c>
      <c r="L855" t="s">
        <v>898</v>
      </c>
      <c r="M855" t="s">
        <v>3378</v>
      </c>
      <c r="N855">
        <v>90</v>
      </c>
      <c r="O855">
        <v>75</v>
      </c>
      <c r="P855" t="s">
        <v>42</v>
      </c>
    </row>
    <row r="856" spans="1:16" x14ac:dyDescent="0.4">
      <c r="A856" t="s">
        <v>3379</v>
      </c>
      <c r="B856" t="s">
        <v>1455</v>
      </c>
      <c r="C856" t="s">
        <v>77</v>
      </c>
      <c r="D856" t="s">
        <v>3380</v>
      </c>
      <c r="E856" t="s">
        <v>2280</v>
      </c>
      <c r="F856">
        <v>23</v>
      </c>
      <c r="G856">
        <v>99</v>
      </c>
      <c r="H856">
        <v>97</v>
      </c>
      <c r="I856" t="s">
        <v>106</v>
      </c>
      <c r="J856" s="1">
        <v>45541</v>
      </c>
      <c r="K856" s="1">
        <v>45447</v>
      </c>
      <c r="L856" s="1">
        <v>45569</v>
      </c>
      <c r="M856" t="s">
        <v>3381</v>
      </c>
      <c r="N856">
        <v>68</v>
      </c>
      <c r="O856">
        <v>76</v>
      </c>
      <c r="P856" t="s">
        <v>26</v>
      </c>
    </row>
    <row r="857" spans="1:16" x14ac:dyDescent="0.4">
      <c r="A857" t="s">
        <v>3382</v>
      </c>
      <c r="B857" t="s">
        <v>271</v>
      </c>
      <c r="C857" t="s">
        <v>54</v>
      </c>
      <c r="D857" t="s">
        <v>3383</v>
      </c>
      <c r="E857" t="s">
        <v>508</v>
      </c>
      <c r="F857">
        <v>98</v>
      </c>
      <c r="G857">
        <v>40</v>
      </c>
      <c r="H857">
        <v>100</v>
      </c>
      <c r="I857" t="s">
        <v>106</v>
      </c>
      <c r="J857" s="1">
        <v>45718</v>
      </c>
      <c r="K857" t="s">
        <v>287</v>
      </c>
      <c r="L857" t="s">
        <v>1057</v>
      </c>
      <c r="M857" t="s">
        <v>3384</v>
      </c>
      <c r="N857">
        <v>46</v>
      </c>
      <c r="O857">
        <v>9</v>
      </c>
      <c r="P857" t="s">
        <v>51</v>
      </c>
    </row>
    <row r="858" spans="1:16" x14ac:dyDescent="0.4">
      <c r="A858" t="s">
        <v>3385</v>
      </c>
      <c r="B858" t="s">
        <v>2561</v>
      </c>
      <c r="C858" t="s">
        <v>54</v>
      </c>
      <c r="D858" t="s">
        <v>3386</v>
      </c>
      <c r="E858" t="s">
        <v>120</v>
      </c>
      <c r="F858">
        <v>29</v>
      </c>
      <c r="G858">
        <v>66</v>
      </c>
      <c r="H858">
        <v>21</v>
      </c>
      <c r="I858" t="s">
        <v>147</v>
      </c>
      <c r="J858" t="s">
        <v>654</v>
      </c>
      <c r="K858" s="1">
        <v>45603</v>
      </c>
      <c r="L858" s="1">
        <v>45484</v>
      </c>
      <c r="M858" t="s">
        <v>3387</v>
      </c>
      <c r="N858">
        <v>74</v>
      </c>
      <c r="O858">
        <v>93</v>
      </c>
      <c r="P858" t="s">
        <v>26</v>
      </c>
    </row>
    <row r="859" spans="1:16" x14ac:dyDescent="0.4">
      <c r="A859" t="s">
        <v>3388</v>
      </c>
      <c r="B859" t="s">
        <v>698</v>
      </c>
      <c r="C859" t="s">
        <v>54</v>
      </c>
      <c r="D859" t="s">
        <v>3389</v>
      </c>
      <c r="E859" t="s">
        <v>3390</v>
      </c>
      <c r="F859">
        <v>32</v>
      </c>
      <c r="G859">
        <v>27</v>
      </c>
      <c r="H859">
        <v>26</v>
      </c>
      <c r="I859" t="s">
        <v>220</v>
      </c>
      <c r="J859" t="s">
        <v>200</v>
      </c>
      <c r="K859" t="s">
        <v>473</v>
      </c>
      <c r="L859" t="s">
        <v>1217</v>
      </c>
      <c r="M859" t="s">
        <v>3391</v>
      </c>
      <c r="N859">
        <v>38</v>
      </c>
      <c r="O859">
        <v>79</v>
      </c>
      <c r="P859" t="s">
        <v>42</v>
      </c>
    </row>
    <row r="860" spans="1:16" x14ac:dyDescent="0.4">
      <c r="A860" t="s">
        <v>3392</v>
      </c>
      <c r="B860" t="s">
        <v>225</v>
      </c>
      <c r="C860" t="s">
        <v>54</v>
      </c>
      <c r="D860" t="s">
        <v>3393</v>
      </c>
      <c r="E860" t="s">
        <v>1242</v>
      </c>
      <c r="F860">
        <v>84</v>
      </c>
      <c r="G860">
        <v>74</v>
      </c>
      <c r="H860">
        <v>48</v>
      </c>
      <c r="I860" t="s">
        <v>21</v>
      </c>
      <c r="J860" t="s">
        <v>898</v>
      </c>
      <c r="K860" t="s">
        <v>383</v>
      </c>
      <c r="L860" t="s">
        <v>100</v>
      </c>
      <c r="M860" t="s">
        <v>3394</v>
      </c>
      <c r="N860">
        <v>64</v>
      </c>
      <c r="O860">
        <v>32</v>
      </c>
      <c r="P860" t="s">
        <v>42</v>
      </c>
    </row>
    <row r="861" spans="1:16" x14ac:dyDescent="0.4">
      <c r="A861" t="s">
        <v>3395</v>
      </c>
      <c r="B861" t="s">
        <v>1485</v>
      </c>
      <c r="C861" t="s">
        <v>77</v>
      </c>
      <c r="D861" t="s">
        <v>3396</v>
      </c>
      <c r="E861" t="s">
        <v>806</v>
      </c>
      <c r="F861">
        <v>86</v>
      </c>
      <c r="G861">
        <v>20</v>
      </c>
      <c r="H861">
        <v>67</v>
      </c>
      <c r="I861" t="s">
        <v>63</v>
      </c>
      <c r="J861" s="1">
        <v>45993</v>
      </c>
      <c r="K861" s="1">
        <v>45480</v>
      </c>
      <c r="L861" s="1">
        <v>45359</v>
      </c>
      <c r="M861" t="s">
        <v>3397</v>
      </c>
      <c r="N861">
        <v>83</v>
      </c>
      <c r="O861">
        <v>82</v>
      </c>
      <c r="P861" t="s">
        <v>26</v>
      </c>
    </row>
    <row r="862" spans="1:16" x14ac:dyDescent="0.4">
      <c r="A862" t="s">
        <v>3398</v>
      </c>
      <c r="B862" t="s">
        <v>36</v>
      </c>
      <c r="C862" t="s">
        <v>18</v>
      </c>
      <c r="D862" t="s">
        <v>3399</v>
      </c>
      <c r="E862" t="s">
        <v>3189</v>
      </c>
      <c r="F862">
        <v>11</v>
      </c>
      <c r="G862">
        <v>58</v>
      </c>
      <c r="H862">
        <v>26</v>
      </c>
      <c r="I862" t="s">
        <v>1829</v>
      </c>
      <c r="J862" s="1">
        <v>45449</v>
      </c>
      <c r="K862" s="1">
        <v>45363</v>
      </c>
      <c r="L862" s="1">
        <v>45511</v>
      </c>
      <c r="M862" t="s">
        <v>3400</v>
      </c>
      <c r="N862">
        <v>49</v>
      </c>
      <c r="O862">
        <v>34</v>
      </c>
      <c r="P862" t="s">
        <v>51</v>
      </c>
    </row>
    <row r="863" spans="1:16" x14ac:dyDescent="0.4">
      <c r="A863" t="s">
        <v>3401</v>
      </c>
      <c r="B863" t="s">
        <v>984</v>
      </c>
      <c r="C863" t="s">
        <v>18</v>
      </c>
      <c r="D863" t="s">
        <v>3402</v>
      </c>
      <c r="E863" t="s">
        <v>1136</v>
      </c>
      <c r="F863">
        <v>60</v>
      </c>
      <c r="G863">
        <v>69</v>
      </c>
      <c r="H863">
        <v>64</v>
      </c>
      <c r="I863" t="s">
        <v>986</v>
      </c>
      <c r="J863" t="s">
        <v>1500</v>
      </c>
      <c r="K863" s="1">
        <v>45538</v>
      </c>
      <c r="L863" s="1">
        <v>45689</v>
      </c>
      <c r="M863" t="s">
        <v>3403</v>
      </c>
      <c r="N863">
        <v>51</v>
      </c>
      <c r="O863">
        <v>6</v>
      </c>
      <c r="P863" t="s">
        <v>51</v>
      </c>
    </row>
    <row r="864" spans="1:16" x14ac:dyDescent="0.4">
      <c r="A864" t="s">
        <v>3404</v>
      </c>
      <c r="B864" t="s">
        <v>1835</v>
      </c>
      <c r="C864" t="s">
        <v>112</v>
      </c>
      <c r="D864" t="s">
        <v>3405</v>
      </c>
      <c r="E864" t="s">
        <v>1553</v>
      </c>
      <c r="F864">
        <v>58</v>
      </c>
      <c r="G864">
        <v>48</v>
      </c>
      <c r="H864">
        <v>9</v>
      </c>
      <c r="I864" t="s">
        <v>242</v>
      </c>
      <c r="J864" s="1">
        <v>45485</v>
      </c>
      <c r="K864" s="1">
        <v>45359</v>
      </c>
      <c r="L864" t="s">
        <v>409</v>
      </c>
      <c r="M864" t="s">
        <v>3406</v>
      </c>
      <c r="N864">
        <v>98</v>
      </c>
      <c r="O864">
        <v>69</v>
      </c>
      <c r="P864" t="s">
        <v>51</v>
      </c>
    </row>
    <row r="865" spans="1:16" x14ac:dyDescent="0.4">
      <c r="A865" t="s">
        <v>3407</v>
      </c>
      <c r="B865" t="s">
        <v>447</v>
      </c>
      <c r="C865" t="s">
        <v>77</v>
      </c>
      <c r="D865" t="s">
        <v>3408</v>
      </c>
      <c r="E865" t="s">
        <v>763</v>
      </c>
      <c r="F865">
        <v>64</v>
      </c>
      <c r="G865">
        <v>95</v>
      </c>
      <c r="H865">
        <v>62</v>
      </c>
      <c r="I865" t="s">
        <v>39</v>
      </c>
      <c r="J865" t="s">
        <v>100</v>
      </c>
      <c r="K865" t="s">
        <v>1173</v>
      </c>
      <c r="L865" t="s">
        <v>807</v>
      </c>
      <c r="M865" t="s">
        <v>3409</v>
      </c>
      <c r="N865">
        <v>55</v>
      </c>
      <c r="O865">
        <v>1</v>
      </c>
      <c r="P865" t="s">
        <v>26</v>
      </c>
    </row>
    <row r="866" spans="1:16" x14ac:dyDescent="0.4">
      <c r="A866" t="s">
        <v>3410</v>
      </c>
      <c r="B866" t="s">
        <v>784</v>
      </c>
      <c r="C866" t="s">
        <v>68</v>
      </c>
      <c r="D866" t="s">
        <v>3411</v>
      </c>
      <c r="E866" t="s">
        <v>1192</v>
      </c>
      <c r="F866">
        <v>19</v>
      </c>
      <c r="G866">
        <v>80</v>
      </c>
      <c r="H866">
        <v>87</v>
      </c>
      <c r="I866" t="s">
        <v>314</v>
      </c>
      <c r="J866" s="1">
        <v>45606</v>
      </c>
      <c r="K866" t="s">
        <v>415</v>
      </c>
      <c r="L866" t="s">
        <v>2285</v>
      </c>
      <c r="M866" t="s">
        <v>3412</v>
      </c>
      <c r="N866">
        <v>33</v>
      </c>
      <c r="O866">
        <v>38</v>
      </c>
      <c r="P866" t="s">
        <v>42</v>
      </c>
    </row>
    <row r="867" spans="1:16" x14ac:dyDescent="0.4">
      <c r="A867" t="s">
        <v>3413</v>
      </c>
      <c r="B867" t="s">
        <v>2561</v>
      </c>
      <c r="C867" t="s">
        <v>54</v>
      </c>
      <c r="D867" t="s">
        <v>3414</v>
      </c>
      <c r="E867" t="s">
        <v>178</v>
      </c>
      <c r="F867">
        <v>43</v>
      </c>
      <c r="G867">
        <v>41</v>
      </c>
      <c r="H867">
        <v>100</v>
      </c>
      <c r="I867" t="s">
        <v>147</v>
      </c>
      <c r="J867" t="s">
        <v>688</v>
      </c>
      <c r="K867" s="1">
        <v>45508</v>
      </c>
      <c r="L867" s="1">
        <v>45297</v>
      </c>
      <c r="M867" t="s">
        <v>3415</v>
      </c>
      <c r="N867">
        <v>27</v>
      </c>
      <c r="O867">
        <v>78</v>
      </c>
      <c r="P867" t="s">
        <v>51</v>
      </c>
    </row>
    <row r="868" spans="1:16" x14ac:dyDescent="0.4">
      <c r="A868" t="s">
        <v>3416</v>
      </c>
      <c r="B868" t="s">
        <v>582</v>
      </c>
      <c r="C868" t="s">
        <v>68</v>
      </c>
      <c r="D868" t="s">
        <v>3417</v>
      </c>
      <c r="E868" t="s">
        <v>530</v>
      </c>
      <c r="F868">
        <v>38</v>
      </c>
      <c r="G868">
        <v>62</v>
      </c>
      <c r="H868">
        <v>47</v>
      </c>
      <c r="I868" t="s">
        <v>57</v>
      </c>
      <c r="J868" s="1">
        <v>45334</v>
      </c>
      <c r="K868" s="1">
        <v>45638</v>
      </c>
      <c r="L868" t="s">
        <v>408</v>
      </c>
      <c r="M868" t="s">
        <v>3418</v>
      </c>
      <c r="N868">
        <v>41</v>
      </c>
      <c r="O868">
        <v>34</v>
      </c>
      <c r="P868" t="s">
        <v>26</v>
      </c>
    </row>
    <row r="869" spans="1:16" x14ac:dyDescent="0.4">
      <c r="A869" t="s">
        <v>3419</v>
      </c>
      <c r="B869" t="s">
        <v>820</v>
      </c>
      <c r="C869" t="s">
        <v>77</v>
      </c>
      <c r="D869" t="s">
        <v>3420</v>
      </c>
      <c r="E869" t="s">
        <v>1799</v>
      </c>
      <c r="F869">
        <v>70</v>
      </c>
      <c r="G869">
        <v>66</v>
      </c>
      <c r="H869">
        <v>74</v>
      </c>
      <c r="I869" t="s">
        <v>71</v>
      </c>
      <c r="J869" s="1">
        <v>45607</v>
      </c>
      <c r="K869" s="1">
        <v>45603</v>
      </c>
      <c r="L869" t="s">
        <v>236</v>
      </c>
      <c r="M869" t="s">
        <v>3421</v>
      </c>
      <c r="N869">
        <v>47</v>
      </c>
      <c r="O869">
        <v>77</v>
      </c>
      <c r="P869" t="s">
        <v>51</v>
      </c>
    </row>
    <row r="870" spans="1:16" x14ac:dyDescent="0.4">
      <c r="A870" t="s">
        <v>3422</v>
      </c>
      <c r="B870" t="s">
        <v>962</v>
      </c>
      <c r="C870" t="s">
        <v>54</v>
      </c>
      <c r="D870" t="s">
        <v>3423</v>
      </c>
      <c r="E870" t="s">
        <v>1019</v>
      </c>
      <c r="F870">
        <v>18</v>
      </c>
      <c r="G870">
        <v>3</v>
      </c>
      <c r="H870">
        <v>39</v>
      </c>
      <c r="I870" t="s">
        <v>220</v>
      </c>
      <c r="J870" t="s">
        <v>359</v>
      </c>
      <c r="K870" t="s">
        <v>280</v>
      </c>
      <c r="L870" t="s">
        <v>485</v>
      </c>
      <c r="M870" t="s">
        <v>3424</v>
      </c>
      <c r="N870">
        <v>58</v>
      </c>
      <c r="O870">
        <v>61</v>
      </c>
      <c r="P870" t="s">
        <v>42</v>
      </c>
    </row>
    <row r="871" spans="1:16" x14ac:dyDescent="0.4">
      <c r="A871" t="s">
        <v>3425</v>
      </c>
      <c r="B871" t="s">
        <v>1406</v>
      </c>
      <c r="C871" t="s">
        <v>18</v>
      </c>
      <c r="D871" t="s">
        <v>3426</v>
      </c>
      <c r="E871" t="s">
        <v>97</v>
      </c>
      <c r="F871">
        <v>46</v>
      </c>
      <c r="G871">
        <v>81</v>
      </c>
      <c r="H871">
        <v>47</v>
      </c>
      <c r="I871" t="s">
        <v>71</v>
      </c>
      <c r="J871" s="1">
        <v>45421</v>
      </c>
      <c r="K871" s="1">
        <v>45605</v>
      </c>
      <c r="L871" t="s">
        <v>467</v>
      </c>
      <c r="M871" t="s">
        <v>3427</v>
      </c>
      <c r="N871">
        <v>48</v>
      </c>
      <c r="O871">
        <v>48</v>
      </c>
      <c r="P871" t="s">
        <v>51</v>
      </c>
    </row>
    <row r="872" spans="1:16" x14ac:dyDescent="0.4">
      <c r="A872" t="s">
        <v>3428</v>
      </c>
      <c r="B872" t="s">
        <v>28</v>
      </c>
      <c r="C872" t="s">
        <v>29</v>
      </c>
      <c r="D872" t="s">
        <v>3429</v>
      </c>
      <c r="E872" t="s">
        <v>3430</v>
      </c>
      <c r="F872">
        <v>78</v>
      </c>
      <c r="G872">
        <v>34</v>
      </c>
      <c r="H872">
        <v>39</v>
      </c>
      <c r="I872" t="s">
        <v>3431</v>
      </c>
      <c r="J872" t="s">
        <v>408</v>
      </c>
      <c r="K872" t="s">
        <v>893</v>
      </c>
      <c r="L872" t="s">
        <v>243</v>
      </c>
      <c r="M872" t="s">
        <v>3432</v>
      </c>
      <c r="N872">
        <v>62</v>
      </c>
      <c r="O872">
        <v>2</v>
      </c>
      <c r="P872" t="s">
        <v>51</v>
      </c>
    </row>
    <row r="873" spans="1:16" x14ac:dyDescent="0.4">
      <c r="A873" t="s">
        <v>3433</v>
      </c>
      <c r="B873" t="s">
        <v>784</v>
      </c>
      <c r="C873" t="s">
        <v>68</v>
      </c>
      <c r="D873" t="s">
        <v>3434</v>
      </c>
      <c r="E873" t="s">
        <v>530</v>
      </c>
      <c r="F873">
        <v>53</v>
      </c>
      <c r="G873">
        <v>20</v>
      </c>
      <c r="H873">
        <v>75</v>
      </c>
      <c r="I873" t="s">
        <v>314</v>
      </c>
      <c r="J873" s="1">
        <v>45632</v>
      </c>
      <c r="K873" s="1">
        <v>45301</v>
      </c>
      <c r="L873" s="1">
        <v>45748</v>
      </c>
      <c r="M873" t="s">
        <v>3435</v>
      </c>
      <c r="N873">
        <v>83</v>
      </c>
      <c r="O873">
        <v>77</v>
      </c>
      <c r="P873" t="s">
        <v>42</v>
      </c>
    </row>
    <row r="874" spans="1:16" x14ac:dyDescent="0.4">
      <c r="A874" t="s">
        <v>3436</v>
      </c>
      <c r="B874" t="s">
        <v>263</v>
      </c>
      <c r="C874" t="s">
        <v>169</v>
      </c>
      <c r="D874" t="s">
        <v>3437</v>
      </c>
      <c r="E874" t="s">
        <v>850</v>
      </c>
      <c r="F874">
        <v>67</v>
      </c>
      <c r="G874">
        <v>71</v>
      </c>
      <c r="H874">
        <v>4</v>
      </c>
      <c r="I874" t="s">
        <v>266</v>
      </c>
      <c r="J874" t="s">
        <v>1057</v>
      </c>
      <c r="K874" t="s">
        <v>1482</v>
      </c>
      <c r="L874" s="1">
        <v>45511</v>
      </c>
      <c r="M874" t="s">
        <v>3438</v>
      </c>
      <c r="N874">
        <v>76</v>
      </c>
      <c r="O874">
        <v>34</v>
      </c>
      <c r="P874" t="s">
        <v>42</v>
      </c>
    </row>
    <row r="875" spans="1:16" x14ac:dyDescent="0.4">
      <c r="A875" t="s">
        <v>3439</v>
      </c>
      <c r="B875" t="s">
        <v>2592</v>
      </c>
      <c r="C875" t="s">
        <v>77</v>
      </c>
      <c r="D875" t="s">
        <v>3440</v>
      </c>
      <c r="E875" t="s">
        <v>2785</v>
      </c>
      <c r="F875">
        <v>36</v>
      </c>
      <c r="G875">
        <v>30</v>
      </c>
      <c r="H875">
        <v>44</v>
      </c>
      <c r="I875" t="s">
        <v>2595</v>
      </c>
      <c r="J875" s="1">
        <v>45600</v>
      </c>
      <c r="K875" s="1">
        <v>45354</v>
      </c>
      <c r="L875" t="s">
        <v>64</v>
      </c>
      <c r="M875" t="s">
        <v>3441</v>
      </c>
      <c r="N875">
        <v>68</v>
      </c>
      <c r="O875">
        <v>88</v>
      </c>
      <c r="P875" t="s">
        <v>42</v>
      </c>
    </row>
    <row r="876" spans="1:16" x14ac:dyDescent="0.4">
      <c r="A876" t="s">
        <v>3442</v>
      </c>
      <c r="B876" t="s">
        <v>984</v>
      </c>
      <c r="C876" t="s">
        <v>18</v>
      </c>
      <c r="D876" t="s">
        <v>3443</v>
      </c>
      <c r="E876" t="s">
        <v>3390</v>
      </c>
      <c r="F876">
        <v>39</v>
      </c>
      <c r="G876">
        <v>53</v>
      </c>
      <c r="H876">
        <v>64</v>
      </c>
      <c r="I876" t="s">
        <v>986</v>
      </c>
      <c r="J876" t="s">
        <v>165</v>
      </c>
      <c r="K876" s="1">
        <v>45329</v>
      </c>
      <c r="L876" t="s">
        <v>1508</v>
      </c>
      <c r="M876" t="s">
        <v>3444</v>
      </c>
      <c r="N876">
        <v>92</v>
      </c>
      <c r="O876">
        <v>8</v>
      </c>
      <c r="P876" t="s">
        <v>51</v>
      </c>
    </row>
    <row r="877" spans="1:16" x14ac:dyDescent="0.4">
      <c r="A877" t="s">
        <v>3445</v>
      </c>
      <c r="B877" t="s">
        <v>1814</v>
      </c>
      <c r="C877" t="s">
        <v>54</v>
      </c>
      <c r="D877" t="s">
        <v>3446</v>
      </c>
      <c r="E877" t="s">
        <v>2785</v>
      </c>
      <c r="F877">
        <v>95</v>
      </c>
      <c r="G877">
        <v>87</v>
      </c>
      <c r="H877">
        <v>13</v>
      </c>
      <c r="I877" t="s">
        <v>106</v>
      </c>
      <c r="J877" s="1">
        <v>45636</v>
      </c>
      <c r="K877" s="1">
        <v>45325</v>
      </c>
      <c r="L877" s="1">
        <v>45390</v>
      </c>
      <c r="M877" t="s">
        <v>3447</v>
      </c>
      <c r="N877">
        <v>61</v>
      </c>
      <c r="O877">
        <v>4</v>
      </c>
      <c r="P877" t="s">
        <v>42</v>
      </c>
    </row>
    <row r="878" spans="1:16" x14ac:dyDescent="0.4">
      <c r="A878" t="s">
        <v>3448</v>
      </c>
      <c r="B878" t="s">
        <v>669</v>
      </c>
      <c r="C878" t="s">
        <v>18</v>
      </c>
      <c r="D878" t="s">
        <v>3449</v>
      </c>
      <c r="E878" t="s">
        <v>604</v>
      </c>
      <c r="F878">
        <v>12</v>
      </c>
      <c r="G878">
        <v>56</v>
      </c>
      <c r="H878">
        <v>92</v>
      </c>
      <c r="I878" t="s">
        <v>671</v>
      </c>
      <c r="J878" s="1">
        <v>45509</v>
      </c>
      <c r="K878" t="s">
        <v>1179</v>
      </c>
      <c r="L878" t="s">
        <v>725</v>
      </c>
      <c r="M878" t="s">
        <v>3450</v>
      </c>
      <c r="N878">
        <v>56</v>
      </c>
      <c r="O878">
        <v>6</v>
      </c>
      <c r="P878" t="s">
        <v>51</v>
      </c>
    </row>
    <row r="879" spans="1:16" x14ac:dyDescent="0.4">
      <c r="A879" t="s">
        <v>3451</v>
      </c>
      <c r="B879" t="s">
        <v>1750</v>
      </c>
      <c r="C879" t="s">
        <v>18</v>
      </c>
      <c r="D879" t="s">
        <v>3452</v>
      </c>
      <c r="E879" t="s">
        <v>1258</v>
      </c>
      <c r="F879">
        <v>98</v>
      </c>
      <c r="G879">
        <v>30</v>
      </c>
      <c r="H879">
        <v>39</v>
      </c>
      <c r="I879" t="s">
        <v>591</v>
      </c>
      <c r="J879" t="s">
        <v>308</v>
      </c>
      <c r="K879" t="s">
        <v>1482</v>
      </c>
      <c r="L879" s="1">
        <v>45573</v>
      </c>
      <c r="M879" t="s">
        <v>3453</v>
      </c>
      <c r="N879">
        <v>31</v>
      </c>
      <c r="O879">
        <v>26</v>
      </c>
      <c r="P879" t="s">
        <v>51</v>
      </c>
    </row>
    <row r="880" spans="1:16" x14ac:dyDescent="0.4">
      <c r="A880" t="s">
        <v>3454</v>
      </c>
      <c r="B880" t="s">
        <v>621</v>
      </c>
      <c r="C880" t="s">
        <v>18</v>
      </c>
      <c r="D880" t="s">
        <v>3455</v>
      </c>
      <c r="E880" t="s">
        <v>1564</v>
      </c>
      <c r="F880">
        <v>50</v>
      </c>
      <c r="G880">
        <v>14</v>
      </c>
      <c r="H880">
        <v>99</v>
      </c>
      <c r="I880" t="s">
        <v>624</v>
      </c>
      <c r="J880" s="1">
        <v>45901</v>
      </c>
      <c r="K880" t="s">
        <v>236</v>
      </c>
      <c r="L880" t="s">
        <v>643</v>
      </c>
      <c r="M880" t="s">
        <v>3456</v>
      </c>
      <c r="N880">
        <v>52</v>
      </c>
      <c r="O880">
        <v>75</v>
      </c>
      <c r="P880" t="s">
        <v>51</v>
      </c>
    </row>
    <row r="881" spans="1:16" x14ac:dyDescent="0.4">
      <c r="A881" t="s">
        <v>3457</v>
      </c>
      <c r="B881" t="s">
        <v>290</v>
      </c>
      <c r="C881" t="s">
        <v>54</v>
      </c>
      <c r="D881" t="s">
        <v>3458</v>
      </c>
      <c r="E881" t="s">
        <v>597</v>
      </c>
      <c r="F881">
        <v>98</v>
      </c>
      <c r="G881">
        <v>14</v>
      </c>
      <c r="H881">
        <v>11</v>
      </c>
      <c r="I881" t="s">
        <v>71</v>
      </c>
      <c r="J881" t="s">
        <v>49</v>
      </c>
      <c r="K881" s="1">
        <v>45303</v>
      </c>
      <c r="L881" t="s">
        <v>300</v>
      </c>
      <c r="M881" t="s">
        <v>3459</v>
      </c>
      <c r="N881">
        <v>48</v>
      </c>
      <c r="O881">
        <v>38</v>
      </c>
      <c r="P881" t="s">
        <v>26</v>
      </c>
    </row>
    <row r="882" spans="1:16" x14ac:dyDescent="0.4">
      <c r="A882" t="s">
        <v>3460</v>
      </c>
      <c r="B882" t="s">
        <v>67</v>
      </c>
      <c r="C882" t="s">
        <v>68</v>
      </c>
      <c r="D882" t="s">
        <v>3461</v>
      </c>
      <c r="E882" t="s">
        <v>706</v>
      </c>
      <c r="F882">
        <v>28</v>
      </c>
      <c r="G882">
        <v>32</v>
      </c>
      <c r="H882">
        <v>71</v>
      </c>
      <c r="I882" t="s">
        <v>71</v>
      </c>
      <c r="J882" t="s">
        <v>293</v>
      </c>
      <c r="K882" s="1">
        <v>45327</v>
      </c>
      <c r="L882" s="1">
        <v>45455</v>
      </c>
      <c r="M882" t="s">
        <v>3462</v>
      </c>
      <c r="N882">
        <v>32</v>
      </c>
      <c r="O882">
        <v>49</v>
      </c>
      <c r="P882" t="s">
        <v>26</v>
      </c>
    </row>
    <row r="883" spans="1:16" x14ac:dyDescent="0.4">
      <c r="A883" t="s">
        <v>3463</v>
      </c>
      <c r="B883" t="s">
        <v>233</v>
      </c>
      <c r="C883" t="s">
        <v>54</v>
      </c>
      <c r="D883" t="s">
        <v>3464</v>
      </c>
      <c r="E883" t="s">
        <v>825</v>
      </c>
      <c r="F883">
        <v>67</v>
      </c>
      <c r="G883">
        <v>14</v>
      </c>
      <c r="H883">
        <v>25</v>
      </c>
      <c r="I883" t="s">
        <v>466</v>
      </c>
      <c r="J883" s="1">
        <v>45327</v>
      </c>
      <c r="K883" t="s">
        <v>421</v>
      </c>
      <c r="L883" t="s">
        <v>2918</v>
      </c>
      <c r="M883" t="s">
        <v>3465</v>
      </c>
      <c r="N883">
        <v>81</v>
      </c>
      <c r="O883">
        <v>77</v>
      </c>
      <c r="P883" t="s">
        <v>51</v>
      </c>
    </row>
    <row r="884" spans="1:16" x14ac:dyDescent="0.4">
      <c r="A884" t="s">
        <v>3466</v>
      </c>
      <c r="B884" t="s">
        <v>271</v>
      </c>
      <c r="C884" t="s">
        <v>54</v>
      </c>
      <c r="D884" t="s">
        <v>3467</v>
      </c>
      <c r="E884" t="s">
        <v>1891</v>
      </c>
      <c r="F884">
        <v>20</v>
      </c>
      <c r="G884">
        <v>93</v>
      </c>
      <c r="H884">
        <v>37</v>
      </c>
      <c r="I884" t="s">
        <v>106</v>
      </c>
      <c r="J884" t="s">
        <v>1035</v>
      </c>
      <c r="K884" s="1">
        <v>45476</v>
      </c>
      <c r="L884" t="s">
        <v>315</v>
      </c>
      <c r="M884" t="s">
        <v>3468</v>
      </c>
      <c r="N884">
        <v>23</v>
      </c>
      <c r="O884">
        <v>2</v>
      </c>
      <c r="P884" t="s">
        <v>26</v>
      </c>
    </row>
    <row r="885" spans="1:16" x14ac:dyDescent="0.4">
      <c r="A885" t="s">
        <v>3469</v>
      </c>
      <c r="B885" t="s">
        <v>168</v>
      </c>
      <c r="C885" t="s">
        <v>169</v>
      </c>
      <c r="D885" t="s">
        <v>3470</v>
      </c>
      <c r="E885" t="s">
        <v>613</v>
      </c>
      <c r="F885">
        <v>67</v>
      </c>
      <c r="G885">
        <v>83</v>
      </c>
      <c r="H885">
        <v>90</v>
      </c>
      <c r="I885" t="s">
        <v>3471</v>
      </c>
      <c r="J885" t="s">
        <v>526</v>
      </c>
      <c r="K885" t="s">
        <v>179</v>
      </c>
      <c r="L885" t="s">
        <v>802</v>
      </c>
      <c r="M885" t="s">
        <v>3472</v>
      </c>
      <c r="N885">
        <v>66</v>
      </c>
      <c r="O885">
        <v>77</v>
      </c>
      <c r="P885" t="s">
        <v>51</v>
      </c>
    </row>
    <row r="886" spans="1:16" x14ac:dyDescent="0.4">
      <c r="A886" t="s">
        <v>3473</v>
      </c>
      <c r="B886" t="s">
        <v>203</v>
      </c>
      <c r="C886" t="s">
        <v>77</v>
      </c>
      <c r="D886" t="s">
        <v>3474</v>
      </c>
      <c r="E886" t="s">
        <v>1276</v>
      </c>
      <c r="F886">
        <v>94</v>
      </c>
      <c r="G886">
        <v>60</v>
      </c>
      <c r="H886">
        <v>78</v>
      </c>
      <c r="I886" t="s">
        <v>206</v>
      </c>
      <c r="J886" s="1">
        <v>45516</v>
      </c>
      <c r="K886" s="1">
        <v>45476</v>
      </c>
      <c r="L886" t="s">
        <v>567</v>
      </c>
      <c r="M886" t="s">
        <v>3475</v>
      </c>
      <c r="N886">
        <v>100</v>
      </c>
      <c r="O886">
        <v>42</v>
      </c>
      <c r="P886" t="s">
        <v>51</v>
      </c>
    </row>
    <row r="887" spans="1:16" x14ac:dyDescent="0.4">
      <c r="A887" t="s">
        <v>3476</v>
      </c>
      <c r="B887" t="s">
        <v>431</v>
      </c>
      <c r="C887" t="s">
        <v>29</v>
      </c>
      <c r="D887" t="s">
        <v>3477</v>
      </c>
      <c r="E887" t="s">
        <v>3478</v>
      </c>
      <c r="F887">
        <v>45</v>
      </c>
      <c r="G887">
        <v>58</v>
      </c>
      <c r="H887">
        <v>84</v>
      </c>
      <c r="I887" t="s">
        <v>220</v>
      </c>
      <c r="J887" s="1">
        <v>45809</v>
      </c>
      <c r="K887" t="s">
        <v>549</v>
      </c>
      <c r="L887" t="s">
        <v>666</v>
      </c>
      <c r="M887" t="s">
        <v>3479</v>
      </c>
      <c r="N887">
        <v>90</v>
      </c>
      <c r="O887">
        <v>67</v>
      </c>
      <c r="P887" t="s">
        <v>51</v>
      </c>
    </row>
    <row r="888" spans="1:16" x14ac:dyDescent="0.4">
      <c r="A888" t="s">
        <v>3480</v>
      </c>
      <c r="B888" t="s">
        <v>1017</v>
      </c>
      <c r="C888" t="s">
        <v>169</v>
      </c>
      <c r="D888" t="s">
        <v>3481</v>
      </c>
      <c r="E888" t="s">
        <v>508</v>
      </c>
      <c r="F888">
        <v>86</v>
      </c>
      <c r="G888">
        <v>55</v>
      </c>
      <c r="H888">
        <v>96</v>
      </c>
      <c r="I888" t="s">
        <v>591</v>
      </c>
      <c r="J888" t="s">
        <v>1057</v>
      </c>
      <c r="K888" s="1">
        <v>45542</v>
      </c>
      <c r="L888" t="s">
        <v>842</v>
      </c>
      <c r="M888" t="s">
        <v>3482</v>
      </c>
      <c r="N888">
        <v>37</v>
      </c>
      <c r="O888">
        <v>53</v>
      </c>
      <c r="P888" t="s">
        <v>42</v>
      </c>
    </row>
    <row r="889" spans="1:16" x14ac:dyDescent="0.4">
      <c r="A889" t="s">
        <v>3483</v>
      </c>
      <c r="B889" t="s">
        <v>1750</v>
      </c>
      <c r="C889" t="s">
        <v>18</v>
      </c>
      <c r="D889" t="s">
        <v>3484</v>
      </c>
      <c r="E889" t="s">
        <v>327</v>
      </c>
      <c r="F889">
        <v>72</v>
      </c>
      <c r="G889">
        <v>82</v>
      </c>
      <c r="H889">
        <v>52</v>
      </c>
      <c r="I889" t="s">
        <v>3105</v>
      </c>
      <c r="J889" s="1">
        <v>45359</v>
      </c>
      <c r="K889" s="1">
        <v>45542</v>
      </c>
      <c r="L889" t="s">
        <v>245</v>
      </c>
      <c r="M889" t="s">
        <v>3485</v>
      </c>
      <c r="N889">
        <v>51</v>
      </c>
      <c r="O889">
        <v>95</v>
      </c>
      <c r="P889" t="s">
        <v>42</v>
      </c>
    </row>
    <row r="890" spans="1:16" x14ac:dyDescent="0.4">
      <c r="A890" t="s">
        <v>3486</v>
      </c>
      <c r="B890" t="s">
        <v>176</v>
      </c>
      <c r="C890" t="s">
        <v>54</v>
      </c>
      <c r="D890" t="s">
        <v>3487</v>
      </c>
      <c r="E890" t="s">
        <v>1023</v>
      </c>
      <c r="F890">
        <v>31</v>
      </c>
      <c r="G890">
        <v>61</v>
      </c>
      <c r="H890">
        <v>28</v>
      </c>
      <c r="I890" t="s">
        <v>1876</v>
      </c>
      <c r="J890" s="1">
        <v>45568</v>
      </c>
      <c r="K890" s="1">
        <v>45542</v>
      </c>
      <c r="L890" t="s">
        <v>173</v>
      </c>
      <c r="M890" t="s">
        <v>3488</v>
      </c>
      <c r="N890">
        <v>55</v>
      </c>
      <c r="O890">
        <v>70</v>
      </c>
      <c r="P890" t="s">
        <v>51</v>
      </c>
    </row>
    <row r="891" spans="1:16" x14ac:dyDescent="0.4">
      <c r="A891" t="s">
        <v>3489</v>
      </c>
      <c r="B891" t="s">
        <v>533</v>
      </c>
      <c r="C891" t="s">
        <v>112</v>
      </c>
      <c r="D891" t="s">
        <v>3490</v>
      </c>
      <c r="E891" t="s">
        <v>3491</v>
      </c>
      <c r="F891">
        <v>12</v>
      </c>
      <c r="G891">
        <v>7</v>
      </c>
      <c r="H891">
        <v>23</v>
      </c>
      <c r="I891" t="s">
        <v>39</v>
      </c>
      <c r="J891" s="1">
        <v>45810</v>
      </c>
      <c r="K891" t="s">
        <v>598</v>
      </c>
      <c r="L891" t="s">
        <v>260</v>
      </c>
      <c r="M891" t="s">
        <v>3492</v>
      </c>
      <c r="N891">
        <v>72</v>
      </c>
      <c r="O891">
        <v>16</v>
      </c>
      <c r="P891" t="s">
        <v>26</v>
      </c>
    </row>
    <row r="892" spans="1:16" x14ac:dyDescent="0.4">
      <c r="A892" t="s">
        <v>3493</v>
      </c>
      <c r="B892" t="s">
        <v>799</v>
      </c>
      <c r="C892" t="s">
        <v>77</v>
      </c>
      <c r="D892" t="s">
        <v>3494</v>
      </c>
      <c r="E892" t="s">
        <v>2009</v>
      </c>
      <c r="F892">
        <v>71</v>
      </c>
      <c r="G892">
        <v>93</v>
      </c>
      <c r="H892">
        <v>75</v>
      </c>
      <c r="I892" t="s">
        <v>134</v>
      </c>
      <c r="J892" s="1">
        <v>45545</v>
      </c>
      <c r="K892" t="s">
        <v>259</v>
      </c>
      <c r="L892" s="1">
        <v>45718</v>
      </c>
      <c r="M892" t="s">
        <v>3495</v>
      </c>
      <c r="N892">
        <v>77</v>
      </c>
      <c r="O892">
        <v>58</v>
      </c>
      <c r="P892" t="s">
        <v>26</v>
      </c>
    </row>
    <row r="893" spans="1:16" x14ac:dyDescent="0.4">
      <c r="A893" t="s">
        <v>3496</v>
      </c>
      <c r="B893" t="s">
        <v>1017</v>
      </c>
      <c r="C893" t="s">
        <v>169</v>
      </c>
      <c r="D893" t="s">
        <v>3497</v>
      </c>
      <c r="E893" t="s">
        <v>1411</v>
      </c>
      <c r="F893">
        <v>64</v>
      </c>
      <c r="G893">
        <v>1</v>
      </c>
      <c r="H893">
        <v>92</v>
      </c>
      <c r="I893" t="s">
        <v>591</v>
      </c>
      <c r="J893" s="1">
        <v>45416</v>
      </c>
      <c r="K893" t="s">
        <v>956</v>
      </c>
      <c r="L893" t="s">
        <v>336</v>
      </c>
      <c r="M893" t="s">
        <v>3498</v>
      </c>
      <c r="N893">
        <v>49</v>
      </c>
      <c r="O893">
        <v>15</v>
      </c>
      <c r="P893" t="s">
        <v>51</v>
      </c>
    </row>
    <row r="894" spans="1:16" x14ac:dyDescent="0.4">
      <c r="A894" t="s">
        <v>3499</v>
      </c>
      <c r="B894" t="s">
        <v>1821</v>
      </c>
      <c r="C894" t="s">
        <v>68</v>
      </c>
      <c r="D894" t="s">
        <v>3500</v>
      </c>
      <c r="E894" t="s">
        <v>345</v>
      </c>
      <c r="F894">
        <v>89</v>
      </c>
      <c r="G894">
        <v>79</v>
      </c>
      <c r="H894">
        <v>66</v>
      </c>
      <c r="I894" t="s">
        <v>220</v>
      </c>
      <c r="J894" t="s">
        <v>609</v>
      </c>
      <c r="K894" t="s">
        <v>230</v>
      </c>
      <c r="L894" t="s">
        <v>383</v>
      </c>
      <c r="M894" t="s">
        <v>3501</v>
      </c>
      <c r="N894">
        <v>91</v>
      </c>
      <c r="O894">
        <v>31</v>
      </c>
      <c r="P894" t="s">
        <v>26</v>
      </c>
    </row>
    <row r="895" spans="1:16" x14ac:dyDescent="0.4">
      <c r="A895" t="s">
        <v>3502</v>
      </c>
      <c r="B895" t="s">
        <v>943</v>
      </c>
      <c r="C895" t="s">
        <v>68</v>
      </c>
      <c r="D895" t="s">
        <v>3503</v>
      </c>
      <c r="E895" t="s">
        <v>2909</v>
      </c>
      <c r="F895">
        <v>50</v>
      </c>
      <c r="G895">
        <v>36</v>
      </c>
      <c r="H895">
        <v>96</v>
      </c>
      <c r="I895" t="s">
        <v>945</v>
      </c>
      <c r="J895" s="1">
        <v>45638</v>
      </c>
      <c r="K895" s="1">
        <v>45634</v>
      </c>
      <c r="L895" s="1">
        <v>45298</v>
      </c>
      <c r="M895" t="s">
        <v>3504</v>
      </c>
      <c r="N895">
        <v>53</v>
      </c>
      <c r="O895">
        <v>73</v>
      </c>
      <c r="P895" t="s">
        <v>42</v>
      </c>
    </row>
    <row r="896" spans="1:16" x14ac:dyDescent="0.4">
      <c r="A896" t="s">
        <v>3505</v>
      </c>
      <c r="B896" t="s">
        <v>304</v>
      </c>
      <c r="C896" t="s">
        <v>54</v>
      </c>
      <c r="D896" t="s">
        <v>3506</v>
      </c>
      <c r="E896" t="s">
        <v>1891</v>
      </c>
      <c r="F896">
        <v>53</v>
      </c>
      <c r="G896">
        <v>98</v>
      </c>
      <c r="H896">
        <v>23</v>
      </c>
      <c r="I896" t="s">
        <v>220</v>
      </c>
      <c r="J896" t="s">
        <v>214</v>
      </c>
      <c r="K896" s="1">
        <v>45389</v>
      </c>
      <c r="L896" t="s">
        <v>842</v>
      </c>
      <c r="M896" t="s">
        <v>3507</v>
      </c>
      <c r="N896">
        <v>41</v>
      </c>
      <c r="O896">
        <v>84</v>
      </c>
      <c r="P896" t="s">
        <v>42</v>
      </c>
    </row>
    <row r="897" spans="1:16" x14ac:dyDescent="0.4">
      <c r="A897" t="s">
        <v>3508</v>
      </c>
      <c r="B897" t="s">
        <v>263</v>
      </c>
      <c r="C897" t="s">
        <v>169</v>
      </c>
      <c r="D897" t="s">
        <v>3509</v>
      </c>
      <c r="E897" t="s">
        <v>2970</v>
      </c>
      <c r="F897">
        <v>19</v>
      </c>
      <c r="G897">
        <v>99</v>
      </c>
      <c r="H897">
        <v>78</v>
      </c>
      <c r="I897" t="s">
        <v>266</v>
      </c>
      <c r="J897" t="s">
        <v>1343</v>
      </c>
      <c r="K897" t="s">
        <v>598</v>
      </c>
      <c r="L897" t="s">
        <v>2285</v>
      </c>
      <c r="M897" t="s">
        <v>3510</v>
      </c>
      <c r="N897">
        <v>29</v>
      </c>
      <c r="O897">
        <v>54</v>
      </c>
      <c r="P897" t="s">
        <v>26</v>
      </c>
    </row>
    <row r="898" spans="1:16" x14ac:dyDescent="0.4">
      <c r="A898" t="s">
        <v>3511</v>
      </c>
      <c r="B898" t="s">
        <v>476</v>
      </c>
      <c r="C898" t="s">
        <v>54</v>
      </c>
      <c r="D898" t="s">
        <v>3512</v>
      </c>
      <c r="E898" t="s">
        <v>1880</v>
      </c>
      <c r="F898">
        <v>89</v>
      </c>
      <c r="G898">
        <v>40</v>
      </c>
      <c r="H898">
        <v>64</v>
      </c>
      <c r="I898" t="s">
        <v>57</v>
      </c>
      <c r="J898" t="s">
        <v>2918</v>
      </c>
      <c r="K898" s="1">
        <v>45993</v>
      </c>
      <c r="L898" t="s">
        <v>24</v>
      </c>
      <c r="M898" t="s">
        <v>3513</v>
      </c>
      <c r="N898">
        <v>93</v>
      </c>
      <c r="O898">
        <v>48</v>
      </c>
      <c r="P898" t="s">
        <v>51</v>
      </c>
    </row>
    <row r="899" spans="1:16" x14ac:dyDescent="0.4">
      <c r="A899" t="s">
        <v>3514</v>
      </c>
      <c r="B899" t="s">
        <v>704</v>
      </c>
      <c r="C899" t="s">
        <v>169</v>
      </c>
      <c r="D899" t="s">
        <v>3515</v>
      </c>
      <c r="E899" t="s">
        <v>371</v>
      </c>
      <c r="F899">
        <v>96</v>
      </c>
      <c r="G899">
        <v>12</v>
      </c>
      <c r="H899">
        <v>8</v>
      </c>
      <c r="I899" t="s">
        <v>147</v>
      </c>
      <c r="J899" s="1">
        <v>45601</v>
      </c>
      <c r="K899" t="s">
        <v>100</v>
      </c>
      <c r="L899" t="s">
        <v>421</v>
      </c>
      <c r="M899" t="s">
        <v>3516</v>
      </c>
      <c r="N899">
        <v>97</v>
      </c>
      <c r="O899">
        <v>92</v>
      </c>
      <c r="P899" t="s">
        <v>51</v>
      </c>
    </row>
    <row r="900" spans="1:16" x14ac:dyDescent="0.4">
      <c r="A900" t="s">
        <v>3517</v>
      </c>
      <c r="B900" t="s">
        <v>189</v>
      </c>
      <c r="C900" t="s">
        <v>77</v>
      </c>
      <c r="D900" t="s">
        <v>3518</v>
      </c>
      <c r="E900" t="s">
        <v>3519</v>
      </c>
      <c r="F900">
        <v>52</v>
      </c>
      <c r="G900">
        <v>56</v>
      </c>
      <c r="H900">
        <v>34</v>
      </c>
      <c r="I900" t="s">
        <v>172</v>
      </c>
      <c r="J900" t="s">
        <v>1351</v>
      </c>
      <c r="K900" s="1">
        <v>45392</v>
      </c>
      <c r="L900" t="s">
        <v>358</v>
      </c>
      <c r="M900" t="s">
        <v>3520</v>
      </c>
      <c r="N900">
        <v>31</v>
      </c>
      <c r="O900">
        <v>69</v>
      </c>
      <c r="P900" t="s">
        <v>42</v>
      </c>
    </row>
    <row r="901" spans="1:16" x14ac:dyDescent="0.4">
      <c r="A901" t="s">
        <v>3521</v>
      </c>
      <c r="B901" t="s">
        <v>943</v>
      </c>
      <c r="C901" t="s">
        <v>68</v>
      </c>
      <c r="D901" t="s">
        <v>3522</v>
      </c>
      <c r="E901" t="s">
        <v>1975</v>
      </c>
      <c r="F901">
        <v>97</v>
      </c>
      <c r="G901">
        <v>20</v>
      </c>
      <c r="H901">
        <v>8</v>
      </c>
      <c r="I901" t="s">
        <v>945</v>
      </c>
      <c r="J901" t="s">
        <v>688</v>
      </c>
      <c r="K901" s="1">
        <v>45454</v>
      </c>
      <c r="L901" s="1">
        <v>45546</v>
      </c>
      <c r="M901" t="s">
        <v>3523</v>
      </c>
      <c r="N901">
        <v>51</v>
      </c>
      <c r="O901">
        <v>51</v>
      </c>
      <c r="P901" t="s">
        <v>51</v>
      </c>
    </row>
    <row r="902" spans="1:16" x14ac:dyDescent="0.4">
      <c r="A902" t="s">
        <v>3524</v>
      </c>
      <c r="B902" t="s">
        <v>1428</v>
      </c>
      <c r="C902" t="s">
        <v>169</v>
      </c>
      <c r="D902" t="s">
        <v>3525</v>
      </c>
      <c r="E902" t="s">
        <v>1718</v>
      </c>
      <c r="F902">
        <v>88</v>
      </c>
      <c r="G902">
        <v>42</v>
      </c>
      <c r="H902">
        <v>68</v>
      </c>
      <c r="I902" t="s">
        <v>32</v>
      </c>
      <c r="J902" t="s">
        <v>260</v>
      </c>
      <c r="K902" t="s">
        <v>1188</v>
      </c>
      <c r="L902" s="1">
        <v>45539</v>
      </c>
      <c r="M902" t="s">
        <v>3526</v>
      </c>
      <c r="N902">
        <v>92</v>
      </c>
      <c r="O902">
        <v>29</v>
      </c>
      <c r="P902" t="s">
        <v>51</v>
      </c>
    </row>
    <row r="903" spans="1:16" x14ac:dyDescent="0.4">
      <c r="A903" t="s">
        <v>3527</v>
      </c>
      <c r="B903" t="s">
        <v>621</v>
      </c>
      <c r="C903" t="s">
        <v>18</v>
      </c>
      <c r="D903" t="s">
        <v>3528</v>
      </c>
      <c r="E903" t="s">
        <v>2833</v>
      </c>
      <c r="F903">
        <v>33</v>
      </c>
      <c r="G903">
        <v>44</v>
      </c>
      <c r="H903">
        <v>89</v>
      </c>
      <c r="I903" t="s">
        <v>624</v>
      </c>
      <c r="J903" t="s">
        <v>1014</v>
      </c>
      <c r="K903" s="1">
        <v>45421</v>
      </c>
      <c r="L903" t="s">
        <v>49</v>
      </c>
      <c r="M903" t="s">
        <v>3529</v>
      </c>
      <c r="N903">
        <v>93</v>
      </c>
      <c r="O903">
        <v>19</v>
      </c>
      <c r="P903" t="s">
        <v>26</v>
      </c>
    </row>
    <row r="904" spans="1:16" x14ac:dyDescent="0.4">
      <c r="A904" t="s">
        <v>3530</v>
      </c>
      <c r="B904" t="s">
        <v>621</v>
      </c>
      <c r="C904" t="s">
        <v>18</v>
      </c>
      <c r="D904" t="s">
        <v>3531</v>
      </c>
      <c r="E904" t="s">
        <v>371</v>
      </c>
      <c r="F904">
        <v>98</v>
      </c>
      <c r="G904">
        <v>20</v>
      </c>
      <c r="H904">
        <v>81</v>
      </c>
      <c r="I904" t="s">
        <v>624</v>
      </c>
      <c r="J904" t="s">
        <v>882</v>
      </c>
      <c r="K904" s="1">
        <v>45572</v>
      </c>
      <c r="L904" t="s">
        <v>2285</v>
      </c>
      <c r="M904" t="s">
        <v>3532</v>
      </c>
      <c r="N904">
        <v>51</v>
      </c>
      <c r="O904">
        <v>23</v>
      </c>
      <c r="P904" t="s">
        <v>42</v>
      </c>
    </row>
    <row r="905" spans="1:16" x14ac:dyDescent="0.4">
      <c r="A905" t="s">
        <v>3533</v>
      </c>
      <c r="B905" t="s">
        <v>733</v>
      </c>
      <c r="C905" t="s">
        <v>54</v>
      </c>
      <c r="D905" t="s">
        <v>3534</v>
      </c>
      <c r="E905" t="s">
        <v>560</v>
      </c>
      <c r="F905">
        <v>45</v>
      </c>
      <c r="G905">
        <v>79</v>
      </c>
      <c r="H905">
        <v>95</v>
      </c>
      <c r="I905" t="s">
        <v>57</v>
      </c>
      <c r="J905" s="1">
        <v>45455</v>
      </c>
      <c r="K905" t="s">
        <v>207</v>
      </c>
      <c r="L905" t="s">
        <v>755</v>
      </c>
      <c r="M905" t="s">
        <v>3535</v>
      </c>
      <c r="N905">
        <v>84</v>
      </c>
      <c r="O905">
        <v>62</v>
      </c>
      <c r="P905" t="s">
        <v>42</v>
      </c>
    </row>
    <row r="906" spans="1:16" x14ac:dyDescent="0.4">
      <c r="A906" t="s">
        <v>3536</v>
      </c>
      <c r="B906" t="s">
        <v>774</v>
      </c>
      <c r="C906" t="s">
        <v>18</v>
      </c>
      <c r="D906" t="s">
        <v>3537</v>
      </c>
      <c r="E906" t="s">
        <v>2572</v>
      </c>
      <c r="F906">
        <v>80</v>
      </c>
      <c r="G906">
        <v>86</v>
      </c>
      <c r="H906">
        <v>50</v>
      </c>
      <c r="I906" t="s">
        <v>466</v>
      </c>
      <c r="J906" s="1">
        <v>45417</v>
      </c>
      <c r="K906" t="s">
        <v>322</v>
      </c>
      <c r="L906" t="s">
        <v>214</v>
      </c>
      <c r="M906" t="s">
        <v>3538</v>
      </c>
      <c r="N906">
        <v>46</v>
      </c>
      <c r="O906">
        <v>69</v>
      </c>
      <c r="P906" t="s">
        <v>26</v>
      </c>
    </row>
    <row r="907" spans="1:16" x14ac:dyDescent="0.4">
      <c r="A907" t="s">
        <v>3539</v>
      </c>
      <c r="B907" t="s">
        <v>1428</v>
      </c>
      <c r="C907" t="s">
        <v>169</v>
      </c>
      <c r="D907" t="s">
        <v>3540</v>
      </c>
      <c r="E907" t="s">
        <v>891</v>
      </c>
      <c r="F907">
        <v>68</v>
      </c>
      <c r="G907">
        <v>43</v>
      </c>
      <c r="H907">
        <v>96</v>
      </c>
      <c r="I907" t="s">
        <v>32</v>
      </c>
      <c r="J907" t="s">
        <v>341</v>
      </c>
      <c r="K907" t="s">
        <v>828</v>
      </c>
      <c r="L907" t="s">
        <v>1205</v>
      </c>
      <c r="M907" t="s">
        <v>3541</v>
      </c>
      <c r="N907">
        <v>75</v>
      </c>
      <c r="O907">
        <v>35</v>
      </c>
      <c r="P907" t="s">
        <v>42</v>
      </c>
    </row>
    <row r="908" spans="1:16" x14ac:dyDescent="0.4">
      <c r="A908" t="s">
        <v>3542</v>
      </c>
      <c r="B908" t="s">
        <v>1447</v>
      </c>
      <c r="C908" t="s">
        <v>54</v>
      </c>
      <c r="D908" t="s">
        <v>3543</v>
      </c>
      <c r="E908" t="s">
        <v>1499</v>
      </c>
      <c r="F908">
        <v>90</v>
      </c>
      <c r="G908">
        <v>91</v>
      </c>
      <c r="H908">
        <v>62</v>
      </c>
      <c r="I908" t="s">
        <v>220</v>
      </c>
      <c r="J908" t="s">
        <v>485</v>
      </c>
      <c r="K908" t="s">
        <v>630</v>
      </c>
      <c r="L908" t="s">
        <v>485</v>
      </c>
      <c r="M908" t="s">
        <v>3544</v>
      </c>
      <c r="N908">
        <v>34</v>
      </c>
      <c r="O908">
        <v>72</v>
      </c>
      <c r="P908" t="s">
        <v>51</v>
      </c>
    </row>
    <row r="909" spans="1:16" x14ac:dyDescent="0.4">
      <c r="A909" t="s">
        <v>3545</v>
      </c>
      <c r="B909" t="s">
        <v>168</v>
      </c>
      <c r="C909" t="s">
        <v>169</v>
      </c>
      <c r="D909" t="s">
        <v>3546</v>
      </c>
      <c r="E909" t="s">
        <v>1557</v>
      </c>
      <c r="F909">
        <v>89</v>
      </c>
      <c r="G909">
        <v>67</v>
      </c>
      <c r="H909">
        <v>89</v>
      </c>
      <c r="I909" t="s">
        <v>172</v>
      </c>
      <c r="J909" t="s">
        <v>180</v>
      </c>
      <c r="K909" s="1">
        <v>45778</v>
      </c>
      <c r="L909" s="1">
        <v>45576</v>
      </c>
      <c r="M909" t="s">
        <v>3547</v>
      </c>
      <c r="N909">
        <v>96</v>
      </c>
      <c r="O909">
        <v>42</v>
      </c>
      <c r="P909" t="s">
        <v>26</v>
      </c>
    </row>
    <row r="910" spans="1:16" x14ac:dyDescent="0.4">
      <c r="A910" t="s">
        <v>3548</v>
      </c>
      <c r="B910" t="s">
        <v>233</v>
      </c>
      <c r="C910" t="s">
        <v>54</v>
      </c>
      <c r="D910" t="s">
        <v>3549</v>
      </c>
      <c r="E910" t="s">
        <v>2080</v>
      </c>
      <c r="F910">
        <v>38</v>
      </c>
      <c r="G910">
        <v>94</v>
      </c>
      <c r="H910">
        <v>87</v>
      </c>
      <c r="I910" t="s">
        <v>466</v>
      </c>
      <c r="J910" t="s">
        <v>1129</v>
      </c>
      <c r="K910" s="1">
        <v>45356</v>
      </c>
      <c r="L910" t="s">
        <v>222</v>
      </c>
      <c r="M910" t="s">
        <v>3550</v>
      </c>
      <c r="N910">
        <v>89</v>
      </c>
      <c r="O910">
        <v>100</v>
      </c>
      <c r="P910" t="s">
        <v>26</v>
      </c>
    </row>
    <row r="911" spans="1:16" x14ac:dyDescent="0.4">
      <c r="A911" t="s">
        <v>3551</v>
      </c>
      <c r="B911" t="s">
        <v>176</v>
      </c>
      <c r="C911" t="s">
        <v>54</v>
      </c>
      <c r="D911" t="s">
        <v>3552</v>
      </c>
      <c r="E911" t="s">
        <v>3553</v>
      </c>
      <c r="F911">
        <v>99</v>
      </c>
      <c r="G911">
        <v>37</v>
      </c>
      <c r="H911">
        <v>74</v>
      </c>
      <c r="I911" t="s">
        <v>1876</v>
      </c>
      <c r="J911" t="s">
        <v>915</v>
      </c>
      <c r="K911" t="s">
        <v>192</v>
      </c>
      <c r="L911" s="1">
        <v>45325</v>
      </c>
      <c r="M911" t="s">
        <v>3554</v>
      </c>
      <c r="N911">
        <v>46</v>
      </c>
      <c r="O911">
        <v>46</v>
      </c>
      <c r="P911" t="s">
        <v>51</v>
      </c>
    </row>
    <row r="912" spans="1:16" x14ac:dyDescent="0.4">
      <c r="A912" t="s">
        <v>3555</v>
      </c>
      <c r="B912" t="s">
        <v>885</v>
      </c>
      <c r="C912" t="s">
        <v>18</v>
      </c>
      <c r="D912" t="s">
        <v>3556</v>
      </c>
      <c r="E912" t="s">
        <v>1120</v>
      </c>
      <c r="F912">
        <v>66</v>
      </c>
      <c r="G912">
        <v>19</v>
      </c>
      <c r="H912">
        <v>20</v>
      </c>
      <c r="I912" t="s">
        <v>554</v>
      </c>
      <c r="J912" t="s">
        <v>514</v>
      </c>
      <c r="K912" s="1">
        <v>45482</v>
      </c>
      <c r="L912" s="1">
        <v>45297</v>
      </c>
      <c r="M912" t="s">
        <v>3557</v>
      </c>
      <c r="N912">
        <v>30</v>
      </c>
      <c r="O912">
        <v>49</v>
      </c>
      <c r="P912" t="s">
        <v>51</v>
      </c>
    </row>
    <row r="913" spans="1:16" x14ac:dyDescent="0.4">
      <c r="A913" t="s">
        <v>3558</v>
      </c>
      <c r="B913" t="s">
        <v>722</v>
      </c>
      <c r="C913" t="s">
        <v>54</v>
      </c>
      <c r="D913" t="s">
        <v>3559</v>
      </c>
      <c r="E913" t="s">
        <v>2421</v>
      </c>
      <c r="F913">
        <v>66</v>
      </c>
      <c r="G913">
        <v>28</v>
      </c>
      <c r="H913">
        <v>7</v>
      </c>
      <c r="I913" t="s">
        <v>39</v>
      </c>
      <c r="J913" t="s">
        <v>786</v>
      </c>
      <c r="K913" t="s">
        <v>1272</v>
      </c>
      <c r="L913" t="s">
        <v>882</v>
      </c>
      <c r="M913" t="s">
        <v>3560</v>
      </c>
      <c r="N913">
        <v>85</v>
      </c>
      <c r="O913">
        <v>6</v>
      </c>
      <c r="P913" t="s">
        <v>42</v>
      </c>
    </row>
    <row r="914" spans="1:16" x14ac:dyDescent="0.4">
      <c r="A914" t="s">
        <v>3561</v>
      </c>
      <c r="B914" t="s">
        <v>138</v>
      </c>
      <c r="C914" t="s">
        <v>18</v>
      </c>
      <c r="D914" t="s">
        <v>3562</v>
      </c>
      <c r="E914" t="s">
        <v>1246</v>
      </c>
      <c r="F914">
        <v>64</v>
      </c>
      <c r="G914">
        <v>11</v>
      </c>
      <c r="H914">
        <v>97</v>
      </c>
      <c r="I914" t="s">
        <v>47</v>
      </c>
      <c r="J914" t="s">
        <v>268</v>
      </c>
      <c r="K914" t="s">
        <v>99</v>
      </c>
      <c r="L914" s="1">
        <v>45419</v>
      </c>
      <c r="M914" t="s">
        <v>3563</v>
      </c>
      <c r="N914">
        <v>33</v>
      </c>
      <c r="O914">
        <v>83</v>
      </c>
      <c r="P914" t="s">
        <v>26</v>
      </c>
    </row>
    <row r="915" spans="1:16" x14ac:dyDescent="0.4">
      <c r="A915" t="s">
        <v>3564</v>
      </c>
      <c r="B915" t="s">
        <v>36</v>
      </c>
      <c r="C915" t="s">
        <v>18</v>
      </c>
      <c r="D915" t="s">
        <v>3565</v>
      </c>
      <c r="E915" t="s">
        <v>2775</v>
      </c>
      <c r="F915">
        <v>18</v>
      </c>
      <c r="G915">
        <v>78</v>
      </c>
      <c r="H915">
        <v>43</v>
      </c>
      <c r="I915" t="s">
        <v>39</v>
      </c>
      <c r="J915" s="1">
        <v>45748</v>
      </c>
      <c r="K915" s="1">
        <v>45419</v>
      </c>
      <c r="L915" t="s">
        <v>1629</v>
      </c>
      <c r="M915" t="s">
        <v>3566</v>
      </c>
      <c r="N915">
        <v>85</v>
      </c>
      <c r="O915">
        <v>97</v>
      </c>
      <c r="P915" t="s">
        <v>51</v>
      </c>
    </row>
    <row r="916" spans="1:16" x14ac:dyDescent="0.4">
      <c r="A916" t="s">
        <v>3567</v>
      </c>
      <c r="B916" t="s">
        <v>984</v>
      </c>
      <c r="C916" t="s">
        <v>18</v>
      </c>
      <c r="D916" t="s">
        <v>3568</v>
      </c>
      <c r="E916" t="s">
        <v>1585</v>
      </c>
      <c r="F916">
        <v>86</v>
      </c>
      <c r="G916">
        <v>100</v>
      </c>
      <c r="H916">
        <v>78</v>
      </c>
      <c r="I916" t="s">
        <v>986</v>
      </c>
      <c r="J916" s="1">
        <v>45447</v>
      </c>
      <c r="K916" t="s">
        <v>164</v>
      </c>
      <c r="L916" s="1">
        <v>45779</v>
      </c>
      <c r="M916" t="s">
        <v>3569</v>
      </c>
      <c r="N916">
        <v>52</v>
      </c>
      <c r="O916">
        <v>91</v>
      </c>
      <c r="P916" t="s">
        <v>42</v>
      </c>
    </row>
    <row r="917" spans="1:16" x14ac:dyDescent="0.4">
      <c r="A917" t="s">
        <v>3570</v>
      </c>
      <c r="B917" t="s">
        <v>431</v>
      </c>
      <c r="C917" t="s">
        <v>29</v>
      </c>
      <c r="D917" t="s">
        <v>3571</v>
      </c>
      <c r="E917" t="s">
        <v>292</v>
      </c>
      <c r="F917">
        <v>35</v>
      </c>
      <c r="G917">
        <v>88</v>
      </c>
      <c r="H917">
        <v>87</v>
      </c>
      <c r="I917" t="s">
        <v>1663</v>
      </c>
      <c r="J917" s="1">
        <v>45416</v>
      </c>
      <c r="K917" s="1">
        <v>45636</v>
      </c>
      <c r="L917" t="s">
        <v>1343</v>
      </c>
      <c r="M917" t="s">
        <v>3572</v>
      </c>
      <c r="N917">
        <v>39</v>
      </c>
      <c r="O917">
        <v>62</v>
      </c>
      <c r="P917" t="s">
        <v>51</v>
      </c>
    </row>
    <row r="918" spans="1:16" x14ac:dyDescent="0.4">
      <c r="A918" t="s">
        <v>3573</v>
      </c>
      <c r="B918" t="s">
        <v>176</v>
      </c>
      <c r="C918" t="s">
        <v>54</v>
      </c>
      <c r="D918" t="s">
        <v>3574</v>
      </c>
      <c r="E918" t="s">
        <v>1204</v>
      </c>
      <c r="F918">
        <v>26</v>
      </c>
      <c r="G918">
        <v>70</v>
      </c>
      <c r="H918">
        <v>52</v>
      </c>
      <c r="I918" t="s">
        <v>106</v>
      </c>
      <c r="J918" s="1">
        <v>45482</v>
      </c>
      <c r="K918" s="1">
        <v>45568</v>
      </c>
      <c r="L918" s="1">
        <v>45362</v>
      </c>
      <c r="M918" t="s">
        <v>3575</v>
      </c>
      <c r="N918">
        <v>36</v>
      </c>
      <c r="O918">
        <v>10</v>
      </c>
      <c r="P918" t="s">
        <v>26</v>
      </c>
    </row>
    <row r="919" spans="1:16" x14ac:dyDescent="0.4">
      <c r="A919" t="s">
        <v>3576</v>
      </c>
      <c r="B919" t="s">
        <v>189</v>
      </c>
      <c r="C919" t="s">
        <v>77</v>
      </c>
      <c r="D919" t="s">
        <v>3577</v>
      </c>
      <c r="E919" t="s">
        <v>212</v>
      </c>
      <c r="F919">
        <v>80</v>
      </c>
      <c r="G919">
        <v>100</v>
      </c>
      <c r="H919">
        <v>48</v>
      </c>
      <c r="I919" t="s">
        <v>172</v>
      </c>
      <c r="J919" t="s">
        <v>228</v>
      </c>
      <c r="K919" s="1">
        <v>45636</v>
      </c>
      <c r="L919" s="1">
        <v>45447</v>
      </c>
      <c r="M919" t="s">
        <v>3578</v>
      </c>
      <c r="N919">
        <v>100</v>
      </c>
      <c r="O919">
        <v>28</v>
      </c>
      <c r="P919" t="s">
        <v>42</v>
      </c>
    </row>
    <row r="920" spans="1:16" x14ac:dyDescent="0.4">
      <c r="A920" t="s">
        <v>3579</v>
      </c>
      <c r="B920" t="s">
        <v>290</v>
      </c>
      <c r="C920" t="s">
        <v>54</v>
      </c>
      <c r="D920" t="s">
        <v>3580</v>
      </c>
      <c r="E920" t="s">
        <v>968</v>
      </c>
      <c r="F920">
        <v>63</v>
      </c>
      <c r="G920">
        <v>56</v>
      </c>
      <c r="H920">
        <v>33</v>
      </c>
      <c r="I920" t="s">
        <v>71</v>
      </c>
      <c r="J920" s="1">
        <v>45901</v>
      </c>
      <c r="K920" s="1">
        <v>45479</v>
      </c>
      <c r="L920" t="s">
        <v>2918</v>
      </c>
      <c r="M920" t="s">
        <v>3581</v>
      </c>
      <c r="N920">
        <v>35</v>
      </c>
      <c r="O920">
        <v>16</v>
      </c>
      <c r="P920" t="s">
        <v>42</v>
      </c>
    </row>
    <row r="921" spans="1:16" x14ac:dyDescent="0.4">
      <c r="A921" t="s">
        <v>3582</v>
      </c>
      <c r="B921" t="s">
        <v>1712</v>
      </c>
      <c r="C921" t="s">
        <v>112</v>
      </c>
      <c r="D921" t="s">
        <v>3583</v>
      </c>
      <c r="E921" t="s">
        <v>535</v>
      </c>
      <c r="F921">
        <v>89</v>
      </c>
      <c r="G921">
        <v>22</v>
      </c>
      <c r="H921">
        <v>23</v>
      </c>
      <c r="I921" t="s">
        <v>1386</v>
      </c>
      <c r="J921" s="1">
        <v>45631</v>
      </c>
      <c r="K921" t="s">
        <v>1110</v>
      </c>
      <c r="L921" t="s">
        <v>882</v>
      </c>
      <c r="M921" t="s">
        <v>3584</v>
      </c>
      <c r="N921">
        <v>83</v>
      </c>
      <c r="O921">
        <v>25</v>
      </c>
      <c r="P921" t="s">
        <v>26</v>
      </c>
    </row>
    <row r="922" spans="1:16" x14ac:dyDescent="0.4">
      <c r="A922" t="s">
        <v>3585</v>
      </c>
      <c r="B922" t="s">
        <v>1814</v>
      </c>
      <c r="C922" t="s">
        <v>54</v>
      </c>
      <c r="D922" t="s">
        <v>3586</v>
      </c>
      <c r="E922" t="s">
        <v>2909</v>
      </c>
      <c r="F922">
        <v>80</v>
      </c>
      <c r="G922">
        <v>60</v>
      </c>
      <c r="H922">
        <v>71</v>
      </c>
      <c r="I922" t="s">
        <v>106</v>
      </c>
      <c r="J922" s="1">
        <v>45514</v>
      </c>
      <c r="K922" t="s">
        <v>1005</v>
      </c>
      <c r="L922" t="s">
        <v>173</v>
      </c>
      <c r="M922" t="s">
        <v>3587</v>
      </c>
      <c r="N922">
        <v>98</v>
      </c>
      <c r="O922">
        <v>13</v>
      </c>
      <c r="P922" t="s">
        <v>51</v>
      </c>
    </row>
    <row r="923" spans="1:16" x14ac:dyDescent="0.4">
      <c r="A923" t="s">
        <v>3588</v>
      </c>
      <c r="B923" t="s">
        <v>912</v>
      </c>
      <c r="C923" t="s">
        <v>68</v>
      </c>
      <c r="D923" t="s">
        <v>3589</v>
      </c>
      <c r="E923" t="s">
        <v>500</v>
      </c>
      <c r="F923">
        <v>41</v>
      </c>
      <c r="G923">
        <v>66</v>
      </c>
      <c r="H923">
        <v>50</v>
      </c>
      <c r="I923" t="s">
        <v>106</v>
      </c>
      <c r="J923" t="s">
        <v>1597</v>
      </c>
      <c r="K923" t="s">
        <v>1387</v>
      </c>
      <c r="L923" t="s">
        <v>495</v>
      </c>
      <c r="M923" t="s">
        <v>3590</v>
      </c>
      <c r="N923">
        <v>55</v>
      </c>
      <c r="O923">
        <v>74</v>
      </c>
      <c r="P923" t="s">
        <v>42</v>
      </c>
    </row>
    <row r="924" spans="1:16" x14ac:dyDescent="0.4">
      <c r="A924" t="s">
        <v>3591</v>
      </c>
      <c r="B924" t="s">
        <v>595</v>
      </c>
      <c r="C924" t="s">
        <v>112</v>
      </c>
      <c r="D924" t="s">
        <v>3592</v>
      </c>
      <c r="E924" t="s">
        <v>3593</v>
      </c>
      <c r="F924">
        <v>53</v>
      </c>
      <c r="G924">
        <v>19</v>
      </c>
      <c r="H924">
        <v>94</v>
      </c>
      <c r="I924" t="s">
        <v>220</v>
      </c>
      <c r="J924" t="s">
        <v>1209</v>
      </c>
      <c r="K924" s="1">
        <v>45637</v>
      </c>
      <c r="L924" t="s">
        <v>359</v>
      </c>
      <c r="M924" t="s">
        <v>3594</v>
      </c>
      <c r="N924">
        <v>82</v>
      </c>
      <c r="O924">
        <v>56</v>
      </c>
      <c r="P924" t="s">
        <v>26</v>
      </c>
    </row>
    <row r="925" spans="1:16" x14ac:dyDescent="0.4">
      <c r="A925" t="s">
        <v>3595</v>
      </c>
      <c r="B925" t="s">
        <v>263</v>
      </c>
      <c r="C925" t="s">
        <v>169</v>
      </c>
      <c r="D925" t="s">
        <v>3596</v>
      </c>
      <c r="E925" t="s">
        <v>163</v>
      </c>
      <c r="F925">
        <v>61</v>
      </c>
      <c r="G925">
        <v>91</v>
      </c>
      <c r="H925">
        <v>40</v>
      </c>
      <c r="I925" t="s">
        <v>266</v>
      </c>
      <c r="J925" s="1">
        <v>45870</v>
      </c>
      <c r="K925" t="s">
        <v>422</v>
      </c>
      <c r="L925" s="1">
        <v>45541</v>
      </c>
      <c r="M925" t="s">
        <v>3597</v>
      </c>
      <c r="N925">
        <v>34</v>
      </c>
      <c r="O925">
        <v>76</v>
      </c>
      <c r="P925" t="s">
        <v>51</v>
      </c>
    </row>
    <row r="926" spans="1:16" x14ac:dyDescent="0.4">
      <c r="A926" t="s">
        <v>3598</v>
      </c>
      <c r="B926" t="s">
        <v>88</v>
      </c>
      <c r="C926" t="s">
        <v>77</v>
      </c>
      <c r="D926" t="s">
        <v>3599</v>
      </c>
      <c r="E926" t="s">
        <v>2164</v>
      </c>
      <c r="F926">
        <v>70</v>
      </c>
      <c r="G926">
        <v>92</v>
      </c>
      <c r="H926">
        <v>74</v>
      </c>
      <c r="I926" t="s">
        <v>91</v>
      </c>
      <c r="J926" t="s">
        <v>1165</v>
      </c>
      <c r="K926" t="s">
        <v>173</v>
      </c>
      <c r="L926" s="1">
        <v>45603</v>
      </c>
      <c r="M926" t="s">
        <v>3600</v>
      </c>
      <c r="N926">
        <v>95</v>
      </c>
      <c r="O926">
        <v>26</v>
      </c>
      <c r="P926" t="s">
        <v>42</v>
      </c>
    </row>
    <row r="927" spans="1:16" x14ac:dyDescent="0.4">
      <c r="A927" t="s">
        <v>3601</v>
      </c>
      <c r="B927" t="s">
        <v>304</v>
      </c>
      <c r="C927" t="s">
        <v>54</v>
      </c>
      <c r="D927" t="s">
        <v>3602</v>
      </c>
      <c r="E927" t="s">
        <v>1159</v>
      </c>
      <c r="F927">
        <v>73</v>
      </c>
      <c r="G927">
        <v>69</v>
      </c>
      <c r="H927">
        <v>1</v>
      </c>
      <c r="I927" t="s">
        <v>220</v>
      </c>
      <c r="J927" s="1">
        <v>45423</v>
      </c>
      <c r="K927" t="s">
        <v>1720</v>
      </c>
      <c r="L927" t="s">
        <v>712</v>
      </c>
      <c r="M927" t="s">
        <v>3603</v>
      </c>
      <c r="N927">
        <v>50</v>
      </c>
      <c r="O927">
        <v>67</v>
      </c>
      <c r="P927" t="s">
        <v>51</v>
      </c>
    </row>
    <row r="928" spans="1:16" x14ac:dyDescent="0.4">
      <c r="A928" t="s">
        <v>3604</v>
      </c>
      <c r="B928" t="s">
        <v>1249</v>
      </c>
      <c r="C928" t="s">
        <v>54</v>
      </c>
      <c r="D928" t="s">
        <v>3605</v>
      </c>
      <c r="E928" t="s">
        <v>163</v>
      </c>
      <c r="F928">
        <v>60</v>
      </c>
      <c r="G928">
        <v>15</v>
      </c>
      <c r="H928">
        <v>89</v>
      </c>
      <c r="I928" t="s">
        <v>57</v>
      </c>
      <c r="J928" s="1">
        <v>45479</v>
      </c>
      <c r="K928" t="s">
        <v>1116</v>
      </c>
      <c r="L928" s="1">
        <v>45600</v>
      </c>
      <c r="M928" t="s">
        <v>3606</v>
      </c>
      <c r="N928">
        <v>21</v>
      </c>
      <c r="O928">
        <v>29</v>
      </c>
      <c r="P928" t="s">
        <v>26</v>
      </c>
    </row>
    <row r="929" spans="1:16" x14ac:dyDescent="0.4">
      <c r="A929" t="s">
        <v>3607</v>
      </c>
      <c r="B929" t="s">
        <v>722</v>
      </c>
      <c r="C929" t="s">
        <v>54</v>
      </c>
      <c r="D929" t="s">
        <v>3608</v>
      </c>
      <c r="E929" t="s">
        <v>406</v>
      </c>
      <c r="F929">
        <v>88</v>
      </c>
      <c r="G929">
        <v>24</v>
      </c>
      <c r="H929">
        <v>44</v>
      </c>
      <c r="I929" t="s">
        <v>39</v>
      </c>
      <c r="J929" s="1">
        <v>45423</v>
      </c>
      <c r="K929" s="1">
        <v>45515</v>
      </c>
      <c r="L929" t="s">
        <v>99</v>
      </c>
      <c r="M929" t="s">
        <v>3609</v>
      </c>
      <c r="N929">
        <v>72</v>
      </c>
      <c r="O929">
        <v>88</v>
      </c>
      <c r="P929" t="s">
        <v>42</v>
      </c>
    </row>
    <row r="930" spans="1:16" x14ac:dyDescent="0.4">
      <c r="A930" t="s">
        <v>3610</v>
      </c>
      <c r="B930" t="s">
        <v>779</v>
      </c>
      <c r="C930" t="s">
        <v>54</v>
      </c>
      <c r="D930" t="s">
        <v>3611</v>
      </c>
      <c r="E930" t="s">
        <v>406</v>
      </c>
      <c r="F930">
        <v>95</v>
      </c>
      <c r="G930">
        <v>6</v>
      </c>
      <c r="H930">
        <v>59</v>
      </c>
      <c r="I930" t="s">
        <v>71</v>
      </c>
      <c r="J930" t="s">
        <v>509</v>
      </c>
      <c r="K930" t="s">
        <v>700</v>
      </c>
      <c r="L930" t="s">
        <v>842</v>
      </c>
      <c r="M930" t="s">
        <v>3612</v>
      </c>
      <c r="N930">
        <v>49</v>
      </c>
      <c r="O930">
        <v>77</v>
      </c>
      <c r="P930" t="s">
        <v>51</v>
      </c>
    </row>
    <row r="931" spans="1:16" x14ac:dyDescent="0.4">
      <c r="A931" t="s">
        <v>3613</v>
      </c>
      <c r="B931" t="s">
        <v>885</v>
      </c>
      <c r="C931" t="s">
        <v>18</v>
      </c>
      <c r="D931" t="s">
        <v>3614</v>
      </c>
      <c r="E931" t="s">
        <v>759</v>
      </c>
      <c r="F931">
        <v>47</v>
      </c>
      <c r="G931">
        <v>30</v>
      </c>
      <c r="H931">
        <v>16</v>
      </c>
      <c r="I931" t="s">
        <v>71</v>
      </c>
      <c r="J931" s="1">
        <v>45568</v>
      </c>
      <c r="K931" s="1">
        <v>45603</v>
      </c>
      <c r="L931" t="s">
        <v>811</v>
      </c>
      <c r="M931" t="s">
        <v>3615</v>
      </c>
      <c r="N931">
        <v>22</v>
      </c>
      <c r="O931">
        <v>81</v>
      </c>
      <c r="P931" t="s">
        <v>51</v>
      </c>
    </row>
    <row r="932" spans="1:16" x14ac:dyDescent="0.4">
      <c r="A932" t="s">
        <v>3616</v>
      </c>
      <c r="B932" t="s">
        <v>470</v>
      </c>
      <c r="C932" t="s">
        <v>77</v>
      </c>
      <c r="D932" t="s">
        <v>3617</v>
      </c>
      <c r="E932" t="s">
        <v>796</v>
      </c>
      <c r="F932">
        <v>24</v>
      </c>
      <c r="G932">
        <v>1</v>
      </c>
      <c r="H932">
        <v>65</v>
      </c>
      <c r="I932" t="s">
        <v>134</v>
      </c>
      <c r="J932" t="s">
        <v>92</v>
      </c>
      <c r="K932" s="1">
        <v>45633</v>
      </c>
      <c r="L932" t="s">
        <v>462</v>
      </c>
      <c r="M932" t="s">
        <v>3618</v>
      </c>
      <c r="N932">
        <v>58</v>
      </c>
      <c r="O932">
        <v>61</v>
      </c>
      <c r="P932" t="s">
        <v>51</v>
      </c>
    </row>
    <row r="933" spans="1:16" x14ac:dyDescent="0.4">
      <c r="A933" t="s">
        <v>3619</v>
      </c>
      <c r="B933" t="s">
        <v>1017</v>
      </c>
      <c r="C933" t="s">
        <v>169</v>
      </c>
      <c r="D933" t="s">
        <v>3620</v>
      </c>
      <c r="E933" t="s">
        <v>1169</v>
      </c>
      <c r="F933">
        <v>93</v>
      </c>
      <c r="G933">
        <v>51</v>
      </c>
      <c r="H933">
        <v>70</v>
      </c>
      <c r="I933" t="s">
        <v>591</v>
      </c>
      <c r="J933" t="s">
        <v>1884</v>
      </c>
      <c r="K933" s="1">
        <v>45632</v>
      </c>
      <c r="L933" s="1">
        <v>45391</v>
      </c>
      <c r="M933" t="s">
        <v>3621</v>
      </c>
      <c r="N933">
        <v>81</v>
      </c>
      <c r="O933">
        <v>18</v>
      </c>
      <c r="P933" t="s">
        <v>51</v>
      </c>
    </row>
    <row r="934" spans="1:16" x14ac:dyDescent="0.4">
      <c r="A934" t="s">
        <v>3622</v>
      </c>
      <c r="B934" t="s">
        <v>1086</v>
      </c>
      <c r="C934" t="s">
        <v>68</v>
      </c>
      <c r="D934" t="s">
        <v>3623</v>
      </c>
      <c r="E934" t="s">
        <v>3491</v>
      </c>
      <c r="F934">
        <v>80</v>
      </c>
      <c r="G934">
        <v>24</v>
      </c>
      <c r="H934">
        <v>60</v>
      </c>
      <c r="I934" t="s">
        <v>71</v>
      </c>
      <c r="J934" t="s">
        <v>299</v>
      </c>
      <c r="K934" t="s">
        <v>408</v>
      </c>
      <c r="L934" t="s">
        <v>828</v>
      </c>
      <c r="M934" t="s">
        <v>3624</v>
      </c>
      <c r="N934">
        <v>98</v>
      </c>
      <c r="O934">
        <v>38</v>
      </c>
      <c r="P934" t="s">
        <v>51</v>
      </c>
    </row>
    <row r="935" spans="1:16" x14ac:dyDescent="0.4">
      <c r="A935" t="s">
        <v>3625</v>
      </c>
      <c r="B935" t="s">
        <v>1503</v>
      </c>
      <c r="C935" t="s">
        <v>54</v>
      </c>
      <c r="D935" t="s">
        <v>3626</v>
      </c>
      <c r="E935" t="s">
        <v>850</v>
      </c>
      <c r="F935">
        <v>77</v>
      </c>
      <c r="G935">
        <v>58</v>
      </c>
      <c r="H935">
        <v>13</v>
      </c>
      <c r="I935" t="s">
        <v>242</v>
      </c>
      <c r="J935" t="s">
        <v>165</v>
      </c>
      <c r="K935" t="s">
        <v>811</v>
      </c>
      <c r="L935" t="s">
        <v>1141</v>
      </c>
      <c r="M935" t="s">
        <v>3627</v>
      </c>
      <c r="N935">
        <v>63</v>
      </c>
      <c r="O935">
        <v>28</v>
      </c>
      <c r="P935" t="s">
        <v>26</v>
      </c>
    </row>
    <row r="936" spans="1:16" x14ac:dyDescent="0.4">
      <c r="A936" t="s">
        <v>3628</v>
      </c>
      <c r="B936" t="s">
        <v>176</v>
      </c>
      <c r="C936" t="s">
        <v>54</v>
      </c>
      <c r="D936" t="s">
        <v>3629</v>
      </c>
      <c r="E936" t="s">
        <v>825</v>
      </c>
      <c r="F936">
        <v>42</v>
      </c>
      <c r="G936">
        <v>48</v>
      </c>
      <c r="H936">
        <v>18</v>
      </c>
      <c r="I936" t="s">
        <v>106</v>
      </c>
      <c r="J936" s="1">
        <v>45901</v>
      </c>
      <c r="K936" t="s">
        <v>637</v>
      </c>
      <c r="L936" t="s">
        <v>956</v>
      </c>
      <c r="M936" t="s">
        <v>3630</v>
      </c>
      <c r="N936">
        <v>39</v>
      </c>
      <c r="O936">
        <v>57</v>
      </c>
      <c r="P936" t="s">
        <v>51</v>
      </c>
    </row>
    <row r="937" spans="1:16" x14ac:dyDescent="0.4">
      <c r="A937" t="s">
        <v>3631</v>
      </c>
      <c r="B937" t="s">
        <v>932</v>
      </c>
      <c r="C937" t="s">
        <v>77</v>
      </c>
      <c r="D937" t="s">
        <v>3632</v>
      </c>
      <c r="E937" t="s">
        <v>547</v>
      </c>
      <c r="F937">
        <v>92</v>
      </c>
      <c r="G937">
        <v>1</v>
      </c>
      <c r="H937">
        <v>23</v>
      </c>
      <c r="I937" t="s">
        <v>71</v>
      </c>
      <c r="J937" t="s">
        <v>422</v>
      </c>
      <c r="K937" s="1">
        <v>45332</v>
      </c>
      <c r="L937" t="s">
        <v>1053</v>
      </c>
      <c r="M937" t="s">
        <v>3633</v>
      </c>
      <c r="N937">
        <v>78</v>
      </c>
      <c r="O937">
        <v>36</v>
      </c>
      <c r="P937" t="s">
        <v>26</v>
      </c>
    </row>
    <row r="938" spans="1:16" x14ac:dyDescent="0.4">
      <c r="A938" t="s">
        <v>3634</v>
      </c>
      <c r="B938" t="s">
        <v>210</v>
      </c>
      <c r="C938" t="s">
        <v>54</v>
      </c>
      <c r="D938" t="s">
        <v>3635</v>
      </c>
      <c r="E938" t="s">
        <v>1380</v>
      </c>
      <c r="F938">
        <v>81</v>
      </c>
      <c r="G938">
        <v>23</v>
      </c>
      <c r="H938">
        <v>17</v>
      </c>
      <c r="I938" t="s">
        <v>2693</v>
      </c>
      <c r="J938" t="s">
        <v>64</v>
      </c>
      <c r="K938" s="1">
        <v>45509</v>
      </c>
      <c r="L938" t="s">
        <v>221</v>
      </c>
      <c r="M938" t="s">
        <v>3636</v>
      </c>
      <c r="N938">
        <v>92</v>
      </c>
      <c r="O938">
        <v>78</v>
      </c>
      <c r="P938" t="s">
        <v>51</v>
      </c>
    </row>
    <row r="939" spans="1:16" x14ac:dyDescent="0.4">
      <c r="A939" t="s">
        <v>3637</v>
      </c>
      <c r="B939" t="s">
        <v>621</v>
      </c>
      <c r="C939" t="s">
        <v>18</v>
      </c>
      <c r="D939" t="s">
        <v>3638</v>
      </c>
      <c r="E939" t="s">
        <v>3639</v>
      </c>
      <c r="F939">
        <v>46</v>
      </c>
      <c r="G939">
        <v>39</v>
      </c>
      <c r="H939">
        <v>11</v>
      </c>
      <c r="I939" t="s">
        <v>624</v>
      </c>
      <c r="J939" s="1">
        <v>45575</v>
      </c>
      <c r="K939" t="s">
        <v>22</v>
      </c>
      <c r="L939" s="1">
        <v>45576</v>
      </c>
      <c r="M939" t="s">
        <v>3640</v>
      </c>
      <c r="N939">
        <v>36</v>
      </c>
      <c r="O939">
        <v>54</v>
      </c>
      <c r="P939" t="s">
        <v>51</v>
      </c>
    </row>
    <row r="940" spans="1:16" x14ac:dyDescent="0.4">
      <c r="A940" t="s">
        <v>3641</v>
      </c>
      <c r="B940" t="s">
        <v>1406</v>
      </c>
      <c r="C940" t="s">
        <v>18</v>
      </c>
      <c r="D940" t="s">
        <v>3642</v>
      </c>
      <c r="E940" t="s">
        <v>284</v>
      </c>
      <c r="F940">
        <v>44</v>
      </c>
      <c r="G940">
        <v>67</v>
      </c>
      <c r="H940">
        <v>31</v>
      </c>
      <c r="I940" t="s">
        <v>71</v>
      </c>
      <c r="J940" t="s">
        <v>730</v>
      </c>
      <c r="K940" t="s">
        <v>72</v>
      </c>
      <c r="L940" s="1">
        <v>45418</v>
      </c>
      <c r="M940" t="s">
        <v>3643</v>
      </c>
      <c r="N940">
        <v>44</v>
      </c>
      <c r="O940">
        <v>72</v>
      </c>
      <c r="P940" t="s">
        <v>26</v>
      </c>
    </row>
    <row r="941" spans="1:16" x14ac:dyDescent="0.4">
      <c r="A941" t="s">
        <v>3644</v>
      </c>
      <c r="B941" t="s">
        <v>332</v>
      </c>
      <c r="C941" t="s">
        <v>112</v>
      </c>
      <c r="D941" t="s">
        <v>3645</v>
      </c>
      <c r="E941" t="s">
        <v>1124</v>
      </c>
      <c r="F941">
        <v>38</v>
      </c>
      <c r="G941">
        <v>37</v>
      </c>
      <c r="H941">
        <v>27</v>
      </c>
      <c r="I941" t="s">
        <v>242</v>
      </c>
      <c r="J941" t="s">
        <v>128</v>
      </c>
      <c r="K941" s="1">
        <v>45422</v>
      </c>
      <c r="L941" t="s">
        <v>730</v>
      </c>
      <c r="M941" t="s">
        <v>3646</v>
      </c>
      <c r="N941">
        <v>45</v>
      </c>
      <c r="O941">
        <v>88</v>
      </c>
      <c r="P941" t="s">
        <v>42</v>
      </c>
    </row>
    <row r="942" spans="1:16" x14ac:dyDescent="0.4">
      <c r="A942" t="s">
        <v>3647</v>
      </c>
      <c r="B942" t="s">
        <v>1455</v>
      </c>
      <c r="C942" t="s">
        <v>77</v>
      </c>
      <c r="D942" t="s">
        <v>3648</v>
      </c>
      <c r="E942" t="s">
        <v>1399</v>
      </c>
      <c r="F942">
        <v>64</v>
      </c>
      <c r="G942">
        <v>28</v>
      </c>
      <c r="H942">
        <v>35</v>
      </c>
      <c r="I942" t="s">
        <v>106</v>
      </c>
      <c r="J942" s="1">
        <v>45423</v>
      </c>
      <c r="K942" s="1">
        <v>45484</v>
      </c>
      <c r="L942" t="s">
        <v>135</v>
      </c>
      <c r="M942" t="s">
        <v>3649</v>
      </c>
      <c r="N942">
        <v>74</v>
      </c>
      <c r="O942">
        <v>50</v>
      </c>
      <c r="P942" t="s">
        <v>51</v>
      </c>
    </row>
    <row r="943" spans="1:16" x14ac:dyDescent="0.4">
      <c r="A943" t="s">
        <v>3650</v>
      </c>
      <c r="B943" t="s">
        <v>44</v>
      </c>
      <c r="C943" t="s">
        <v>18</v>
      </c>
      <c r="D943" t="s">
        <v>3651</v>
      </c>
      <c r="E943" t="s">
        <v>1724</v>
      </c>
      <c r="F943">
        <v>39</v>
      </c>
      <c r="G943">
        <v>2</v>
      </c>
      <c r="H943">
        <v>71</v>
      </c>
      <c r="I943" t="s">
        <v>2174</v>
      </c>
      <c r="J943" t="s">
        <v>644</v>
      </c>
      <c r="K943" t="s">
        <v>72</v>
      </c>
      <c r="L943" t="s">
        <v>335</v>
      </c>
      <c r="M943" t="s">
        <v>3652</v>
      </c>
      <c r="N943">
        <v>20</v>
      </c>
      <c r="O943">
        <v>70</v>
      </c>
      <c r="P943" t="s">
        <v>42</v>
      </c>
    </row>
    <row r="944" spans="1:16" x14ac:dyDescent="0.4">
      <c r="A944" t="s">
        <v>3653</v>
      </c>
      <c r="B944" t="s">
        <v>386</v>
      </c>
      <c r="C944" t="s">
        <v>112</v>
      </c>
      <c r="D944" t="s">
        <v>3654</v>
      </c>
      <c r="E944" t="s">
        <v>3169</v>
      </c>
      <c r="F944">
        <v>42</v>
      </c>
      <c r="G944">
        <v>88</v>
      </c>
      <c r="H944">
        <v>95</v>
      </c>
      <c r="I944" t="s">
        <v>71</v>
      </c>
      <c r="J944" t="s">
        <v>236</v>
      </c>
      <c r="K944" t="s">
        <v>366</v>
      </c>
      <c r="L944" t="s">
        <v>1234</v>
      </c>
      <c r="M944" t="s">
        <v>3655</v>
      </c>
      <c r="N944">
        <v>67</v>
      </c>
      <c r="O944">
        <v>94</v>
      </c>
      <c r="P944" t="s">
        <v>42</v>
      </c>
    </row>
    <row r="945" spans="1:16" x14ac:dyDescent="0.4">
      <c r="A945" t="s">
        <v>3656</v>
      </c>
      <c r="B945" t="s">
        <v>103</v>
      </c>
      <c r="C945" t="s">
        <v>18</v>
      </c>
      <c r="D945" t="s">
        <v>3657</v>
      </c>
      <c r="E945" t="s">
        <v>964</v>
      </c>
      <c r="F945">
        <v>29</v>
      </c>
      <c r="G945">
        <v>54</v>
      </c>
      <c r="H945">
        <v>54</v>
      </c>
      <c r="I945" t="s">
        <v>106</v>
      </c>
      <c r="J945" t="s">
        <v>526</v>
      </c>
      <c r="K945" t="s">
        <v>214</v>
      </c>
      <c r="L945" t="s">
        <v>315</v>
      </c>
      <c r="M945" t="s">
        <v>3658</v>
      </c>
      <c r="N945">
        <v>58</v>
      </c>
      <c r="O945">
        <v>63</v>
      </c>
      <c r="P945" t="s">
        <v>42</v>
      </c>
    </row>
    <row r="946" spans="1:16" x14ac:dyDescent="0.4">
      <c r="A946" t="s">
        <v>3659</v>
      </c>
      <c r="B946" t="s">
        <v>233</v>
      </c>
      <c r="C946" t="s">
        <v>54</v>
      </c>
      <c r="D946" t="s">
        <v>3660</v>
      </c>
      <c r="E946" t="s">
        <v>806</v>
      </c>
      <c r="F946">
        <v>60</v>
      </c>
      <c r="G946">
        <v>63</v>
      </c>
      <c r="H946">
        <v>81</v>
      </c>
      <c r="I946" t="s">
        <v>466</v>
      </c>
      <c r="J946" t="s">
        <v>321</v>
      </c>
      <c r="K946" s="1">
        <v>45361</v>
      </c>
      <c r="L946" s="1">
        <v>45296</v>
      </c>
      <c r="M946" t="s">
        <v>3661</v>
      </c>
      <c r="N946">
        <v>74</v>
      </c>
      <c r="O946">
        <v>31</v>
      </c>
      <c r="P946" t="s">
        <v>51</v>
      </c>
    </row>
    <row r="947" spans="1:16" x14ac:dyDescent="0.4">
      <c r="A947" t="s">
        <v>3662</v>
      </c>
      <c r="B947" t="s">
        <v>189</v>
      </c>
      <c r="C947" t="s">
        <v>77</v>
      </c>
      <c r="D947" t="s">
        <v>3663</v>
      </c>
      <c r="E947" t="s">
        <v>1136</v>
      </c>
      <c r="F947">
        <v>65</v>
      </c>
      <c r="G947">
        <v>54</v>
      </c>
      <c r="H947">
        <v>29</v>
      </c>
      <c r="I947" t="s">
        <v>172</v>
      </c>
      <c r="J947" t="s">
        <v>1165</v>
      </c>
      <c r="K947" t="s">
        <v>1188</v>
      </c>
      <c r="L947" s="1">
        <v>45630</v>
      </c>
      <c r="M947" t="s">
        <v>3664</v>
      </c>
      <c r="N947">
        <v>69</v>
      </c>
      <c r="O947">
        <v>79</v>
      </c>
      <c r="P947" t="s">
        <v>42</v>
      </c>
    </row>
    <row r="948" spans="1:16" x14ac:dyDescent="0.4">
      <c r="A948" t="s">
        <v>3665</v>
      </c>
      <c r="B948" t="s">
        <v>498</v>
      </c>
      <c r="C948" t="s">
        <v>54</v>
      </c>
      <c r="D948" t="s">
        <v>3666</v>
      </c>
      <c r="E948" t="s">
        <v>3667</v>
      </c>
      <c r="F948">
        <v>89</v>
      </c>
      <c r="G948">
        <v>96</v>
      </c>
      <c r="H948">
        <v>94</v>
      </c>
      <c r="I948" t="s">
        <v>21</v>
      </c>
      <c r="J948" s="1">
        <v>45571</v>
      </c>
      <c r="K948" s="1">
        <v>45809</v>
      </c>
      <c r="L948" t="s">
        <v>24</v>
      </c>
      <c r="M948" t="s">
        <v>3668</v>
      </c>
      <c r="N948">
        <v>38</v>
      </c>
      <c r="O948">
        <v>96</v>
      </c>
      <c r="P948" t="s">
        <v>26</v>
      </c>
    </row>
    <row r="949" spans="1:16" x14ac:dyDescent="0.4">
      <c r="A949" t="s">
        <v>3669</v>
      </c>
      <c r="B949" t="s">
        <v>67</v>
      </c>
      <c r="C949" t="s">
        <v>68</v>
      </c>
      <c r="D949" t="s">
        <v>3670</v>
      </c>
      <c r="E949" t="s">
        <v>832</v>
      </c>
      <c r="F949">
        <v>50</v>
      </c>
      <c r="G949">
        <v>40</v>
      </c>
      <c r="H949">
        <v>69</v>
      </c>
      <c r="I949" t="s">
        <v>71</v>
      </c>
      <c r="J949" t="s">
        <v>127</v>
      </c>
      <c r="K949" t="s">
        <v>1125</v>
      </c>
      <c r="L949" t="s">
        <v>893</v>
      </c>
      <c r="M949" t="s">
        <v>3671</v>
      </c>
      <c r="N949">
        <v>28</v>
      </c>
      <c r="O949">
        <v>98</v>
      </c>
      <c r="P949" t="s">
        <v>51</v>
      </c>
    </row>
    <row r="950" spans="1:16" x14ac:dyDescent="0.4">
      <c r="A950" t="s">
        <v>3672</v>
      </c>
      <c r="B950" t="s">
        <v>498</v>
      </c>
      <c r="C950" t="s">
        <v>54</v>
      </c>
      <c r="D950" t="s">
        <v>3673</v>
      </c>
      <c r="E950" t="s">
        <v>634</v>
      </c>
      <c r="F950">
        <v>94</v>
      </c>
      <c r="G950">
        <v>18</v>
      </c>
      <c r="H950">
        <v>84</v>
      </c>
      <c r="I950" t="s">
        <v>21</v>
      </c>
      <c r="J950" s="1">
        <v>45748</v>
      </c>
      <c r="K950" t="s">
        <v>1205</v>
      </c>
      <c r="L950" t="s">
        <v>712</v>
      </c>
      <c r="M950" t="s">
        <v>3674</v>
      </c>
      <c r="N950">
        <v>44</v>
      </c>
      <c r="O950">
        <v>49</v>
      </c>
      <c r="P950" t="s">
        <v>26</v>
      </c>
    </row>
    <row r="951" spans="1:16" x14ac:dyDescent="0.4">
      <c r="A951" t="s">
        <v>3675</v>
      </c>
      <c r="B951" t="s">
        <v>784</v>
      </c>
      <c r="C951" t="s">
        <v>68</v>
      </c>
      <c r="D951" t="s">
        <v>3676</v>
      </c>
      <c r="E951" t="s">
        <v>2661</v>
      </c>
      <c r="F951">
        <v>97</v>
      </c>
      <c r="G951">
        <v>32</v>
      </c>
      <c r="H951">
        <v>43</v>
      </c>
      <c r="I951" t="s">
        <v>314</v>
      </c>
      <c r="J951" s="1">
        <v>45453</v>
      </c>
      <c r="K951" s="1">
        <v>45356</v>
      </c>
      <c r="L951" t="s">
        <v>200</v>
      </c>
      <c r="M951" t="s">
        <v>3677</v>
      </c>
      <c r="N951">
        <v>82</v>
      </c>
      <c r="O951">
        <v>98</v>
      </c>
      <c r="P951" t="s">
        <v>51</v>
      </c>
    </row>
    <row r="952" spans="1:16" x14ac:dyDescent="0.4">
      <c r="A952" t="s">
        <v>3678</v>
      </c>
      <c r="B952" t="s">
        <v>1228</v>
      </c>
      <c r="C952" t="s">
        <v>112</v>
      </c>
      <c r="D952" t="s">
        <v>3679</v>
      </c>
      <c r="E952" t="s">
        <v>2501</v>
      </c>
      <c r="F952">
        <v>72</v>
      </c>
      <c r="G952">
        <v>78</v>
      </c>
      <c r="H952">
        <v>1</v>
      </c>
      <c r="I952" t="s">
        <v>57</v>
      </c>
      <c r="J952" s="1">
        <v>45576</v>
      </c>
      <c r="K952" t="s">
        <v>236</v>
      </c>
      <c r="L952" s="1">
        <v>45717</v>
      </c>
      <c r="M952" t="s">
        <v>3680</v>
      </c>
      <c r="N952">
        <v>85</v>
      </c>
      <c r="O952">
        <v>30</v>
      </c>
      <c r="P952" t="s">
        <v>26</v>
      </c>
    </row>
    <row r="953" spans="1:16" x14ac:dyDescent="0.4">
      <c r="A953" t="s">
        <v>3681</v>
      </c>
      <c r="B953" t="s">
        <v>545</v>
      </c>
      <c r="C953" t="s">
        <v>77</v>
      </c>
      <c r="D953" t="s">
        <v>3682</v>
      </c>
      <c r="E953" t="s">
        <v>3683</v>
      </c>
      <c r="F953">
        <v>62</v>
      </c>
      <c r="G953">
        <v>91</v>
      </c>
      <c r="H953">
        <v>14</v>
      </c>
      <c r="I953" t="s">
        <v>71</v>
      </c>
      <c r="J953" t="s">
        <v>121</v>
      </c>
      <c r="K953" t="s">
        <v>157</v>
      </c>
      <c r="L953" s="1">
        <v>45516</v>
      </c>
      <c r="M953" t="s">
        <v>3684</v>
      </c>
      <c r="N953">
        <v>41</v>
      </c>
      <c r="O953">
        <v>77</v>
      </c>
      <c r="P953" t="s">
        <v>26</v>
      </c>
    </row>
    <row r="954" spans="1:16" x14ac:dyDescent="0.4">
      <c r="A954" t="s">
        <v>3685</v>
      </c>
      <c r="B954" t="s">
        <v>1503</v>
      </c>
      <c r="C954" t="s">
        <v>54</v>
      </c>
      <c r="D954" t="s">
        <v>3686</v>
      </c>
      <c r="E954" t="s">
        <v>1581</v>
      </c>
      <c r="F954">
        <v>44</v>
      </c>
      <c r="G954">
        <v>92</v>
      </c>
      <c r="H954">
        <v>92</v>
      </c>
      <c r="I954" t="s">
        <v>242</v>
      </c>
      <c r="J954" s="1">
        <v>45507</v>
      </c>
      <c r="K954" s="1">
        <v>45962</v>
      </c>
      <c r="L954" t="s">
        <v>935</v>
      </c>
      <c r="M954" t="s">
        <v>3687</v>
      </c>
      <c r="N954">
        <v>41</v>
      </c>
      <c r="O954">
        <v>61</v>
      </c>
      <c r="P954" t="s">
        <v>51</v>
      </c>
    </row>
    <row r="955" spans="1:16" x14ac:dyDescent="0.4">
      <c r="A955" t="s">
        <v>3688</v>
      </c>
      <c r="B955" t="s">
        <v>582</v>
      </c>
      <c r="C955" t="s">
        <v>68</v>
      </c>
      <c r="D955" t="s">
        <v>3689</v>
      </c>
      <c r="E955" t="s">
        <v>1164</v>
      </c>
      <c r="F955">
        <v>21</v>
      </c>
      <c r="G955">
        <v>25</v>
      </c>
      <c r="H955">
        <v>39</v>
      </c>
      <c r="I955" t="s">
        <v>57</v>
      </c>
      <c r="J955" t="s">
        <v>1387</v>
      </c>
      <c r="K955" s="1">
        <v>45574</v>
      </c>
      <c r="L955" t="s">
        <v>462</v>
      </c>
      <c r="M955" t="s">
        <v>3690</v>
      </c>
      <c r="N955">
        <v>79</v>
      </c>
      <c r="O955">
        <v>30</v>
      </c>
      <c r="P955" t="s">
        <v>51</v>
      </c>
    </row>
    <row r="956" spans="1:16" x14ac:dyDescent="0.4">
      <c r="A956" t="s">
        <v>3691</v>
      </c>
      <c r="B956" t="s">
        <v>1534</v>
      </c>
      <c r="C956" t="s">
        <v>18</v>
      </c>
      <c r="D956" t="s">
        <v>3692</v>
      </c>
      <c r="E956" t="s">
        <v>1069</v>
      </c>
      <c r="F956">
        <v>91</v>
      </c>
      <c r="G956">
        <v>39</v>
      </c>
      <c r="H956">
        <v>48</v>
      </c>
      <c r="I956" t="s">
        <v>220</v>
      </c>
      <c r="J956" t="s">
        <v>1125</v>
      </c>
      <c r="K956" t="s">
        <v>192</v>
      </c>
      <c r="L956" t="s">
        <v>141</v>
      </c>
      <c r="M956" t="s">
        <v>3693</v>
      </c>
      <c r="N956">
        <v>48</v>
      </c>
      <c r="O956">
        <v>18</v>
      </c>
      <c r="P956" t="s">
        <v>51</v>
      </c>
    </row>
    <row r="957" spans="1:16" x14ac:dyDescent="0.4">
      <c r="A957" t="s">
        <v>3694</v>
      </c>
      <c r="B957" t="s">
        <v>814</v>
      </c>
      <c r="C957" t="s">
        <v>169</v>
      </c>
      <c r="D957" t="s">
        <v>3695</v>
      </c>
      <c r="E957" t="s">
        <v>1736</v>
      </c>
      <c r="F957">
        <v>87</v>
      </c>
      <c r="G957">
        <v>24</v>
      </c>
      <c r="H957">
        <v>66</v>
      </c>
      <c r="I957" t="s">
        <v>817</v>
      </c>
      <c r="J957" t="s">
        <v>618</v>
      </c>
      <c r="K957" t="s">
        <v>485</v>
      </c>
      <c r="L957" s="1">
        <v>45387</v>
      </c>
      <c r="M957" t="s">
        <v>3696</v>
      </c>
      <c r="N957">
        <v>22</v>
      </c>
      <c r="O957">
        <v>34</v>
      </c>
      <c r="P957" t="s">
        <v>51</v>
      </c>
    </row>
    <row r="958" spans="1:16" x14ac:dyDescent="0.4">
      <c r="A958" t="s">
        <v>3697</v>
      </c>
      <c r="B958" t="s">
        <v>161</v>
      </c>
      <c r="C958" t="s">
        <v>54</v>
      </c>
      <c r="D958" t="s">
        <v>3698</v>
      </c>
      <c r="E958" t="s">
        <v>2080</v>
      </c>
      <c r="F958">
        <v>61</v>
      </c>
      <c r="G958">
        <v>17</v>
      </c>
      <c r="H958">
        <v>69</v>
      </c>
      <c r="I958" t="s">
        <v>3699</v>
      </c>
      <c r="J958" t="s">
        <v>388</v>
      </c>
      <c r="K958" s="1">
        <v>45478</v>
      </c>
      <c r="L958" t="s">
        <v>579</v>
      </c>
      <c r="M958" t="s">
        <v>3700</v>
      </c>
      <c r="N958">
        <v>31</v>
      </c>
      <c r="O958">
        <v>29</v>
      </c>
      <c r="P958" t="s">
        <v>51</v>
      </c>
    </row>
    <row r="959" spans="1:16" x14ac:dyDescent="0.4">
      <c r="A959" t="s">
        <v>3701</v>
      </c>
      <c r="B959" t="s">
        <v>425</v>
      </c>
      <c r="C959" t="s">
        <v>54</v>
      </c>
      <c r="D959" t="s">
        <v>3702</v>
      </c>
      <c r="E959" t="s">
        <v>767</v>
      </c>
      <c r="F959">
        <v>61</v>
      </c>
      <c r="G959">
        <v>81</v>
      </c>
      <c r="H959">
        <v>99</v>
      </c>
      <c r="I959" t="s">
        <v>47</v>
      </c>
      <c r="J959" t="s">
        <v>526</v>
      </c>
      <c r="K959" t="s">
        <v>1629</v>
      </c>
      <c r="L959" t="s">
        <v>1234</v>
      </c>
      <c r="M959" t="s">
        <v>3703</v>
      </c>
      <c r="N959">
        <v>26</v>
      </c>
      <c r="O959">
        <v>76</v>
      </c>
      <c r="P959" t="s">
        <v>26</v>
      </c>
    </row>
    <row r="960" spans="1:16" x14ac:dyDescent="0.4">
      <c r="A960" t="s">
        <v>3704</v>
      </c>
      <c r="B960" t="s">
        <v>1814</v>
      </c>
      <c r="C960" t="s">
        <v>54</v>
      </c>
      <c r="D960" t="s">
        <v>3705</v>
      </c>
      <c r="E960" t="s">
        <v>2475</v>
      </c>
      <c r="F960">
        <v>49</v>
      </c>
      <c r="G960">
        <v>1</v>
      </c>
      <c r="H960">
        <v>28</v>
      </c>
      <c r="I960" t="s">
        <v>106</v>
      </c>
      <c r="J960" s="1">
        <v>45303</v>
      </c>
      <c r="K960" t="s">
        <v>701</v>
      </c>
      <c r="L960" t="s">
        <v>92</v>
      </c>
      <c r="M960" t="s">
        <v>3706</v>
      </c>
      <c r="N960">
        <v>97</v>
      </c>
      <c r="O960">
        <v>95</v>
      </c>
      <c r="P960" t="s">
        <v>51</v>
      </c>
    </row>
    <row r="961" spans="1:16" x14ac:dyDescent="0.4">
      <c r="A961" t="s">
        <v>3707</v>
      </c>
      <c r="B961" t="s">
        <v>311</v>
      </c>
      <c r="C961" t="s">
        <v>54</v>
      </c>
      <c r="D961" t="s">
        <v>3708</v>
      </c>
      <c r="E961" t="s">
        <v>2700</v>
      </c>
      <c r="F961">
        <v>87</v>
      </c>
      <c r="G961">
        <v>1</v>
      </c>
      <c r="H961">
        <v>98</v>
      </c>
      <c r="I961" t="s">
        <v>71</v>
      </c>
      <c r="J961" s="1">
        <v>45477</v>
      </c>
      <c r="K961" s="1">
        <v>45483</v>
      </c>
      <c r="L961" t="s">
        <v>1357</v>
      </c>
      <c r="M961" t="s">
        <v>3709</v>
      </c>
      <c r="N961">
        <v>61</v>
      </c>
      <c r="O961">
        <v>84</v>
      </c>
      <c r="P961" t="s">
        <v>26</v>
      </c>
    </row>
    <row r="962" spans="1:16" x14ac:dyDescent="0.4">
      <c r="A962" t="s">
        <v>3710</v>
      </c>
      <c r="B962" t="s">
        <v>332</v>
      </c>
      <c r="C962" t="s">
        <v>112</v>
      </c>
      <c r="D962" t="s">
        <v>3711</v>
      </c>
      <c r="E962" t="s">
        <v>371</v>
      </c>
      <c r="F962">
        <v>93</v>
      </c>
      <c r="G962">
        <v>55</v>
      </c>
      <c r="H962">
        <v>95</v>
      </c>
      <c r="I962" t="s">
        <v>3340</v>
      </c>
      <c r="J962" s="1">
        <v>45963</v>
      </c>
      <c r="K962" s="1">
        <v>45415</v>
      </c>
      <c r="L962" t="s">
        <v>1057</v>
      </c>
      <c r="M962" t="s">
        <v>3712</v>
      </c>
      <c r="N962">
        <v>56</v>
      </c>
      <c r="O962">
        <v>72</v>
      </c>
      <c r="P962" t="s">
        <v>42</v>
      </c>
    </row>
    <row r="963" spans="1:16" x14ac:dyDescent="0.4">
      <c r="A963" t="s">
        <v>3713</v>
      </c>
      <c r="B963" t="s">
        <v>1046</v>
      </c>
      <c r="C963" t="s">
        <v>18</v>
      </c>
      <c r="D963" t="s">
        <v>3714</v>
      </c>
      <c r="E963" t="s">
        <v>858</v>
      </c>
      <c r="F963">
        <v>55</v>
      </c>
      <c r="G963">
        <v>13</v>
      </c>
      <c r="H963">
        <v>71</v>
      </c>
      <c r="I963" t="s">
        <v>440</v>
      </c>
      <c r="J963" t="s">
        <v>307</v>
      </c>
      <c r="K963" t="s">
        <v>548</v>
      </c>
      <c r="L963" t="s">
        <v>1482</v>
      </c>
      <c r="M963" t="s">
        <v>3715</v>
      </c>
      <c r="N963">
        <v>37</v>
      </c>
      <c r="O963">
        <v>4</v>
      </c>
      <c r="P963" t="s">
        <v>42</v>
      </c>
    </row>
    <row r="964" spans="1:16" x14ac:dyDescent="0.4">
      <c r="A964" t="s">
        <v>3716</v>
      </c>
      <c r="B964" t="s">
        <v>839</v>
      </c>
      <c r="C964" t="s">
        <v>77</v>
      </c>
      <c r="D964" t="s">
        <v>3717</v>
      </c>
      <c r="E964" t="s">
        <v>2775</v>
      </c>
      <c r="F964">
        <v>29</v>
      </c>
      <c r="G964">
        <v>39</v>
      </c>
      <c r="H964">
        <v>80</v>
      </c>
      <c r="I964" t="s">
        <v>57</v>
      </c>
      <c r="J964" t="s">
        <v>33</v>
      </c>
      <c r="K964" s="1">
        <v>45362</v>
      </c>
      <c r="L964" s="1">
        <v>45447</v>
      </c>
      <c r="M964" t="s">
        <v>3718</v>
      </c>
      <c r="N964">
        <v>23</v>
      </c>
      <c r="O964">
        <v>85</v>
      </c>
      <c r="P964" t="s">
        <v>42</v>
      </c>
    </row>
    <row r="965" spans="1:16" x14ac:dyDescent="0.4">
      <c r="A965" t="s">
        <v>3719</v>
      </c>
      <c r="B965" t="s">
        <v>2592</v>
      </c>
      <c r="C965" t="s">
        <v>77</v>
      </c>
      <c r="D965" t="s">
        <v>3720</v>
      </c>
      <c r="E965" t="s">
        <v>126</v>
      </c>
      <c r="F965">
        <v>63</v>
      </c>
      <c r="G965">
        <v>62</v>
      </c>
      <c r="H965">
        <v>18</v>
      </c>
      <c r="I965" t="s">
        <v>2595</v>
      </c>
      <c r="J965" t="s">
        <v>49</v>
      </c>
      <c r="K965" s="1">
        <v>45326</v>
      </c>
      <c r="L965" s="1">
        <v>45423</v>
      </c>
      <c r="M965" t="s">
        <v>3721</v>
      </c>
      <c r="N965">
        <v>67</v>
      </c>
      <c r="O965">
        <v>17</v>
      </c>
      <c r="P965" t="s">
        <v>51</v>
      </c>
    </row>
    <row r="966" spans="1:16" x14ac:dyDescent="0.4">
      <c r="A966" t="s">
        <v>3722</v>
      </c>
      <c r="B966" t="s">
        <v>521</v>
      </c>
      <c r="C966" t="s">
        <v>54</v>
      </c>
      <c r="D966" t="s">
        <v>3723</v>
      </c>
      <c r="E966" t="s">
        <v>2341</v>
      </c>
      <c r="F966">
        <v>42</v>
      </c>
      <c r="G966">
        <v>69</v>
      </c>
      <c r="H966">
        <v>54</v>
      </c>
      <c r="I966" t="s">
        <v>523</v>
      </c>
      <c r="J966" t="s">
        <v>279</v>
      </c>
      <c r="K966" s="1">
        <v>45446</v>
      </c>
      <c r="L966" s="1">
        <v>45294</v>
      </c>
      <c r="M966" t="s">
        <v>3724</v>
      </c>
      <c r="N966">
        <v>43</v>
      </c>
      <c r="O966">
        <v>96</v>
      </c>
      <c r="P966" t="s">
        <v>51</v>
      </c>
    </row>
    <row r="967" spans="1:16" x14ac:dyDescent="0.4">
      <c r="A967" t="s">
        <v>3725</v>
      </c>
      <c r="B967" t="s">
        <v>271</v>
      </c>
      <c r="C967" t="s">
        <v>54</v>
      </c>
      <c r="D967" t="s">
        <v>3726</v>
      </c>
      <c r="E967" t="s">
        <v>3390</v>
      </c>
      <c r="F967">
        <v>74</v>
      </c>
      <c r="G967">
        <v>4</v>
      </c>
      <c r="H967">
        <v>39</v>
      </c>
      <c r="I967" t="s">
        <v>106</v>
      </c>
      <c r="J967" t="s">
        <v>268</v>
      </c>
      <c r="K967" s="1">
        <v>45416</v>
      </c>
      <c r="L967" s="1">
        <v>45481</v>
      </c>
      <c r="M967" t="s">
        <v>3727</v>
      </c>
      <c r="N967">
        <v>97</v>
      </c>
      <c r="O967">
        <v>24</v>
      </c>
      <c r="P967" t="s">
        <v>42</v>
      </c>
    </row>
    <row r="968" spans="1:16" x14ac:dyDescent="0.4">
      <c r="A968" t="s">
        <v>3728</v>
      </c>
      <c r="B968" t="s">
        <v>296</v>
      </c>
      <c r="C968" t="s">
        <v>18</v>
      </c>
      <c r="D968" t="s">
        <v>3729</v>
      </c>
      <c r="E968" t="s">
        <v>2558</v>
      </c>
      <c r="F968">
        <v>22</v>
      </c>
      <c r="G968">
        <v>77</v>
      </c>
      <c r="H968">
        <v>15</v>
      </c>
      <c r="I968" t="s">
        <v>85</v>
      </c>
      <c r="J968" s="1">
        <v>45600</v>
      </c>
      <c r="K968" t="s">
        <v>33</v>
      </c>
      <c r="L968" t="s">
        <v>525</v>
      </c>
      <c r="M968" t="s">
        <v>3730</v>
      </c>
      <c r="N968">
        <v>68</v>
      </c>
      <c r="O968">
        <v>46</v>
      </c>
      <c r="P968" t="s">
        <v>51</v>
      </c>
    </row>
    <row r="969" spans="1:16" x14ac:dyDescent="0.4">
      <c r="A969" t="s">
        <v>3731</v>
      </c>
      <c r="B969" t="s">
        <v>2592</v>
      </c>
      <c r="C969" t="s">
        <v>77</v>
      </c>
      <c r="D969" t="s">
        <v>3732</v>
      </c>
      <c r="E969" t="s">
        <v>806</v>
      </c>
      <c r="F969">
        <v>83</v>
      </c>
      <c r="G969">
        <v>35</v>
      </c>
      <c r="H969">
        <v>43</v>
      </c>
      <c r="I969" t="s">
        <v>2595</v>
      </c>
      <c r="J969" t="s">
        <v>882</v>
      </c>
      <c r="K969" t="s">
        <v>893</v>
      </c>
      <c r="L969" s="1">
        <v>45452</v>
      </c>
      <c r="M969" t="s">
        <v>3733</v>
      </c>
      <c r="N969">
        <v>94</v>
      </c>
      <c r="O969">
        <v>68</v>
      </c>
      <c r="P969" t="s">
        <v>26</v>
      </c>
    </row>
    <row r="970" spans="1:16" x14ac:dyDescent="0.4">
      <c r="A970" t="s">
        <v>3734</v>
      </c>
      <c r="B970" t="s">
        <v>1750</v>
      </c>
      <c r="C970" t="s">
        <v>18</v>
      </c>
      <c r="D970" t="s">
        <v>3735</v>
      </c>
      <c r="E970" t="s">
        <v>327</v>
      </c>
      <c r="F970">
        <v>32</v>
      </c>
      <c r="G970">
        <v>91</v>
      </c>
      <c r="H970">
        <v>80</v>
      </c>
      <c r="I970" t="s">
        <v>591</v>
      </c>
      <c r="J970" t="s">
        <v>359</v>
      </c>
      <c r="K970" t="s">
        <v>629</v>
      </c>
      <c r="L970" t="s">
        <v>467</v>
      </c>
      <c r="M970" t="s">
        <v>3736</v>
      </c>
      <c r="N970">
        <v>69</v>
      </c>
      <c r="O970">
        <v>80</v>
      </c>
      <c r="P970" t="s">
        <v>26</v>
      </c>
    </row>
    <row r="971" spans="1:16" x14ac:dyDescent="0.4">
      <c r="A971" t="s">
        <v>3737</v>
      </c>
      <c r="B971" t="s">
        <v>1503</v>
      </c>
      <c r="C971" t="s">
        <v>54</v>
      </c>
      <c r="D971" t="s">
        <v>3738</v>
      </c>
      <c r="E971" t="s">
        <v>2966</v>
      </c>
      <c r="F971">
        <v>84</v>
      </c>
      <c r="G971">
        <v>46</v>
      </c>
      <c r="H971">
        <v>80</v>
      </c>
      <c r="I971" t="s">
        <v>242</v>
      </c>
      <c r="J971" t="s">
        <v>566</v>
      </c>
      <c r="K971" s="1">
        <v>45332</v>
      </c>
      <c r="L971" t="s">
        <v>898</v>
      </c>
      <c r="M971" t="s">
        <v>3739</v>
      </c>
      <c r="N971">
        <v>66</v>
      </c>
      <c r="O971">
        <v>84</v>
      </c>
      <c r="P971" t="s">
        <v>26</v>
      </c>
    </row>
    <row r="972" spans="1:16" x14ac:dyDescent="0.4">
      <c r="A972" t="s">
        <v>3740</v>
      </c>
      <c r="B972" t="s">
        <v>53</v>
      </c>
      <c r="C972" t="s">
        <v>54</v>
      </c>
      <c r="D972" t="s">
        <v>3741</v>
      </c>
      <c r="E972" t="s">
        <v>1736</v>
      </c>
      <c r="F972">
        <v>22</v>
      </c>
      <c r="G972">
        <v>56</v>
      </c>
      <c r="H972">
        <v>72</v>
      </c>
      <c r="I972" t="s">
        <v>57</v>
      </c>
      <c r="J972" s="1">
        <v>45539</v>
      </c>
      <c r="K972" s="1">
        <v>45510</v>
      </c>
      <c r="L972" s="1">
        <v>45363</v>
      </c>
      <c r="M972" t="s">
        <v>3742</v>
      </c>
      <c r="N972">
        <v>70</v>
      </c>
      <c r="O972">
        <v>39</v>
      </c>
      <c r="P972" t="s">
        <v>26</v>
      </c>
    </row>
    <row r="973" spans="1:16" x14ac:dyDescent="0.4">
      <c r="A973" t="s">
        <v>3743</v>
      </c>
      <c r="B973" t="s">
        <v>539</v>
      </c>
      <c r="C973" t="s">
        <v>54</v>
      </c>
      <c r="D973" t="s">
        <v>3744</v>
      </c>
      <c r="E973" t="s">
        <v>2080</v>
      </c>
      <c r="F973">
        <v>100</v>
      </c>
      <c r="G973">
        <v>52</v>
      </c>
      <c r="H973">
        <v>2</v>
      </c>
      <c r="I973" t="s">
        <v>85</v>
      </c>
      <c r="J973" s="1">
        <v>45507</v>
      </c>
      <c r="K973" t="s">
        <v>1188</v>
      </c>
      <c r="L973" t="s">
        <v>383</v>
      </c>
      <c r="M973" t="s">
        <v>3745</v>
      </c>
      <c r="N973">
        <v>86</v>
      </c>
      <c r="O973">
        <v>70</v>
      </c>
      <c r="P973" t="s">
        <v>42</v>
      </c>
    </row>
    <row r="974" spans="1:16" x14ac:dyDescent="0.4">
      <c r="A974" t="s">
        <v>3746</v>
      </c>
      <c r="B974" t="s">
        <v>923</v>
      </c>
      <c r="C974" t="s">
        <v>77</v>
      </c>
      <c r="D974" t="s">
        <v>3747</v>
      </c>
      <c r="E974" t="s">
        <v>2877</v>
      </c>
      <c r="F974">
        <v>36</v>
      </c>
      <c r="G974">
        <v>77</v>
      </c>
      <c r="H974">
        <v>49</v>
      </c>
      <c r="I974" t="s">
        <v>266</v>
      </c>
      <c r="J974" s="1">
        <v>45569</v>
      </c>
      <c r="K974" t="s">
        <v>420</v>
      </c>
      <c r="L974" s="1">
        <v>45902</v>
      </c>
      <c r="M974" t="s">
        <v>3748</v>
      </c>
      <c r="N974">
        <v>30</v>
      </c>
      <c r="O974">
        <v>84</v>
      </c>
      <c r="P974" t="s">
        <v>51</v>
      </c>
    </row>
    <row r="975" spans="1:16" x14ac:dyDescent="0.4">
      <c r="A975" t="s">
        <v>3749</v>
      </c>
      <c r="B975" t="s">
        <v>1428</v>
      </c>
      <c r="C975" t="s">
        <v>169</v>
      </c>
      <c r="D975" t="s">
        <v>3750</v>
      </c>
      <c r="E975" t="s">
        <v>1145</v>
      </c>
      <c r="F975">
        <v>14</v>
      </c>
      <c r="G975">
        <v>67</v>
      </c>
      <c r="H975">
        <v>65</v>
      </c>
      <c r="I975" t="s">
        <v>32</v>
      </c>
      <c r="J975" t="s">
        <v>1238</v>
      </c>
      <c r="K975" t="s">
        <v>107</v>
      </c>
      <c r="L975" t="s">
        <v>107</v>
      </c>
      <c r="M975" t="s">
        <v>3751</v>
      </c>
      <c r="N975">
        <v>71</v>
      </c>
      <c r="O975">
        <v>94</v>
      </c>
      <c r="P975" t="s">
        <v>26</v>
      </c>
    </row>
    <row r="976" spans="1:16" x14ac:dyDescent="0.4">
      <c r="A976" t="s">
        <v>3752</v>
      </c>
      <c r="B976" t="s">
        <v>103</v>
      </c>
      <c r="C976" t="s">
        <v>18</v>
      </c>
      <c r="D976" t="s">
        <v>3753</v>
      </c>
      <c r="E976" t="s">
        <v>3076</v>
      </c>
      <c r="F976">
        <v>38</v>
      </c>
      <c r="G976">
        <v>82</v>
      </c>
      <c r="H976">
        <v>17</v>
      </c>
      <c r="I976" t="s">
        <v>106</v>
      </c>
      <c r="J976" t="s">
        <v>655</v>
      </c>
      <c r="K976" t="s">
        <v>549</v>
      </c>
      <c r="L976" s="1">
        <v>45451</v>
      </c>
      <c r="M976" t="s">
        <v>3754</v>
      </c>
      <c r="N976">
        <v>52</v>
      </c>
      <c r="O976">
        <v>47</v>
      </c>
      <c r="P976" t="s">
        <v>26</v>
      </c>
    </row>
    <row r="977" spans="1:16" x14ac:dyDescent="0.4">
      <c r="A977" t="s">
        <v>3755</v>
      </c>
      <c r="B977" t="s">
        <v>482</v>
      </c>
      <c r="C977" t="s">
        <v>54</v>
      </c>
      <c r="D977" t="s">
        <v>3756</v>
      </c>
      <c r="E977" t="s">
        <v>489</v>
      </c>
      <c r="F977">
        <v>97</v>
      </c>
      <c r="G977">
        <v>52</v>
      </c>
      <c r="H977">
        <v>80</v>
      </c>
      <c r="I977" t="s">
        <v>85</v>
      </c>
      <c r="J977" t="s">
        <v>279</v>
      </c>
      <c r="K977" t="s">
        <v>1151</v>
      </c>
      <c r="L977" t="s">
        <v>244</v>
      </c>
      <c r="M977" t="s">
        <v>3757</v>
      </c>
      <c r="N977">
        <v>22</v>
      </c>
      <c r="O977">
        <v>90</v>
      </c>
      <c r="P977" t="s">
        <v>42</v>
      </c>
    </row>
    <row r="978" spans="1:16" x14ac:dyDescent="0.4">
      <c r="A978" t="s">
        <v>3758</v>
      </c>
      <c r="B978" t="s">
        <v>869</v>
      </c>
      <c r="C978" t="s">
        <v>29</v>
      </c>
      <c r="D978" t="s">
        <v>3759</v>
      </c>
      <c r="E978" t="s">
        <v>1246</v>
      </c>
      <c r="F978">
        <v>64</v>
      </c>
      <c r="G978">
        <v>66</v>
      </c>
      <c r="H978">
        <v>28</v>
      </c>
      <c r="I978" t="s">
        <v>147</v>
      </c>
      <c r="J978" t="s">
        <v>164</v>
      </c>
      <c r="K978" t="s">
        <v>1217</v>
      </c>
      <c r="L978" t="s">
        <v>259</v>
      </c>
      <c r="M978" t="s">
        <v>3760</v>
      </c>
      <c r="N978">
        <v>25</v>
      </c>
      <c r="O978">
        <v>52</v>
      </c>
      <c r="P978" t="s">
        <v>26</v>
      </c>
    </row>
    <row r="979" spans="1:16" x14ac:dyDescent="0.4">
      <c r="A979" t="s">
        <v>3761</v>
      </c>
      <c r="B979" t="s">
        <v>1104</v>
      </c>
      <c r="C979" t="s">
        <v>54</v>
      </c>
      <c r="D979" t="s">
        <v>3762</v>
      </c>
      <c r="E979" t="s">
        <v>1718</v>
      </c>
      <c r="F979">
        <v>14</v>
      </c>
      <c r="G979">
        <v>75</v>
      </c>
      <c r="H979">
        <v>19</v>
      </c>
      <c r="I979" t="s">
        <v>1728</v>
      </c>
      <c r="J979" t="s">
        <v>898</v>
      </c>
      <c r="K979" s="1">
        <v>45601</v>
      </c>
      <c r="L979" s="1">
        <v>45385</v>
      </c>
      <c r="M979" t="s">
        <v>3763</v>
      </c>
      <c r="N979">
        <v>100</v>
      </c>
      <c r="O979">
        <v>84</v>
      </c>
      <c r="P979" t="s">
        <v>42</v>
      </c>
    </row>
    <row r="980" spans="1:16" x14ac:dyDescent="0.4">
      <c r="A980" t="s">
        <v>3764</v>
      </c>
      <c r="B980" t="s">
        <v>789</v>
      </c>
      <c r="C980" t="s">
        <v>68</v>
      </c>
      <c r="D980" t="s">
        <v>3765</v>
      </c>
      <c r="E980" t="s">
        <v>1061</v>
      </c>
      <c r="F980">
        <v>24</v>
      </c>
      <c r="G980">
        <v>89</v>
      </c>
      <c r="H980">
        <v>27</v>
      </c>
      <c r="I980" t="s">
        <v>591</v>
      </c>
      <c r="J980" s="1">
        <v>45569</v>
      </c>
      <c r="K980" t="s">
        <v>1205</v>
      </c>
      <c r="L980" t="s">
        <v>236</v>
      </c>
      <c r="M980" t="s">
        <v>3766</v>
      </c>
      <c r="N980">
        <v>99</v>
      </c>
      <c r="O980">
        <v>1</v>
      </c>
      <c r="P980" t="s">
        <v>26</v>
      </c>
    </row>
    <row r="981" spans="1:16" x14ac:dyDescent="0.4">
      <c r="A981" t="s">
        <v>3767</v>
      </c>
      <c r="B981" t="s">
        <v>677</v>
      </c>
      <c r="C981" t="s">
        <v>169</v>
      </c>
      <c r="D981" t="s">
        <v>3768</v>
      </c>
      <c r="E981" t="s">
        <v>1297</v>
      </c>
      <c r="F981">
        <v>100</v>
      </c>
      <c r="G981">
        <v>61</v>
      </c>
      <c r="H981">
        <v>21</v>
      </c>
      <c r="I981" t="s">
        <v>134</v>
      </c>
      <c r="J981" t="s">
        <v>121</v>
      </c>
      <c r="K981" t="s">
        <v>315</v>
      </c>
      <c r="L981" t="s">
        <v>566</v>
      </c>
      <c r="M981" t="s">
        <v>3769</v>
      </c>
      <c r="N981">
        <v>85</v>
      </c>
      <c r="O981">
        <v>79</v>
      </c>
      <c r="P981" t="s">
        <v>42</v>
      </c>
    </row>
    <row r="982" spans="1:16" x14ac:dyDescent="0.4">
      <c r="A982" t="s">
        <v>3770</v>
      </c>
      <c r="B982" t="s">
        <v>621</v>
      </c>
      <c r="C982" t="s">
        <v>18</v>
      </c>
      <c r="D982" t="s">
        <v>3771</v>
      </c>
      <c r="E982" t="s">
        <v>1625</v>
      </c>
      <c r="F982">
        <v>62</v>
      </c>
      <c r="G982">
        <v>36</v>
      </c>
      <c r="H982">
        <v>96</v>
      </c>
      <c r="I982" t="s">
        <v>624</v>
      </c>
      <c r="J982" s="1">
        <v>45355</v>
      </c>
      <c r="K982" s="1">
        <v>45569</v>
      </c>
      <c r="L982" t="s">
        <v>1129</v>
      </c>
      <c r="M982" t="s">
        <v>3772</v>
      </c>
      <c r="N982">
        <v>31</v>
      </c>
      <c r="O982">
        <v>25</v>
      </c>
      <c r="P982" t="s">
        <v>26</v>
      </c>
    </row>
    <row r="983" spans="1:16" x14ac:dyDescent="0.4">
      <c r="A983" t="s">
        <v>3773</v>
      </c>
      <c r="B983" t="s">
        <v>1046</v>
      </c>
      <c r="C983" t="s">
        <v>18</v>
      </c>
      <c r="D983" t="s">
        <v>3774</v>
      </c>
      <c r="E983" t="s">
        <v>380</v>
      </c>
      <c r="F983">
        <v>71</v>
      </c>
      <c r="G983">
        <v>60</v>
      </c>
      <c r="H983">
        <v>62</v>
      </c>
      <c r="I983" t="s">
        <v>21</v>
      </c>
      <c r="J983" t="s">
        <v>422</v>
      </c>
      <c r="K983" t="s">
        <v>718</v>
      </c>
      <c r="L983" t="s">
        <v>1238</v>
      </c>
      <c r="M983" t="s">
        <v>3775</v>
      </c>
      <c r="N983">
        <v>60</v>
      </c>
      <c r="O983">
        <v>63</v>
      </c>
      <c r="P983" t="s">
        <v>26</v>
      </c>
    </row>
    <row r="984" spans="1:16" x14ac:dyDescent="0.4">
      <c r="A984" t="s">
        <v>3776</v>
      </c>
      <c r="B984" t="s">
        <v>189</v>
      </c>
      <c r="C984" t="s">
        <v>77</v>
      </c>
      <c r="D984" t="s">
        <v>3777</v>
      </c>
      <c r="E984" t="s">
        <v>1230</v>
      </c>
      <c r="F984">
        <v>38</v>
      </c>
      <c r="G984">
        <v>67</v>
      </c>
      <c r="H984">
        <v>66</v>
      </c>
      <c r="I984" t="s">
        <v>172</v>
      </c>
      <c r="J984" s="1">
        <v>45295</v>
      </c>
      <c r="K984" t="s">
        <v>192</v>
      </c>
      <c r="L984" s="1">
        <v>45508</v>
      </c>
      <c r="M984" t="s">
        <v>3778</v>
      </c>
      <c r="N984">
        <v>35</v>
      </c>
      <c r="O984">
        <v>24</v>
      </c>
      <c r="P984" t="s">
        <v>26</v>
      </c>
    </row>
    <row r="985" spans="1:16" x14ac:dyDescent="0.4">
      <c r="A985" t="s">
        <v>3779</v>
      </c>
      <c r="B985" t="s">
        <v>885</v>
      </c>
      <c r="C985" t="s">
        <v>18</v>
      </c>
      <c r="D985" t="s">
        <v>3780</v>
      </c>
      <c r="E985" t="s">
        <v>846</v>
      </c>
      <c r="F985">
        <v>88</v>
      </c>
      <c r="G985">
        <v>34</v>
      </c>
      <c r="H985">
        <v>94</v>
      </c>
      <c r="I985" t="s">
        <v>554</v>
      </c>
      <c r="J985" t="s">
        <v>1508</v>
      </c>
      <c r="K985" t="s">
        <v>599</v>
      </c>
      <c r="L985" t="s">
        <v>287</v>
      </c>
      <c r="M985" t="s">
        <v>3781</v>
      </c>
      <c r="N985">
        <v>95</v>
      </c>
      <c r="O985">
        <v>63</v>
      </c>
      <c r="P985" t="s">
        <v>51</v>
      </c>
    </row>
    <row r="986" spans="1:16" x14ac:dyDescent="0.4">
      <c r="A986" t="s">
        <v>3782</v>
      </c>
      <c r="B986" t="s">
        <v>363</v>
      </c>
      <c r="C986" t="s">
        <v>112</v>
      </c>
      <c r="D986" t="s">
        <v>3783</v>
      </c>
      <c r="E986" t="s">
        <v>1585</v>
      </c>
      <c r="F986">
        <v>40</v>
      </c>
      <c r="G986">
        <v>30</v>
      </c>
      <c r="H986">
        <v>65</v>
      </c>
      <c r="I986" t="s">
        <v>21</v>
      </c>
      <c r="J986" s="1">
        <v>45329</v>
      </c>
      <c r="K986" t="s">
        <v>409</v>
      </c>
      <c r="L986" t="s">
        <v>1720</v>
      </c>
      <c r="M986" t="s">
        <v>3784</v>
      </c>
      <c r="N986">
        <v>54</v>
      </c>
      <c r="O986">
        <v>29</v>
      </c>
      <c r="P986" t="s">
        <v>51</v>
      </c>
    </row>
    <row r="987" spans="1:16" x14ac:dyDescent="0.4">
      <c r="A987" t="s">
        <v>3785</v>
      </c>
      <c r="B987" t="s">
        <v>161</v>
      </c>
      <c r="C987" t="s">
        <v>54</v>
      </c>
      <c r="D987" t="s">
        <v>3786</v>
      </c>
      <c r="E987" t="s">
        <v>604</v>
      </c>
      <c r="F987">
        <v>88</v>
      </c>
      <c r="G987">
        <v>78</v>
      </c>
      <c r="H987">
        <v>17</v>
      </c>
      <c r="I987" t="s">
        <v>71</v>
      </c>
      <c r="J987" s="1">
        <v>45452</v>
      </c>
      <c r="K987" t="s">
        <v>158</v>
      </c>
      <c r="L987" s="1">
        <v>45393</v>
      </c>
      <c r="M987" t="s">
        <v>3787</v>
      </c>
      <c r="N987">
        <v>58</v>
      </c>
      <c r="O987">
        <v>21</v>
      </c>
      <c r="P987" t="s">
        <v>51</v>
      </c>
    </row>
    <row r="988" spans="1:16" x14ac:dyDescent="0.4">
      <c r="A988" t="s">
        <v>3788</v>
      </c>
      <c r="B988" t="s">
        <v>923</v>
      </c>
      <c r="C988" t="s">
        <v>77</v>
      </c>
      <c r="D988" t="s">
        <v>3789</v>
      </c>
      <c r="E988" t="s">
        <v>3790</v>
      </c>
      <c r="F988">
        <v>60</v>
      </c>
      <c r="G988">
        <v>9</v>
      </c>
      <c r="H988">
        <v>89</v>
      </c>
      <c r="I988" t="s">
        <v>266</v>
      </c>
      <c r="J988" s="1">
        <v>45297</v>
      </c>
      <c r="K988" s="1">
        <v>45328</v>
      </c>
      <c r="L988" s="1">
        <v>45422</v>
      </c>
      <c r="M988" t="s">
        <v>3791</v>
      </c>
      <c r="N988">
        <v>95</v>
      </c>
      <c r="O988">
        <v>63</v>
      </c>
      <c r="P988" t="s">
        <v>51</v>
      </c>
    </row>
    <row r="989" spans="1:16" x14ac:dyDescent="0.4">
      <c r="A989" t="s">
        <v>3792</v>
      </c>
      <c r="B989" t="s">
        <v>184</v>
      </c>
      <c r="C989" t="s">
        <v>54</v>
      </c>
      <c r="D989" t="s">
        <v>3793</v>
      </c>
      <c r="E989" t="s">
        <v>2501</v>
      </c>
      <c r="F989">
        <v>94</v>
      </c>
      <c r="G989">
        <v>90</v>
      </c>
      <c r="H989">
        <v>12</v>
      </c>
      <c r="I989" t="s">
        <v>2281</v>
      </c>
      <c r="J989" s="1">
        <v>45361</v>
      </c>
      <c r="K989" t="s">
        <v>420</v>
      </c>
      <c r="L989" s="1">
        <v>45302</v>
      </c>
      <c r="M989" t="s">
        <v>3794</v>
      </c>
      <c r="N989">
        <v>98</v>
      </c>
      <c r="O989">
        <v>71</v>
      </c>
      <c r="P989" t="s">
        <v>51</v>
      </c>
    </row>
    <row r="990" spans="1:16" x14ac:dyDescent="0.4">
      <c r="A990" t="s">
        <v>3795</v>
      </c>
      <c r="B990" t="s">
        <v>789</v>
      </c>
      <c r="C990" t="s">
        <v>68</v>
      </c>
      <c r="D990" t="s">
        <v>3796</v>
      </c>
      <c r="E990" t="s">
        <v>472</v>
      </c>
      <c r="F990">
        <v>30</v>
      </c>
      <c r="G990">
        <v>48</v>
      </c>
      <c r="H990">
        <v>52</v>
      </c>
      <c r="I990" t="s">
        <v>591</v>
      </c>
      <c r="J990" s="1">
        <v>45602</v>
      </c>
      <c r="K990" s="1">
        <v>45485</v>
      </c>
      <c r="L990" t="s">
        <v>328</v>
      </c>
      <c r="M990" t="s">
        <v>3797</v>
      </c>
      <c r="N990">
        <v>22</v>
      </c>
      <c r="O990">
        <v>78</v>
      </c>
      <c r="P990" t="s">
        <v>51</v>
      </c>
    </row>
    <row r="991" spans="1:16" x14ac:dyDescent="0.4">
      <c r="A991" t="s">
        <v>3798</v>
      </c>
      <c r="B991" t="s">
        <v>1470</v>
      </c>
      <c r="C991" t="s">
        <v>54</v>
      </c>
      <c r="D991" t="s">
        <v>3799</v>
      </c>
      <c r="E991" t="s">
        <v>2631</v>
      </c>
      <c r="F991">
        <v>19</v>
      </c>
      <c r="G991">
        <v>28</v>
      </c>
      <c r="H991">
        <v>83</v>
      </c>
      <c r="I991" t="s">
        <v>21</v>
      </c>
      <c r="J991" t="s">
        <v>402</v>
      </c>
      <c r="K991" s="1">
        <v>45294</v>
      </c>
      <c r="L991" t="s">
        <v>422</v>
      </c>
      <c r="M991" t="s">
        <v>3800</v>
      </c>
      <c r="N991">
        <v>91</v>
      </c>
      <c r="O991">
        <v>73</v>
      </c>
      <c r="P991" t="s">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ABECD-D8A4-404F-8ED6-7248CF8A7587}">
  <dimension ref="A1:Z991"/>
  <sheetViews>
    <sheetView topLeftCell="V2" zoomScaleNormal="100" workbookViewId="0">
      <selection activeCell="F14" sqref="F14"/>
    </sheetView>
  </sheetViews>
  <sheetFormatPr defaultRowHeight="14.6" x14ac:dyDescent="0.4"/>
  <cols>
    <col min="1" max="1" width="13.69140625" bestFit="1" customWidth="1"/>
    <col min="2" max="2" width="17.53515625" bestFit="1" customWidth="1"/>
    <col min="3" max="3" width="16.84375" bestFit="1" customWidth="1"/>
    <col min="4" max="4" width="14.15234375" bestFit="1" customWidth="1"/>
    <col min="5" max="6" width="17.61328125" bestFit="1" customWidth="1"/>
    <col min="7" max="7" width="16.921875" bestFit="1" customWidth="1"/>
    <col min="8" max="8" width="20" bestFit="1" customWidth="1"/>
    <col min="9" max="9" width="13.07421875" bestFit="1" customWidth="1"/>
    <col min="10" max="10" width="21.61328125" bestFit="1" customWidth="1"/>
    <col min="11" max="11" width="17.4609375" bestFit="1" customWidth="1"/>
    <col min="12" max="12" width="26" bestFit="1" customWidth="1"/>
    <col min="13" max="13" width="19.07421875" bestFit="1" customWidth="1"/>
    <col min="14" max="14" width="27.3046875" bestFit="1" customWidth="1"/>
    <col min="15" max="15" width="18.3046875" bestFit="1" customWidth="1"/>
    <col min="16" max="16" width="26.84375" bestFit="1" customWidth="1"/>
    <col min="17" max="17" width="27.53515625" bestFit="1" customWidth="1"/>
    <col min="18" max="18" width="16.53515625" bestFit="1" customWidth="1"/>
    <col min="19" max="19" width="27.07421875" bestFit="1" customWidth="1"/>
    <col min="20" max="20" width="11.69140625" bestFit="1" customWidth="1"/>
    <col min="21" max="21" width="10.3046875" customWidth="1"/>
    <col min="22" max="22" width="18.53515625" customWidth="1"/>
    <col min="23" max="23" width="17.69140625" customWidth="1"/>
    <col min="24" max="24" width="18.61328125" style="9" customWidth="1"/>
    <col min="25" max="25" width="16.69140625" customWidth="1"/>
    <col min="26" max="26" width="13.07421875" customWidth="1"/>
  </cols>
  <sheetData>
    <row r="1" spans="1:26" s="6" customFormat="1" ht="15.9" x14ac:dyDescent="0.45">
      <c r="A1" s="2" t="s">
        <v>0</v>
      </c>
      <c r="B1" s="2" t="s">
        <v>1</v>
      </c>
      <c r="C1" s="2" t="s">
        <v>2</v>
      </c>
      <c r="D1" s="2" t="s">
        <v>3</v>
      </c>
      <c r="E1" s="2" t="s">
        <v>4</v>
      </c>
      <c r="F1" s="2" t="s">
        <v>5</v>
      </c>
      <c r="G1" s="2" t="s">
        <v>6</v>
      </c>
      <c r="H1" s="2" t="s">
        <v>7</v>
      </c>
      <c r="I1" s="2" t="s">
        <v>8</v>
      </c>
      <c r="J1" s="3" t="s">
        <v>3802</v>
      </c>
      <c r="K1" s="2" t="s">
        <v>9</v>
      </c>
      <c r="L1" s="3" t="s">
        <v>3803</v>
      </c>
      <c r="M1" s="2" t="s">
        <v>10</v>
      </c>
      <c r="N1" s="3" t="s">
        <v>3804</v>
      </c>
      <c r="O1" s="2" t="s">
        <v>11</v>
      </c>
      <c r="P1" s="3" t="s">
        <v>3805</v>
      </c>
      <c r="Q1" s="2" t="s">
        <v>12</v>
      </c>
      <c r="R1" s="2" t="s">
        <v>13</v>
      </c>
      <c r="S1" s="2" t="s">
        <v>14</v>
      </c>
      <c r="T1" s="2" t="s">
        <v>15</v>
      </c>
      <c r="U1" s="4" t="s">
        <v>3806</v>
      </c>
      <c r="V1" s="4" t="s">
        <v>3807</v>
      </c>
      <c r="W1" s="4" t="s">
        <v>3808</v>
      </c>
      <c r="X1" s="5" t="s">
        <v>3809</v>
      </c>
      <c r="Y1" s="5" t="s">
        <v>3810</v>
      </c>
      <c r="Z1" s="5" t="s">
        <v>3811</v>
      </c>
    </row>
    <row r="2" spans="1:26" x14ac:dyDescent="0.4">
      <c r="A2" t="s">
        <v>16</v>
      </c>
      <c r="B2" t="s">
        <v>17</v>
      </c>
      <c r="C2" t="s">
        <v>18</v>
      </c>
      <c r="D2" t="s">
        <v>19</v>
      </c>
      <c r="E2" t="s">
        <v>20</v>
      </c>
      <c r="F2">
        <v>22</v>
      </c>
      <c r="G2">
        <v>72</v>
      </c>
      <c r="H2">
        <v>70</v>
      </c>
      <c r="I2" t="s">
        <v>21</v>
      </c>
      <c r="J2" s="7">
        <f>VALUE(SUBSTITUTE(I2,"$",""))</f>
        <v>4.5</v>
      </c>
      <c r="K2" t="s">
        <v>22</v>
      </c>
      <c r="L2" s="1">
        <f>IF(
ISNUMBER(K2),
K2,
DATE(
RIGHT(K2,4),
LEFT(K2,FIND("/",K2)-1),
MID(K2,FIND("/",K2)+1,FIND("/",K2,FIND("/",K2)+1)-FIND("/",K2)-1)
)
)</f>
        <v>45520</v>
      </c>
      <c r="M2" t="s">
        <v>23</v>
      </c>
      <c r="N2" s="1">
        <f>IF(
ISNUMBER(M2),
M2,
DATE(
RIGHT(M2,4),
LEFT(M2,FIND("/",M2)-1),
MID(M2,FIND("/",M2)+1,FIND("/",M2,FIND("/",M2)+1)-FIND("/",M2)-1)
)
)</f>
        <v>45472</v>
      </c>
      <c r="O2" t="s">
        <v>24</v>
      </c>
      <c r="P2" s="1">
        <f>IF(
ISNUMBER(O2),
O2,
DATE(
RIGHT(O2,4),
LEFT(O2,FIND("/",O2)-1),
MID(O2,FIND("/",O2)+1,FIND("/",O2,FIND("/",O2)+1)-FIND("/",O2)-1)
)
)</f>
        <v>45554</v>
      </c>
      <c r="Q2" t="s">
        <v>25</v>
      </c>
      <c r="R2">
        <v>32</v>
      </c>
      <c r="S2">
        <v>19</v>
      </c>
      <c r="T2" t="s">
        <v>26</v>
      </c>
      <c r="U2" s="8">
        <v>144</v>
      </c>
      <c r="V2" s="8">
        <f>F2*J2</f>
        <v>99</v>
      </c>
      <c r="W2" t="str">
        <f>IF(F2&lt;=G2,"Reorder Required","Sufficient Stock")</f>
        <v>Reorder Required</v>
      </c>
      <c r="X2" s="9">
        <f>DATE(YEAR(L2),MONTH(L2),1)</f>
        <v>45505</v>
      </c>
      <c r="Y2">
        <f>P2-L2</f>
        <v>34</v>
      </c>
      <c r="Z2" t="str">
        <f>IF(Y2&lt;0,"Invalid Data",
IF(Y2&lt;=30,"Critical",
IF(Y2&lt;=90,"High Risk",
IF(Y2&lt;=180,"Medium Risk",
IF(Y2&lt;=365,"Low Risk",
"Safe")))))</f>
        <v>High Risk</v>
      </c>
    </row>
    <row r="3" spans="1:26" x14ac:dyDescent="0.4">
      <c r="A3" t="s">
        <v>27</v>
      </c>
      <c r="B3" t="s">
        <v>28</v>
      </c>
      <c r="C3" t="s">
        <v>29</v>
      </c>
      <c r="D3" t="s">
        <v>30</v>
      </c>
      <c r="E3" t="s">
        <v>31</v>
      </c>
      <c r="F3">
        <v>45</v>
      </c>
      <c r="G3">
        <v>77</v>
      </c>
      <c r="H3">
        <v>2</v>
      </c>
      <c r="I3" t="s">
        <v>32</v>
      </c>
      <c r="J3" s="7">
        <f t="shared" ref="J3:J66" si="0">VALUE(SUBSTITUTE(I3,"$",""))</f>
        <v>20</v>
      </c>
      <c r="K3" s="1">
        <v>45302</v>
      </c>
      <c r="L3" s="1">
        <f t="shared" ref="L3:L66" si="1">IF(
ISNUMBER(K3),
K3,
DATE(
RIGHT(K3,4),
LEFT(K3,FIND("/",K3)-1),
MID(K3,FIND("/",K3)+1,FIND("/",K3,FIND("/",K3)+1)-FIND("/",K3)-1)
)
)</f>
        <v>45302</v>
      </c>
      <c r="M3" t="s">
        <v>33</v>
      </c>
      <c r="N3" s="1">
        <f t="shared" ref="N3:N66" si="2">IF(
ISNUMBER(M3),
M3,
DATE(
RIGHT(M3,4),
LEFT(M3,FIND("/",M3)-1),
MID(M3,FIND("/",M3)+1,FIND("/",M3,FIND("/",M3)+1)-FIND("/",M3)-1)
)
)</f>
        <v>45441</v>
      </c>
      <c r="O3" s="1">
        <v>45509</v>
      </c>
      <c r="P3" s="1">
        <f t="shared" ref="P3:P66" si="3">IF(
ISNUMBER(O3),
O3,
DATE(
RIGHT(O3,4),
LEFT(O3,FIND("/",O3)-1),
MID(O3,FIND("/",O3)+1,FIND("/",O3,FIND("/",O3)+1)-FIND("/",O3)-1)
)
)</f>
        <v>45509</v>
      </c>
      <c r="Q3" t="s">
        <v>34</v>
      </c>
      <c r="R3">
        <v>85</v>
      </c>
      <c r="S3">
        <v>1</v>
      </c>
      <c r="T3" t="s">
        <v>26</v>
      </c>
      <c r="U3" s="8">
        <v>1700</v>
      </c>
      <c r="V3" s="8">
        <f t="shared" ref="V3:V66" si="4">F3*J3</f>
        <v>900</v>
      </c>
      <c r="W3" t="str">
        <f t="shared" ref="W3:W66" si="5">IF(F3&lt;=G3,"Reorder Required","Sufficient Stock")</f>
        <v>Reorder Required</v>
      </c>
      <c r="X3" s="9">
        <f t="shared" ref="X3:X66" si="6">DATE(YEAR(L3),MONTH(L3),1)</f>
        <v>45292</v>
      </c>
      <c r="Y3">
        <f t="shared" ref="Y3:Y66" si="7">P3-L3</f>
        <v>207</v>
      </c>
      <c r="Z3" t="str">
        <f t="shared" ref="Z3:Z66" si="8">IF(Y3&lt;0,"Invalid Data",
IF(Y3&lt;=30,"Critical",
IF(Y3&lt;=90,"High Risk",
IF(Y3&lt;=180,"Medium Risk",
IF(Y3&lt;=365,"Low Risk",
"Safe")))))</f>
        <v>Low Risk</v>
      </c>
    </row>
    <row r="4" spans="1:26" x14ac:dyDescent="0.4">
      <c r="A4" t="s">
        <v>35</v>
      </c>
      <c r="B4" t="s">
        <v>36</v>
      </c>
      <c r="C4" t="s">
        <v>18</v>
      </c>
      <c r="D4" t="s">
        <v>37</v>
      </c>
      <c r="E4" t="s">
        <v>38</v>
      </c>
      <c r="F4">
        <v>30</v>
      </c>
      <c r="G4">
        <v>38</v>
      </c>
      <c r="H4">
        <v>83</v>
      </c>
      <c r="I4" t="s">
        <v>39</v>
      </c>
      <c r="J4" s="7">
        <f t="shared" si="0"/>
        <v>6</v>
      </c>
      <c r="K4" s="1">
        <v>45359</v>
      </c>
      <c r="L4" s="1">
        <f t="shared" si="1"/>
        <v>45359</v>
      </c>
      <c r="M4" s="1">
        <v>45571</v>
      </c>
      <c r="N4" s="1">
        <f t="shared" si="2"/>
        <v>45571</v>
      </c>
      <c r="O4" t="s">
        <v>40</v>
      </c>
      <c r="P4" s="1">
        <f t="shared" si="3"/>
        <v>45557</v>
      </c>
      <c r="Q4" t="s">
        <v>41</v>
      </c>
      <c r="R4">
        <v>31</v>
      </c>
      <c r="S4">
        <v>34</v>
      </c>
      <c r="T4" t="s">
        <v>42</v>
      </c>
      <c r="U4" s="8">
        <v>186</v>
      </c>
      <c r="V4" s="8">
        <f t="shared" si="4"/>
        <v>180</v>
      </c>
      <c r="W4" t="str">
        <f t="shared" si="5"/>
        <v>Reorder Required</v>
      </c>
      <c r="X4" s="9">
        <f t="shared" si="6"/>
        <v>45352</v>
      </c>
      <c r="Y4">
        <f t="shared" si="7"/>
        <v>198</v>
      </c>
      <c r="Z4" t="str">
        <f t="shared" si="8"/>
        <v>Low Risk</v>
      </c>
    </row>
    <row r="5" spans="1:26" x14ac:dyDescent="0.4">
      <c r="A5" t="s">
        <v>43</v>
      </c>
      <c r="B5" t="s">
        <v>44</v>
      </c>
      <c r="C5" t="s">
        <v>18</v>
      </c>
      <c r="D5" t="s">
        <v>45</v>
      </c>
      <c r="E5" t="s">
        <v>46</v>
      </c>
      <c r="F5">
        <v>12</v>
      </c>
      <c r="G5">
        <v>59</v>
      </c>
      <c r="H5">
        <v>62</v>
      </c>
      <c r="I5" t="s">
        <v>47</v>
      </c>
      <c r="J5" s="7">
        <f t="shared" si="0"/>
        <v>1.5</v>
      </c>
      <c r="K5" s="1">
        <v>45516</v>
      </c>
      <c r="L5" s="1">
        <f t="shared" si="1"/>
        <v>45516</v>
      </c>
      <c r="M5" t="s">
        <v>48</v>
      </c>
      <c r="N5" s="1">
        <f t="shared" si="2"/>
        <v>45707</v>
      </c>
      <c r="O5" t="s">
        <v>49</v>
      </c>
      <c r="P5" s="1">
        <f t="shared" si="3"/>
        <v>45399</v>
      </c>
      <c r="Q5" t="s">
        <v>50</v>
      </c>
      <c r="R5">
        <v>95</v>
      </c>
      <c r="S5">
        <v>99</v>
      </c>
      <c r="T5" t="s">
        <v>51</v>
      </c>
      <c r="U5" s="8">
        <v>142.5</v>
      </c>
      <c r="V5" s="8">
        <f t="shared" si="4"/>
        <v>18</v>
      </c>
      <c r="W5" t="str">
        <f t="shared" si="5"/>
        <v>Reorder Required</v>
      </c>
      <c r="X5" s="9">
        <f t="shared" si="6"/>
        <v>45505</v>
      </c>
      <c r="Y5">
        <f t="shared" si="7"/>
        <v>-117</v>
      </c>
      <c r="Z5" t="str">
        <f t="shared" si="8"/>
        <v>Invalid Data</v>
      </c>
    </row>
    <row r="6" spans="1:26" x14ac:dyDescent="0.4">
      <c r="A6" t="s">
        <v>52</v>
      </c>
      <c r="B6" t="s">
        <v>53</v>
      </c>
      <c r="C6" t="s">
        <v>54</v>
      </c>
      <c r="D6" t="s">
        <v>55</v>
      </c>
      <c r="E6" t="s">
        <v>56</v>
      </c>
      <c r="F6">
        <v>37</v>
      </c>
      <c r="G6">
        <v>30</v>
      </c>
      <c r="H6">
        <v>74</v>
      </c>
      <c r="I6" t="s">
        <v>57</v>
      </c>
      <c r="J6" s="7">
        <f t="shared" si="0"/>
        <v>4</v>
      </c>
      <c r="K6" s="1">
        <v>45358</v>
      </c>
      <c r="L6" s="1">
        <f t="shared" si="1"/>
        <v>45358</v>
      </c>
      <c r="M6" s="1">
        <v>45606</v>
      </c>
      <c r="N6" s="1">
        <f t="shared" si="2"/>
        <v>45606</v>
      </c>
      <c r="O6" s="1">
        <v>45422</v>
      </c>
      <c r="P6" s="1">
        <f t="shared" si="3"/>
        <v>45422</v>
      </c>
      <c r="Q6" t="s">
        <v>58</v>
      </c>
      <c r="R6">
        <v>62</v>
      </c>
      <c r="S6">
        <v>25</v>
      </c>
      <c r="T6" t="s">
        <v>42</v>
      </c>
      <c r="U6" s="8">
        <v>248</v>
      </c>
      <c r="V6" s="8">
        <f t="shared" si="4"/>
        <v>148</v>
      </c>
      <c r="W6" t="str">
        <f t="shared" si="5"/>
        <v>Sufficient Stock</v>
      </c>
      <c r="X6" s="9">
        <f t="shared" si="6"/>
        <v>45352</v>
      </c>
      <c r="Y6">
        <f t="shared" si="7"/>
        <v>64</v>
      </c>
      <c r="Z6" t="str">
        <f t="shared" si="8"/>
        <v>High Risk</v>
      </c>
    </row>
    <row r="7" spans="1:26" x14ac:dyDescent="0.4">
      <c r="A7" t="s">
        <v>59</v>
      </c>
      <c r="B7" t="s">
        <v>60</v>
      </c>
      <c r="C7" t="s">
        <v>18</v>
      </c>
      <c r="D7" t="s">
        <v>61</v>
      </c>
      <c r="E7" t="s">
        <v>62</v>
      </c>
      <c r="F7">
        <v>55</v>
      </c>
      <c r="G7">
        <v>33</v>
      </c>
      <c r="H7">
        <v>14</v>
      </c>
      <c r="I7" t="s">
        <v>63</v>
      </c>
      <c r="J7" s="7">
        <f t="shared" si="0"/>
        <v>1.75</v>
      </c>
      <c r="K7" s="1">
        <v>45363</v>
      </c>
      <c r="L7" s="1">
        <f t="shared" si="1"/>
        <v>45363</v>
      </c>
      <c r="M7" t="s">
        <v>64</v>
      </c>
      <c r="N7" s="1">
        <f t="shared" si="2"/>
        <v>45438</v>
      </c>
      <c r="O7" s="1">
        <v>45421</v>
      </c>
      <c r="P7" s="1">
        <f t="shared" si="3"/>
        <v>45421</v>
      </c>
      <c r="Q7" t="s">
        <v>65</v>
      </c>
      <c r="R7">
        <v>34</v>
      </c>
      <c r="S7">
        <v>62</v>
      </c>
      <c r="T7" t="s">
        <v>26</v>
      </c>
      <c r="U7" s="8">
        <v>59.5</v>
      </c>
      <c r="V7" s="8">
        <f t="shared" si="4"/>
        <v>96.25</v>
      </c>
      <c r="W7" t="str">
        <f t="shared" si="5"/>
        <v>Sufficient Stock</v>
      </c>
      <c r="X7" s="9">
        <f t="shared" si="6"/>
        <v>45352</v>
      </c>
      <c r="Y7">
        <f t="shared" si="7"/>
        <v>58</v>
      </c>
      <c r="Z7" t="str">
        <f t="shared" si="8"/>
        <v>High Risk</v>
      </c>
    </row>
    <row r="8" spans="1:26" x14ac:dyDescent="0.4">
      <c r="A8" t="s">
        <v>66</v>
      </c>
      <c r="B8" t="s">
        <v>67</v>
      </c>
      <c r="C8" t="s">
        <v>68</v>
      </c>
      <c r="D8" t="s">
        <v>69</v>
      </c>
      <c r="E8" t="s">
        <v>70</v>
      </c>
      <c r="F8">
        <v>96</v>
      </c>
      <c r="G8">
        <v>52</v>
      </c>
      <c r="H8">
        <v>16</v>
      </c>
      <c r="I8" t="s">
        <v>71</v>
      </c>
      <c r="J8" s="7">
        <f t="shared" si="0"/>
        <v>2.5</v>
      </c>
      <c r="K8" t="s">
        <v>72</v>
      </c>
      <c r="L8" s="1">
        <f t="shared" si="1"/>
        <v>45369</v>
      </c>
      <c r="M8" s="1">
        <v>45478</v>
      </c>
      <c r="N8" s="1">
        <f t="shared" si="2"/>
        <v>45478</v>
      </c>
      <c r="O8" t="s">
        <v>73</v>
      </c>
      <c r="P8" s="1">
        <f t="shared" si="3"/>
        <v>45463</v>
      </c>
      <c r="Q8" t="s">
        <v>74</v>
      </c>
      <c r="R8">
        <v>67</v>
      </c>
      <c r="S8">
        <v>13</v>
      </c>
      <c r="T8" t="s">
        <v>51</v>
      </c>
      <c r="U8" s="8">
        <v>167.5</v>
      </c>
      <c r="V8" s="8">
        <f t="shared" si="4"/>
        <v>240</v>
      </c>
      <c r="W8" t="str">
        <f t="shared" si="5"/>
        <v>Sufficient Stock</v>
      </c>
      <c r="X8" s="9">
        <f t="shared" si="6"/>
        <v>45352</v>
      </c>
      <c r="Y8">
        <f t="shared" si="7"/>
        <v>94</v>
      </c>
      <c r="Z8" t="str">
        <f t="shared" si="8"/>
        <v>Medium Risk</v>
      </c>
    </row>
    <row r="9" spans="1:26" x14ac:dyDescent="0.4">
      <c r="A9" t="s">
        <v>75</v>
      </c>
      <c r="B9" t="s">
        <v>76</v>
      </c>
      <c r="C9" t="s">
        <v>77</v>
      </c>
      <c r="D9" t="s">
        <v>78</v>
      </c>
      <c r="E9" t="s">
        <v>79</v>
      </c>
      <c r="F9">
        <v>44</v>
      </c>
      <c r="G9">
        <v>90</v>
      </c>
      <c r="H9">
        <v>17</v>
      </c>
      <c r="I9" t="s">
        <v>71</v>
      </c>
      <c r="J9" s="7">
        <f t="shared" si="0"/>
        <v>2.5</v>
      </c>
      <c r="K9" s="1">
        <v>45718</v>
      </c>
      <c r="L9" s="1">
        <f t="shared" si="1"/>
        <v>45718</v>
      </c>
      <c r="M9" s="1">
        <v>45539</v>
      </c>
      <c r="N9" s="1">
        <f t="shared" si="2"/>
        <v>45539</v>
      </c>
      <c r="O9" s="1">
        <v>45779</v>
      </c>
      <c r="P9" s="1">
        <f t="shared" si="3"/>
        <v>45779</v>
      </c>
      <c r="Q9" t="s">
        <v>80</v>
      </c>
      <c r="R9">
        <v>21</v>
      </c>
      <c r="S9">
        <v>91</v>
      </c>
      <c r="T9" t="s">
        <v>26</v>
      </c>
      <c r="U9" s="8">
        <v>52.5</v>
      </c>
      <c r="V9" s="8">
        <f t="shared" si="4"/>
        <v>110</v>
      </c>
      <c r="W9" t="str">
        <f t="shared" si="5"/>
        <v>Reorder Required</v>
      </c>
      <c r="X9" s="9">
        <f t="shared" si="6"/>
        <v>45717</v>
      </c>
      <c r="Y9">
        <f t="shared" si="7"/>
        <v>61</v>
      </c>
      <c r="Z9" t="str">
        <f t="shared" si="8"/>
        <v>High Risk</v>
      </c>
    </row>
    <row r="10" spans="1:26" x14ac:dyDescent="0.4">
      <c r="A10" t="s">
        <v>81</v>
      </c>
      <c r="B10" t="s">
        <v>82</v>
      </c>
      <c r="C10" t="s">
        <v>77</v>
      </c>
      <c r="D10" t="s">
        <v>83</v>
      </c>
      <c r="E10" t="s">
        <v>84</v>
      </c>
      <c r="F10">
        <v>91</v>
      </c>
      <c r="G10">
        <v>84</v>
      </c>
      <c r="H10">
        <v>11</v>
      </c>
      <c r="I10" t="s">
        <v>85</v>
      </c>
      <c r="J10" s="7">
        <f t="shared" si="0"/>
        <v>3</v>
      </c>
      <c r="K10" s="1">
        <v>45394</v>
      </c>
      <c r="L10" s="1">
        <f t="shared" si="1"/>
        <v>45394</v>
      </c>
      <c r="M10" s="1">
        <v>45328</v>
      </c>
      <c r="N10" s="1">
        <f t="shared" si="2"/>
        <v>45328</v>
      </c>
      <c r="O10" s="1">
        <v>45870</v>
      </c>
      <c r="P10" s="1">
        <f t="shared" si="3"/>
        <v>45870</v>
      </c>
      <c r="Q10" t="s">
        <v>86</v>
      </c>
      <c r="R10">
        <v>56</v>
      </c>
      <c r="S10">
        <v>90</v>
      </c>
      <c r="T10" t="s">
        <v>51</v>
      </c>
      <c r="U10" s="8">
        <v>168</v>
      </c>
      <c r="V10" s="8">
        <f t="shared" si="4"/>
        <v>273</v>
      </c>
      <c r="W10" t="str">
        <f t="shared" si="5"/>
        <v>Sufficient Stock</v>
      </c>
      <c r="X10" s="9">
        <f t="shared" si="6"/>
        <v>45383</v>
      </c>
      <c r="Y10">
        <f t="shared" si="7"/>
        <v>476</v>
      </c>
      <c r="Z10" t="str">
        <f t="shared" si="8"/>
        <v>Safe</v>
      </c>
    </row>
    <row r="11" spans="1:26" x14ac:dyDescent="0.4">
      <c r="A11" t="s">
        <v>87</v>
      </c>
      <c r="B11" t="s">
        <v>88</v>
      </c>
      <c r="C11" t="s">
        <v>77</v>
      </c>
      <c r="D11" t="s">
        <v>89</v>
      </c>
      <c r="E11" t="s">
        <v>90</v>
      </c>
      <c r="F11">
        <v>43</v>
      </c>
      <c r="G11">
        <v>10</v>
      </c>
      <c r="H11">
        <v>15</v>
      </c>
      <c r="I11" t="s">
        <v>91</v>
      </c>
      <c r="J11" s="7">
        <f t="shared" si="0"/>
        <v>1</v>
      </c>
      <c r="K11" t="s">
        <v>92</v>
      </c>
      <c r="L11" s="1">
        <f t="shared" si="1"/>
        <v>45614</v>
      </c>
      <c r="M11" t="s">
        <v>93</v>
      </c>
      <c r="N11" s="1">
        <f t="shared" si="2"/>
        <v>45610</v>
      </c>
      <c r="O11" s="1">
        <v>45511</v>
      </c>
      <c r="P11" s="1">
        <f t="shared" si="3"/>
        <v>45511</v>
      </c>
      <c r="Q11" t="s">
        <v>94</v>
      </c>
      <c r="R11">
        <v>27</v>
      </c>
      <c r="S11">
        <v>69</v>
      </c>
      <c r="T11" t="s">
        <v>51</v>
      </c>
      <c r="U11" s="8">
        <v>27</v>
      </c>
      <c r="V11" s="8">
        <f t="shared" si="4"/>
        <v>43</v>
      </c>
      <c r="W11" t="str">
        <f t="shared" si="5"/>
        <v>Sufficient Stock</v>
      </c>
      <c r="X11" s="9">
        <f t="shared" si="6"/>
        <v>45597</v>
      </c>
      <c r="Y11">
        <f t="shared" si="7"/>
        <v>-103</v>
      </c>
      <c r="Z11" t="str">
        <f t="shared" si="8"/>
        <v>Invalid Data</v>
      </c>
    </row>
    <row r="12" spans="1:26" x14ac:dyDescent="0.4">
      <c r="A12" t="s">
        <v>95</v>
      </c>
      <c r="B12" t="s">
        <v>44</v>
      </c>
      <c r="C12" t="s">
        <v>18</v>
      </c>
      <c r="D12" t="s">
        <v>96</v>
      </c>
      <c r="E12" t="s">
        <v>97</v>
      </c>
      <c r="F12">
        <v>62</v>
      </c>
      <c r="G12">
        <v>81</v>
      </c>
      <c r="H12">
        <v>91</v>
      </c>
      <c r="I12" t="s">
        <v>98</v>
      </c>
      <c r="J12" s="7">
        <f t="shared" si="0"/>
        <v>1.6</v>
      </c>
      <c r="K12" t="s">
        <v>99</v>
      </c>
      <c r="L12" s="1">
        <f t="shared" si="1"/>
        <v>45644</v>
      </c>
      <c r="M12" t="s">
        <v>100</v>
      </c>
      <c r="N12" s="1">
        <f t="shared" si="2"/>
        <v>45436</v>
      </c>
      <c r="O12" s="1">
        <v>45839</v>
      </c>
      <c r="P12" s="1">
        <f t="shared" si="3"/>
        <v>45839</v>
      </c>
      <c r="Q12" t="s">
        <v>101</v>
      </c>
      <c r="R12">
        <v>100</v>
      </c>
      <c r="S12">
        <v>42</v>
      </c>
      <c r="T12" t="s">
        <v>26</v>
      </c>
      <c r="U12" s="8">
        <v>160</v>
      </c>
      <c r="V12" s="8">
        <f t="shared" si="4"/>
        <v>99.2</v>
      </c>
      <c r="W12" t="str">
        <f t="shared" si="5"/>
        <v>Reorder Required</v>
      </c>
      <c r="X12" s="9">
        <f t="shared" si="6"/>
        <v>45627</v>
      </c>
      <c r="Y12">
        <f t="shared" si="7"/>
        <v>195</v>
      </c>
      <c r="Z12" t="str">
        <f t="shared" si="8"/>
        <v>Low Risk</v>
      </c>
    </row>
    <row r="13" spans="1:26" x14ac:dyDescent="0.4">
      <c r="A13" t="s">
        <v>102</v>
      </c>
      <c r="B13" t="s">
        <v>103</v>
      </c>
      <c r="C13" t="s">
        <v>18</v>
      </c>
      <c r="D13" t="s">
        <v>104</v>
      </c>
      <c r="E13" t="s">
        <v>105</v>
      </c>
      <c r="F13">
        <v>91</v>
      </c>
      <c r="G13">
        <v>98</v>
      </c>
      <c r="H13">
        <v>6</v>
      </c>
      <c r="I13" t="s">
        <v>106</v>
      </c>
      <c r="J13" s="7">
        <f t="shared" si="0"/>
        <v>2</v>
      </c>
      <c r="K13" t="s">
        <v>107</v>
      </c>
      <c r="L13" s="1">
        <f t="shared" si="1"/>
        <v>45584</v>
      </c>
      <c r="M13" s="1">
        <v>45608</v>
      </c>
      <c r="N13" s="1">
        <f t="shared" si="2"/>
        <v>45608</v>
      </c>
      <c r="O13" t="s">
        <v>108</v>
      </c>
      <c r="P13" s="1">
        <f t="shared" si="3"/>
        <v>45579</v>
      </c>
      <c r="Q13" t="s">
        <v>109</v>
      </c>
      <c r="R13">
        <v>100</v>
      </c>
      <c r="S13">
        <v>20</v>
      </c>
      <c r="T13" t="s">
        <v>42</v>
      </c>
      <c r="U13" s="8">
        <v>200</v>
      </c>
      <c r="V13" s="8">
        <f t="shared" si="4"/>
        <v>182</v>
      </c>
      <c r="W13" t="str">
        <f t="shared" si="5"/>
        <v>Reorder Required</v>
      </c>
      <c r="X13" s="9">
        <f t="shared" si="6"/>
        <v>45566</v>
      </c>
      <c r="Y13">
        <f t="shared" si="7"/>
        <v>-5</v>
      </c>
      <c r="Z13" t="str">
        <f t="shared" si="8"/>
        <v>Invalid Data</v>
      </c>
    </row>
    <row r="14" spans="1:26" x14ac:dyDescent="0.4">
      <c r="A14" t="s">
        <v>110</v>
      </c>
      <c r="B14" t="s">
        <v>111</v>
      </c>
      <c r="C14" t="s">
        <v>112</v>
      </c>
      <c r="D14" t="s">
        <v>113</v>
      </c>
      <c r="E14" t="s">
        <v>114</v>
      </c>
      <c r="F14">
        <v>26</v>
      </c>
      <c r="G14">
        <v>79</v>
      </c>
      <c r="H14">
        <v>31</v>
      </c>
      <c r="I14" t="s">
        <v>85</v>
      </c>
      <c r="J14" s="7">
        <f t="shared" si="0"/>
        <v>3</v>
      </c>
      <c r="K14" t="s">
        <v>115</v>
      </c>
      <c r="L14" s="1">
        <f t="shared" si="1"/>
        <v>45639</v>
      </c>
      <c r="M14" s="1">
        <v>45902</v>
      </c>
      <c r="N14" s="1">
        <f t="shared" si="2"/>
        <v>45902</v>
      </c>
      <c r="O14" t="s">
        <v>116</v>
      </c>
      <c r="P14" s="1">
        <f t="shared" si="3"/>
        <v>45491</v>
      </c>
      <c r="Q14" t="s">
        <v>117</v>
      </c>
      <c r="R14">
        <v>47</v>
      </c>
      <c r="S14">
        <v>41</v>
      </c>
      <c r="T14" t="s">
        <v>26</v>
      </c>
      <c r="U14" s="8">
        <v>141</v>
      </c>
      <c r="V14" s="8">
        <f t="shared" si="4"/>
        <v>78</v>
      </c>
      <c r="W14" t="str">
        <f t="shared" si="5"/>
        <v>Reorder Required</v>
      </c>
      <c r="X14" s="9">
        <f t="shared" si="6"/>
        <v>45627</v>
      </c>
      <c r="Y14">
        <f t="shared" si="7"/>
        <v>-148</v>
      </c>
      <c r="Z14" t="str">
        <f t="shared" si="8"/>
        <v>Invalid Data</v>
      </c>
    </row>
    <row r="15" spans="1:26" x14ac:dyDescent="0.4">
      <c r="A15" t="s">
        <v>118</v>
      </c>
      <c r="B15" t="s">
        <v>53</v>
      </c>
      <c r="C15" t="s">
        <v>54</v>
      </c>
      <c r="D15" t="s">
        <v>119</v>
      </c>
      <c r="E15" t="s">
        <v>120</v>
      </c>
      <c r="F15">
        <v>95</v>
      </c>
      <c r="G15">
        <v>50</v>
      </c>
      <c r="H15">
        <v>76</v>
      </c>
      <c r="I15" t="s">
        <v>57</v>
      </c>
      <c r="J15" s="7">
        <f t="shared" si="0"/>
        <v>4</v>
      </c>
      <c r="K15" s="1">
        <v>45416</v>
      </c>
      <c r="L15" s="1">
        <f t="shared" si="1"/>
        <v>45416</v>
      </c>
      <c r="M15" t="s">
        <v>121</v>
      </c>
      <c r="N15" s="1">
        <f t="shared" si="2"/>
        <v>45556</v>
      </c>
      <c r="O15" s="1">
        <v>45448</v>
      </c>
      <c r="P15" s="1">
        <f t="shared" si="3"/>
        <v>45448</v>
      </c>
      <c r="Q15" t="s">
        <v>122</v>
      </c>
      <c r="R15">
        <v>69</v>
      </c>
      <c r="S15">
        <v>5</v>
      </c>
      <c r="T15" t="s">
        <v>51</v>
      </c>
      <c r="U15" s="8">
        <v>276</v>
      </c>
      <c r="V15" s="8">
        <f t="shared" si="4"/>
        <v>380</v>
      </c>
      <c r="W15" t="str">
        <f t="shared" si="5"/>
        <v>Sufficient Stock</v>
      </c>
      <c r="X15" s="9">
        <f t="shared" si="6"/>
        <v>45413</v>
      </c>
      <c r="Y15">
        <f t="shared" si="7"/>
        <v>32</v>
      </c>
      <c r="Z15" t="str">
        <f t="shared" si="8"/>
        <v>High Risk</v>
      </c>
    </row>
    <row r="16" spans="1:26" x14ac:dyDescent="0.4">
      <c r="A16" t="s">
        <v>123</v>
      </c>
      <c r="B16" t="s">
        <v>124</v>
      </c>
      <c r="C16" t="s">
        <v>54</v>
      </c>
      <c r="D16" t="s">
        <v>125</v>
      </c>
      <c r="E16" t="s">
        <v>126</v>
      </c>
      <c r="F16">
        <v>54</v>
      </c>
      <c r="G16">
        <v>26</v>
      </c>
      <c r="H16">
        <v>16</v>
      </c>
      <c r="I16" t="s">
        <v>39</v>
      </c>
      <c r="J16" s="7">
        <f t="shared" si="0"/>
        <v>6</v>
      </c>
      <c r="K16" s="1">
        <v>45599</v>
      </c>
      <c r="L16" s="1">
        <f t="shared" si="1"/>
        <v>45599</v>
      </c>
      <c r="M16" t="s">
        <v>127</v>
      </c>
      <c r="N16" s="1">
        <f t="shared" si="2"/>
        <v>45473</v>
      </c>
      <c r="O16" t="s">
        <v>128</v>
      </c>
      <c r="P16" s="1">
        <f t="shared" si="3"/>
        <v>45457</v>
      </c>
      <c r="Q16" t="s">
        <v>129</v>
      </c>
      <c r="R16">
        <v>63</v>
      </c>
      <c r="S16">
        <v>97</v>
      </c>
      <c r="T16" t="s">
        <v>51</v>
      </c>
      <c r="U16" s="8">
        <v>378</v>
      </c>
      <c r="V16" s="8">
        <f t="shared" si="4"/>
        <v>324</v>
      </c>
      <c r="W16" t="str">
        <f t="shared" si="5"/>
        <v>Sufficient Stock</v>
      </c>
      <c r="X16" s="9">
        <f t="shared" si="6"/>
        <v>45597</v>
      </c>
      <c r="Y16">
        <f t="shared" si="7"/>
        <v>-142</v>
      </c>
      <c r="Z16" t="str">
        <f t="shared" si="8"/>
        <v>Invalid Data</v>
      </c>
    </row>
    <row r="17" spans="1:26" x14ac:dyDescent="0.4">
      <c r="A17" t="s">
        <v>130</v>
      </c>
      <c r="B17" t="s">
        <v>131</v>
      </c>
      <c r="C17" t="s">
        <v>77</v>
      </c>
      <c r="D17" t="s">
        <v>132</v>
      </c>
      <c r="E17" t="s">
        <v>133</v>
      </c>
      <c r="F17">
        <v>94</v>
      </c>
      <c r="G17">
        <v>13</v>
      </c>
      <c r="H17">
        <v>15</v>
      </c>
      <c r="I17" t="s">
        <v>134</v>
      </c>
      <c r="J17" s="7">
        <f t="shared" si="0"/>
        <v>7</v>
      </c>
      <c r="K17" t="s">
        <v>135</v>
      </c>
      <c r="L17" s="1">
        <f t="shared" si="1"/>
        <v>45349</v>
      </c>
      <c r="M17" s="1">
        <v>45326</v>
      </c>
      <c r="N17" s="1">
        <f t="shared" si="2"/>
        <v>45326</v>
      </c>
      <c r="O17" s="1">
        <v>45422</v>
      </c>
      <c r="P17" s="1">
        <f t="shared" si="3"/>
        <v>45422</v>
      </c>
      <c r="Q17" t="s">
        <v>136</v>
      </c>
      <c r="R17">
        <v>20</v>
      </c>
      <c r="S17">
        <v>24</v>
      </c>
      <c r="T17" t="s">
        <v>42</v>
      </c>
      <c r="U17" s="8">
        <v>140</v>
      </c>
      <c r="V17" s="8">
        <f t="shared" si="4"/>
        <v>658</v>
      </c>
      <c r="W17" t="str">
        <f t="shared" si="5"/>
        <v>Sufficient Stock</v>
      </c>
      <c r="X17" s="9">
        <f t="shared" si="6"/>
        <v>45323</v>
      </c>
      <c r="Y17">
        <f t="shared" si="7"/>
        <v>73</v>
      </c>
      <c r="Z17" t="str">
        <f t="shared" si="8"/>
        <v>High Risk</v>
      </c>
    </row>
    <row r="18" spans="1:26" x14ac:dyDescent="0.4">
      <c r="A18" t="s">
        <v>137</v>
      </c>
      <c r="B18" t="s">
        <v>138</v>
      </c>
      <c r="C18" t="s">
        <v>18</v>
      </c>
      <c r="D18" t="s">
        <v>139</v>
      </c>
      <c r="E18" t="s">
        <v>140</v>
      </c>
      <c r="F18">
        <v>27</v>
      </c>
      <c r="G18">
        <v>93</v>
      </c>
      <c r="H18">
        <v>88</v>
      </c>
      <c r="I18" t="s">
        <v>47</v>
      </c>
      <c r="J18" s="7">
        <f t="shared" si="0"/>
        <v>1.5</v>
      </c>
      <c r="K18" t="s">
        <v>141</v>
      </c>
      <c r="L18" s="1">
        <f t="shared" si="1"/>
        <v>45612</v>
      </c>
      <c r="M18" s="1">
        <v>45538</v>
      </c>
      <c r="N18" s="1">
        <f t="shared" si="2"/>
        <v>45538</v>
      </c>
      <c r="O18" s="1">
        <v>45416</v>
      </c>
      <c r="P18" s="1">
        <f t="shared" si="3"/>
        <v>45416</v>
      </c>
      <c r="Q18" t="s">
        <v>142</v>
      </c>
      <c r="R18">
        <v>66</v>
      </c>
      <c r="S18">
        <v>13</v>
      </c>
      <c r="T18" t="s">
        <v>51</v>
      </c>
      <c r="U18" s="8">
        <v>99</v>
      </c>
      <c r="V18" s="8">
        <f t="shared" si="4"/>
        <v>40.5</v>
      </c>
      <c r="W18" t="str">
        <f t="shared" si="5"/>
        <v>Reorder Required</v>
      </c>
      <c r="X18" s="9">
        <f t="shared" si="6"/>
        <v>45597</v>
      </c>
      <c r="Y18">
        <f t="shared" si="7"/>
        <v>-196</v>
      </c>
      <c r="Z18" t="str">
        <f t="shared" si="8"/>
        <v>Invalid Data</v>
      </c>
    </row>
    <row r="19" spans="1:26" x14ac:dyDescent="0.4">
      <c r="A19" t="s">
        <v>143</v>
      </c>
      <c r="B19" t="s">
        <v>144</v>
      </c>
      <c r="C19" t="s">
        <v>77</v>
      </c>
      <c r="D19" t="s">
        <v>145</v>
      </c>
      <c r="E19" t="s">
        <v>146</v>
      </c>
      <c r="F19">
        <v>49</v>
      </c>
      <c r="G19">
        <v>49</v>
      </c>
      <c r="H19">
        <v>26</v>
      </c>
      <c r="I19" t="s">
        <v>147</v>
      </c>
      <c r="J19" s="7">
        <f t="shared" si="0"/>
        <v>8</v>
      </c>
      <c r="K19" s="1">
        <v>45574</v>
      </c>
      <c r="L19" s="1">
        <f t="shared" si="1"/>
        <v>45574</v>
      </c>
      <c r="M19" t="s">
        <v>148</v>
      </c>
      <c r="N19" s="1">
        <f t="shared" si="2"/>
        <v>45431</v>
      </c>
      <c r="O19" s="1">
        <v>45298</v>
      </c>
      <c r="P19" s="1">
        <f t="shared" si="3"/>
        <v>45298</v>
      </c>
      <c r="Q19" t="s">
        <v>149</v>
      </c>
      <c r="R19">
        <v>78</v>
      </c>
      <c r="S19">
        <v>61</v>
      </c>
      <c r="T19" t="s">
        <v>26</v>
      </c>
      <c r="U19" s="8">
        <v>624</v>
      </c>
      <c r="V19" s="8">
        <f t="shared" si="4"/>
        <v>392</v>
      </c>
      <c r="W19" t="str">
        <f t="shared" si="5"/>
        <v>Reorder Required</v>
      </c>
      <c r="X19" s="9">
        <f t="shared" si="6"/>
        <v>45566</v>
      </c>
      <c r="Y19">
        <f t="shared" si="7"/>
        <v>-276</v>
      </c>
      <c r="Z19" t="str">
        <f t="shared" si="8"/>
        <v>Invalid Data</v>
      </c>
    </row>
    <row r="20" spans="1:26" x14ac:dyDescent="0.4">
      <c r="A20" t="s">
        <v>150</v>
      </c>
      <c r="B20" t="s">
        <v>28</v>
      </c>
      <c r="C20" t="s">
        <v>29</v>
      </c>
      <c r="D20" t="s">
        <v>151</v>
      </c>
      <c r="E20" t="s">
        <v>152</v>
      </c>
      <c r="F20">
        <v>55</v>
      </c>
      <c r="G20">
        <v>93</v>
      </c>
      <c r="H20">
        <v>84</v>
      </c>
      <c r="I20" t="s">
        <v>32</v>
      </c>
      <c r="J20" s="7">
        <f t="shared" si="0"/>
        <v>20</v>
      </c>
      <c r="K20" t="s">
        <v>33</v>
      </c>
      <c r="L20" s="1">
        <f t="shared" si="1"/>
        <v>45441</v>
      </c>
      <c r="M20" s="1">
        <v>45515</v>
      </c>
      <c r="N20" s="1">
        <f t="shared" si="2"/>
        <v>45515</v>
      </c>
      <c r="O20" s="1">
        <v>45417</v>
      </c>
      <c r="P20" s="1">
        <f t="shared" si="3"/>
        <v>45417</v>
      </c>
      <c r="Q20" t="s">
        <v>153</v>
      </c>
      <c r="R20">
        <v>46</v>
      </c>
      <c r="S20">
        <v>84</v>
      </c>
      <c r="T20" t="s">
        <v>51</v>
      </c>
      <c r="U20" s="8">
        <v>920</v>
      </c>
      <c r="V20" s="8">
        <f t="shared" si="4"/>
        <v>1100</v>
      </c>
      <c r="W20" t="str">
        <f t="shared" si="5"/>
        <v>Reorder Required</v>
      </c>
      <c r="X20" s="9">
        <f t="shared" si="6"/>
        <v>45413</v>
      </c>
      <c r="Y20">
        <f t="shared" si="7"/>
        <v>-24</v>
      </c>
      <c r="Z20" t="str">
        <f t="shared" si="8"/>
        <v>Invalid Data</v>
      </c>
    </row>
    <row r="21" spans="1:26" x14ac:dyDescent="0.4">
      <c r="A21" t="s">
        <v>154</v>
      </c>
      <c r="B21" t="s">
        <v>103</v>
      </c>
      <c r="C21" t="s">
        <v>18</v>
      </c>
      <c r="D21" t="s">
        <v>155</v>
      </c>
      <c r="E21" t="s">
        <v>156</v>
      </c>
      <c r="F21">
        <v>65</v>
      </c>
      <c r="G21">
        <v>61</v>
      </c>
      <c r="H21">
        <v>82</v>
      </c>
      <c r="I21" t="s">
        <v>106</v>
      </c>
      <c r="J21" s="7">
        <f t="shared" si="0"/>
        <v>2</v>
      </c>
      <c r="K21" t="s">
        <v>157</v>
      </c>
      <c r="L21" s="1">
        <f t="shared" si="1"/>
        <v>45443</v>
      </c>
      <c r="M21" s="1">
        <v>45871</v>
      </c>
      <c r="N21" s="1">
        <f t="shared" si="2"/>
        <v>45871</v>
      </c>
      <c r="O21" t="s">
        <v>158</v>
      </c>
      <c r="P21" s="1">
        <f t="shared" si="3"/>
        <v>45654</v>
      </c>
      <c r="Q21" t="s">
        <v>159</v>
      </c>
      <c r="R21">
        <v>29</v>
      </c>
      <c r="S21">
        <v>11</v>
      </c>
      <c r="T21" t="s">
        <v>42</v>
      </c>
      <c r="U21" s="8">
        <v>58</v>
      </c>
      <c r="V21" s="8">
        <f t="shared" si="4"/>
        <v>130</v>
      </c>
      <c r="W21" t="str">
        <f t="shared" si="5"/>
        <v>Sufficient Stock</v>
      </c>
      <c r="X21" s="9">
        <f t="shared" si="6"/>
        <v>45413</v>
      </c>
      <c r="Y21">
        <f t="shared" si="7"/>
        <v>211</v>
      </c>
      <c r="Z21" t="str">
        <f t="shared" si="8"/>
        <v>Low Risk</v>
      </c>
    </row>
    <row r="22" spans="1:26" x14ac:dyDescent="0.4">
      <c r="A22" t="s">
        <v>160</v>
      </c>
      <c r="B22" t="s">
        <v>161</v>
      </c>
      <c r="C22" t="s">
        <v>54</v>
      </c>
      <c r="D22" t="s">
        <v>162</v>
      </c>
      <c r="E22" t="s">
        <v>163</v>
      </c>
      <c r="F22">
        <v>72</v>
      </c>
      <c r="G22">
        <v>70</v>
      </c>
      <c r="H22">
        <v>99</v>
      </c>
      <c r="I22" t="s">
        <v>71</v>
      </c>
      <c r="J22" s="7">
        <f t="shared" si="0"/>
        <v>2.5</v>
      </c>
      <c r="K22" s="1">
        <v>45483</v>
      </c>
      <c r="L22" s="1">
        <f t="shared" si="1"/>
        <v>45483</v>
      </c>
      <c r="M22" t="s">
        <v>164</v>
      </c>
      <c r="N22" s="1">
        <f t="shared" si="2"/>
        <v>45440</v>
      </c>
      <c r="O22" t="s">
        <v>165</v>
      </c>
      <c r="P22" s="1">
        <f t="shared" si="3"/>
        <v>45465</v>
      </c>
      <c r="Q22" t="s">
        <v>166</v>
      </c>
      <c r="R22">
        <v>82</v>
      </c>
      <c r="S22">
        <v>32</v>
      </c>
      <c r="T22" t="s">
        <v>26</v>
      </c>
      <c r="U22" s="8">
        <v>205</v>
      </c>
      <c r="V22" s="8">
        <f t="shared" si="4"/>
        <v>180</v>
      </c>
      <c r="W22" t="str">
        <f t="shared" si="5"/>
        <v>Sufficient Stock</v>
      </c>
      <c r="X22" s="9">
        <f t="shared" si="6"/>
        <v>45474</v>
      </c>
      <c r="Y22">
        <f t="shared" si="7"/>
        <v>-18</v>
      </c>
      <c r="Z22" t="str">
        <f t="shared" si="8"/>
        <v>Invalid Data</v>
      </c>
    </row>
    <row r="23" spans="1:26" x14ac:dyDescent="0.4">
      <c r="A23" t="s">
        <v>167</v>
      </c>
      <c r="B23" t="s">
        <v>168</v>
      </c>
      <c r="C23" t="s">
        <v>169</v>
      </c>
      <c r="D23" t="s">
        <v>170</v>
      </c>
      <c r="E23" t="s">
        <v>171</v>
      </c>
      <c r="F23">
        <v>49</v>
      </c>
      <c r="G23">
        <v>73</v>
      </c>
      <c r="H23">
        <v>48</v>
      </c>
      <c r="I23" t="s">
        <v>172</v>
      </c>
      <c r="J23" s="7">
        <f t="shared" si="0"/>
        <v>12</v>
      </c>
      <c r="K23" t="s">
        <v>173</v>
      </c>
      <c r="L23" s="1">
        <f t="shared" si="1"/>
        <v>45521</v>
      </c>
      <c r="M23" s="1">
        <v>45301</v>
      </c>
      <c r="N23" s="1">
        <f t="shared" si="2"/>
        <v>45301</v>
      </c>
      <c r="O23" s="1">
        <v>45360</v>
      </c>
      <c r="P23" s="1">
        <f t="shared" si="3"/>
        <v>45360</v>
      </c>
      <c r="Q23" t="s">
        <v>174</v>
      </c>
      <c r="R23">
        <v>52</v>
      </c>
      <c r="S23">
        <v>62</v>
      </c>
      <c r="T23" t="s">
        <v>51</v>
      </c>
      <c r="U23" s="8">
        <v>624</v>
      </c>
      <c r="V23" s="8">
        <f t="shared" si="4"/>
        <v>588</v>
      </c>
      <c r="W23" t="str">
        <f t="shared" si="5"/>
        <v>Reorder Required</v>
      </c>
      <c r="X23" s="9">
        <f t="shared" si="6"/>
        <v>45505</v>
      </c>
      <c r="Y23">
        <f t="shared" si="7"/>
        <v>-161</v>
      </c>
      <c r="Z23" t="str">
        <f t="shared" si="8"/>
        <v>Invalid Data</v>
      </c>
    </row>
    <row r="24" spans="1:26" x14ac:dyDescent="0.4">
      <c r="A24" t="s">
        <v>175</v>
      </c>
      <c r="B24" t="s">
        <v>176</v>
      </c>
      <c r="C24" t="s">
        <v>54</v>
      </c>
      <c r="D24" t="s">
        <v>177</v>
      </c>
      <c r="E24" t="s">
        <v>178</v>
      </c>
      <c r="F24">
        <v>81</v>
      </c>
      <c r="G24">
        <v>99</v>
      </c>
      <c r="H24">
        <v>28</v>
      </c>
      <c r="I24" t="s">
        <v>106</v>
      </c>
      <c r="J24" s="7">
        <f t="shared" si="0"/>
        <v>2</v>
      </c>
      <c r="K24" t="s">
        <v>179</v>
      </c>
      <c r="L24" s="1">
        <f t="shared" si="1"/>
        <v>45565</v>
      </c>
      <c r="M24" t="s">
        <v>180</v>
      </c>
      <c r="N24" s="1">
        <f t="shared" si="2"/>
        <v>45702</v>
      </c>
      <c r="O24" t="s">
        <v>181</v>
      </c>
      <c r="P24" s="1">
        <f t="shared" si="3"/>
        <v>45407</v>
      </c>
      <c r="Q24" t="s">
        <v>182</v>
      </c>
      <c r="R24">
        <v>20</v>
      </c>
      <c r="S24">
        <v>85</v>
      </c>
      <c r="T24" t="s">
        <v>26</v>
      </c>
      <c r="U24" s="8">
        <v>40</v>
      </c>
      <c r="V24" s="8">
        <f t="shared" si="4"/>
        <v>162</v>
      </c>
      <c r="W24" t="str">
        <f>IF(F24&lt;=G24,"Reorder Required","Sufficient Stock")</f>
        <v>Reorder Required</v>
      </c>
      <c r="X24" s="9">
        <f t="shared" si="6"/>
        <v>45536</v>
      </c>
      <c r="Y24">
        <f t="shared" si="7"/>
        <v>-158</v>
      </c>
      <c r="Z24" t="str">
        <f t="shared" si="8"/>
        <v>Invalid Data</v>
      </c>
    </row>
    <row r="25" spans="1:26" x14ac:dyDescent="0.4">
      <c r="A25" t="s">
        <v>183</v>
      </c>
      <c r="B25" t="s">
        <v>184</v>
      </c>
      <c r="C25" t="s">
        <v>54</v>
      </c>
      <c r="D25" t="s">
        <v>185</v>
      </c>
      <c r="E25" t="s">
        <v>186</v>
      </c>
      <c r="F25">
        <v>88</v>
      </c>
      <c r="G25">
        <v>46</v>
      </c>
      <c r="H25">
        <v>55</v>
      </c>
      <c r="I25" t="s">
        <v>91</v>
      </c>
      <c r="J25" s="7">
        <f t="shared" si="0"/>
        <v>1</v>
      </c>
      <c r="K25" s="1">
        <v>45539</v>
      </c>
      <c r="L25" s="1">
        <f t="shared" si="1"/>
        <v>45539</v>
      </c>
      <c r="M25" s="1">
        <v>45446</v>
      </c>
      <c r="N25" s="1">
        <f t="shared" si="2"/>
        <v>45446</v>
      </c>
      <c r="O25" s="1">
        <v>45634</v>
      </c>
      <c r="P25" s="1">
        <f t="shared" si="3"/>
        <v>45634</v>
      </c>
      <c r="Q25" t="s">
        <v>187</v>
      </c>
      <c r="R25">
        <v>73</v>
      </c>
      <c r="S25">
        <v>63</v>
      </c>
      <c r="T25" t="s">
        <v>51</v>
      </c>
      <c r="U25" s="8">
        <v>73</v>
      </c>
      <c r="V25" s="8">
        <f t="shared" si="4"/>
        <v>88</v>
      </c>
      <c r="W25" t="str">
        <f t="shared" si="5"/>
        <v>Sufficient Stock</v>
      </c>
      <c r="X25" s="9">
        <f t="shared" si="6"/>
        <v>45536</v>
      </c>
      <c r="Y25">
        <f t="shared" si="7"/>
        <v>95</v>
      </c>
      <c r="Z25" t="str">
        <f t="shared" si="8"/>
        <v>Medium Risk</v>
      </c>
    </row>
    <row r="26" spans="1:26" x14ac:dyDescent="0.4">
      <c r="A26" t="s">
        <v>188</v>
      </c>
      <c r="B26" t="s">
        <v>189</v>
      </c>
      <c r="C26" t="s">
        <v>77</v>
      </c>
      <c r="D26" t="s">
        <v>190</v>
      </c>
      <c r="E26" t="s">
        <v>191</v>
      </c>
      <c r="F26">
        <v>63</v>
      </c>
      <c r="G26">
        <v>4</v>
      </c>
      <c r="H26">
        <v>85</v>
      </c>
      <c r="I26" t="s">
        <v>172</v>
      </c>
      <c r="J26" s="7">
        <f t="shared" si="0"/>
        <v>12</v>
      </c>
      <c r="K26" t="s">
        <v>192</v>
      </c>
      <c r="L26" s="1">
        <f t="shared" si="1"/>
        <v>45647</v>
      </c>
      <c r="M26" t="s">
        <v>193</v>
      </c>
      <c r="N26" s="1">
        <f t="shared" si="2"/>
        <v>45670</v>
      </c>
      <c r="O26" t="s">
        <v>179</v>
      </c>
      <c r="P26" s="1">
        <f t="shared" si="3"/>
        <v>45565</v>
      </c>
      <c r="Q26" t="s">
        <v>194</v>
      </c>
      <c r="R26">
        <v>59</v>
      </c>
      <c r="S26">
        <v>71</v>
      </c>
      <c r="T26" t="s">
        <v>51</v>
      </c>
      <c r="U26" s="8">
        <v>708</v>
      </c>
      <c r="V26" s="8">
        <f t="shared" si="4"/>
        <v>756</v>
      </c>
      <c r="W26" t="str">
        <f t="shared" si="5"/>
        <v>Sufficient Stock</v>
      </c>
      <c r="X26" s="9">
        <f t="shared" si="6"/>
        <v>45627</v>
      </c>
      <c r="Y26">
        <f t="shared" si="7"/>
        <v>-82</v>
      </c>
      <c r="Z26" t="str">
        <f t="shared" si="8"/>
        <v>Invalid Data</v>
      </c>
    </row>
    <row r="27" spans="1:26" x14ac:dyDescent="0.4">
      <c r="A27" t="s">
        <v>195</v>
      </c>
      <c r="B27" t="s">
        <v>196</v>
      </c>
      <c r="C27" t="s">
        <v>3801</v>
      </c>
      <c r="D27" t="s">
        <v>197</v>
      </c>
      <c r="E27" t="s">
        <v>198</v>
      </c>
      <c r="F27">
        <v>31</v>
      </c>
      <c r="G27">
        <v>43</v>
      </c>
      <c r="H27">
        <v>80</v>
      </c>
      <c r="I27" t="s">
        <v>47</v>
      </c>
      <c r="J27" s="7">
        <f t="shared" si="0"/>
        <v>1.5</v>
      </c>
      <c r="K27" t="s">
        <v>164</v>
      </c>
      <c r="L27" s="1">
        <f t="shared" si="1"/>
        <v>45440</v>
      </c>
      <c r="M27" t="s">
        <v>199</v>
      </c>
      <c r="N27" s="1">
        <f t="shared" si="2"/>
        <v>45710</v>
      </c>
      <c r="O27" t="s">
        <v>200</v>
      </c>
      <c r="P27" s="1">
        <f t="shared" si="3"/>
        <v>45442</v>
      </c>
      <c r="Q27" t="s">
        <v>201</v>
      </c>
      <c r="R27">
        <v>46</v>
      </c>
      <c r="S27">
        <v>78</v>
      </c>
      <c r="T27" t="s">
        <v>42</v>
      </c>
      <c r="U27" s="8">
        <v>69</v>
      </c>
      <c r="V27" s="8">
        <f t="shared" si="4"/>
        <v>46.5</v>
      </c>
      <c r="W27" t="str">
        <f t="shared" si="5"/>
        <v>Reorder Required</v>
      </c>
      <c r="X27" s="9">
        <f t="shared" si="6"/>
        <v>45413</v>
      </c>
      <c r="Y27">
        <f t="shared" si="7"/>
        <v>2</v>
      </c>
      <c r="Z27" t="str">
        <f t="shared" si="8"/>
        <v>Critical</v>
      </c>
    </row>
    <row r="28" spans="1:26" x14ac:dyDescent="0.4">
      <c r="A28" t="s">
        <v>202</v>
      </c>
      <c r="B28" t="s">
        <v>203</v>
      </c>
      <c r="C28" t="s">
        <v>77</v>
      </c>
      <c r="D28" t="s">
        <v>204</v>
      </c>
      <c r="E28" t="s">
        <v>205</v>
      </c>
      <c r="F28">
        <v>97</v>
      </c>
      <c r="G28">
        <v>88</v>
      </c>
      <c r="H28">
        <v>81</v>
      </c>
      <c r="I28" t="s">
        <v>206</v>
      </c>
      <c r="J28" s="7">
        <f t="shared" si="0"/>
        <v>0.8</v>
      </c>
      <c r="K28" s="1">
        <v>45423</v>
      </c>
      <c r="L28" s="1">
        <f t="shared" si="1"/>
        <v>45423</v>
      </c>
      <c r="M28" s="1">
        <v>45480</v>
      </c>
      <c r="N28" s="1">
        <f t="shared" si="2"/>
        <v>45480</v>
      </c>
      <c r="O28" t="s">
        <v>207</v>
      </c>
      <c r="P28" s="1">
        <f t="shared" si="3"/>
        <v>45469</v>
      </c>
      <c r="Q28" t="s">
        <v>208</v>
      </c>
      <c r="R28">
        <v>97</v>
      </c>
      <c r="S28">
        <v>18</v>
      </c>
      <c r="T28" t="s">
        <v>26</v>
      </c>
      <c r="U28" s="8">
        <v>77.600000000000009</v>
      </c>
      <c r="V28" s="8">
        <f t="shared" si="4"/>
        <v>77.600000000000009</v>
      </c>
      <c r="W28" t="str">
        <f t="shared" si="5"/>
        <v>Sufficient Stock</v>
      </c>
      <c r="X28" s="9">
        <f t="shared" si="6"/>
        <v>45413</v>
      </c>
      <c r="Y28">
        <f t="shared" si="7"/>
        <v>46</v>
      </c>
      <c r="Z28" t="str">
        <f t="shared" si="8"/>
        <v>High Risk</v>
      </c>
    </row>
    <row r="29" spans="1:26" x14ac:dyDescent="0.4">
      <c r="A29" t="s">
        <v>209</v>
      </c>
      <c r="B29" t="s">
        <v>210</v>
      </c>
      <c r="C29" t="s">
        <v>54</v>
      </c>
      <c r="D29" t="s">
        <v>211</v>
      </c>
      <c r="E29" t="s">
        <v>212</v>
      </c>
      <c r="F29">
        <v>72</v>
      </c>
      <c r="G29">
        <v>87</v>
      </c>
      <c r="H29">
        <v>39</v>
      </c>
      <c r="I29" t="s">
        <v>39</v>
      </c>
      <c r="J29" s="7">
        <f t="shared" si="0"/>
        <v>6</v>
      </c>
      <c r="K29" t="s">
        <v>213</v>
      </c>
      <c r="L29" s="1">
        <f t="shared" si="1"/>
        <v>45467</v>
      </c>
      <c r="M29" t="s">
        <v>214</v>
      </c>
      <c r="N29" s="1">
        <f t="shared" si="2"/>
        <v>45712</v>
      </c>
      <c r="O29" t="s">
        <v>215</v>
      </c>
      <c r="P29" s="1">
        <f t="shared" si="3"/>
        <v>45368</v>
      </c>
      <c r="Q29" t="s">
        <v>216</v>
      </c>
      <c r="R29">
        <v>94</v>
      </c>
      <c r="S29">
        <v>57</v>
      </c>
      <c r="T29" t="s">
        <v>51</v>
      </c>
      <c r="U29" s="8">
        <v>564</v>
      </c>
      <c r="V29" s="8">
        <f t="shared" si="4"/>
        <v>432</v>
      </c>
      <c r="W29" t="str">
        <f t="shared" si="5"/>
        <v>Reorder Required</v>
      </c>
      <c r="X29" s="9">
        <f t="shared" si="6"/>
        <v>45444</v>
      </c>
      <c r="Y29">
        <f t="shared" si="7"/>
        <v>-99</v>
      </c>
      <c r="Z29" t="str">
        <f t="shared" si="8"/>
        <v>Invalid Data</v>
      </c>
    </row>
    <row r="30" spans="1:26" x14ac:dyDescent="0.4">
      <c r="A30" t="s">
        <v>217</v>
      </c>
      <c r="B30" t="s">
        <v>218</v>
      </c>
      <c r="C30" t="s">
        <v>112</v>
      </c>
      <c r="D30" t="s">
        <v>219</v>
      </c>
      <c r="E30" t="s">
        <v>178</v>
      </c>
      <c r="F30">
        <v>16</v>
      </c>
      <c r="G30">
        <v>9</v>
      </c>
      <c r="H30">
        <v>32</v>
      </c>
      <c r="I30" t="s">
        <v>220</v>
      </c>
      <c r="J30" s="7">
        <f t="shared" si="0"/>
        <v>5</v>
      </c>
      <c r="K30" t="s">
        <v>221</v>
      </c>
      <c r="L30" s="1">
        <f t="shared" si="1"/>
        <v>45489</v>
      </c>
      <c r="M30" t="s">
        <v>222</v>
      </c>
      <c r="N30" s="1">
        <f t="shared" si="2"/>
        <v>45525</v>
      </c>
      <c r="O30" s="1">
        <v>45840</v>
      </c>
      <c r="P30" s="1">
        <f t="shared" si="3"/>
        <v>45840</v>
      </c>
      <c r="Q30" t="s">
        <v>223</v>
      </c>
      <c r="R30">
        <v>50</v>
      </c>
      <c r="S30">
        <v>98</v>
      </c>
      <c r="T30" t="s">
        <v>42</v>
      </c>
      <c r="U30" s="8">
        <v>250</v>
      </c>
      <c r="V30" s="8">
        <f t="shared" si="4"/>
        <v>80</v>
      </c>
      <c r="W30" t="str">
        <f t="shared" si="5"/>
        <v>Sufficient Stock</v>
      </c>
      <c r="X30" s="9">
        <f t="shared" si="6"/>
        <v>45474</v>
      </c>
      <c r="Y30">
        <f t="shared" si="7"/>
        <v>351</v>
      </c>
      <c r="Z30" t="str">
        <f t="shared" si="8"/>
        <v>Low Risk</v>
      </c>
    </row>
    <row r="31" spans="1:26" x14ac:dyDescent="0.4">
      <c r="A31" t="s">
        <v>224</v>
      </c>
      <c r="B31" t="s">
        <v>225</v>
      </c>
      <c r="C31" t="s">
        <v>54</v>
      </c>
      <c r="D31" t="s">
        <v>226</v>
      </c>
      <c r="E31" t="s">
        <v>227</v>
      </c>
      <c r="F31">
        <v>77</v>
      </c>
      <c r="G31">
        <v>20</v>
      </c>
      <c r="H31">
        <v>5</v>
      </c>
      <c r="I31" t="s">
        <v>21</v>
      </c>
      <c r="J31" s="7">
        <f t="shared" si="0"/>
        <v>4.5</v>
      </c>
      <c r="K31" t="s">
        <v>228</v>
      </c>
      <c r="L31" s="1">
        <f t="shared" si="1"/>
        <v>45522</v>
      </c>
      <c r="M31" t="s">
        <v>229</v>
      </c>
      <c r="N31" s="1">
        <f t="shared" si="2"/>
        <v>45615</v>
      </c>
      <c r="O31" t="s">
        <v>230</v>
      </c>
      <c r="P31" s="1">
        <f t="shared" si="3"/>
        <v>45646</v>
      </c>
      <c r="Q31" t="s">
        <v>231</v>
      </c>
      <c r="R31">
        <v>61</v>
      </c>
      <c r="S31">
        <v>62</v>
      </c>
      <c r="T31" t="s">
        <v>26</v>
      </c>
      <c r="U31" s="8">
        <v>274.5</v>
      </c>
      <c r="V31" s="8">
        <f t="shared" si="4"/>
        <v>346.5</v>
      </c>
      <c r="W31" t="str">
        <f t="shared" si="5"/>
        <v>Sufficient Stock</v>
      </c>
      <c r="X31" s="9">
        <f t="shared" si="6"/>
        <v>45505</v>
      </c>
      <c r="Y31">
        <f t="shared" si="7"/>
        <v>124</v>
      </c>
      <c r="Z31" t="str">
        <f t="shared" si="8"/>
        <v>Medium Risk</v>
      </c>
    </row>
    <row r="32" spans="1:26" x14ac:dyDescent="0.4">
      <c r="A32" t="s">
        <v>232</v>
      </c>
      <c r="B32" t="s">
        <v>233</v>
      </c>
      <c r="C32" t="s">
        <v>54</v>
      </c>
      <c r="D32" t="s">
        <v>234</v>
      </c>
      <c r="E32" t="s">
        <v>235</v>
      </c>
      <c r="F32">
        <v>19</v>
      </c>
      <c r="G32">
        <v>36</v>
      </c>
      <c r="H32">
        <v>72</v>
      </c>
      <c r="I32" t="s">
        <v>63</v>
      </c>
      <c r="J32" s="7">
        <f t="shared" si="0"/>
        <v>1.75</v>
      </c>
      <c r="K32" s="1">
        <v>45356</v>
      </c>
      <c r="L32" s="1">
        <f t="shared" si="1"/>
        <v>45356</v>
      </c>
      <c r="M32" t="s">
        <v>236</v>
      </c>
      <c r="N32" s="1">
        <f t="shared" si="2"/>
        <v>45379</v>
      </c>
      <c r="O32" s="1">
        <v>45446</v>
      </c>
      <c r="P32" s="1">
        <f t="shared" si="3"/>
        <v>45446</v>
      </c>
      <c r="Q32" t="s">
        <v>237</v>
      </c>
      <c r="R32">
        <v>31</v>
      </c>
      <c r="S32">
        <v>81</v>
      </c>
      <c r="T32" t="s">
        <v>42</v>
      </c>
      <c r="U32" s="8">
        <v>54.25</v>
      </c>
      <c r="V32" s="8">
        <f t="shared" si="4"/>
        <v>33.25</v>
      </c>
      <c r="W32" t="str">
        <f t="shared" si="5"/>
        <v>Reorder Required</v>
      </c>
      <c r="X32" s="9">
        <f t="shared" si="6"/>
        <v>45352</v>
      </c>
      <c r="Y32">
        <f t="shared" si="7"/>
        <v>90</v>
      </c>
      <c r="Z32" t="str">
        <f t="shared" si="8"/>
        <v>High Risk</v>
      </c>
    </row>
    <row r="33" spans="1:26" x14ac:dyDescent="0.4">
      <c r="A33" t="s">
        <v>238</v>
      </c>
      <c r="B33" t="s">
        <v>239</v>
      </c>
      <c r="C33" t="s">
        <v>54</v>
      </c>
      <c r="D33" t="s">
        <v>240</v>
      </c>
      <c r="E33" t="s">
        <v>241</v>
      </c>
      <c r="F33">
        <v>18</v>
      </c>
      <c r="G33">
        <v>52</v>
      </c>
      <c r="H33">
        <v>22</v>
      </c>
      <c r="I33" t="s">
        <v>242</v>
      </c>
      <c r="J33" s="7">
        <f t="shared" si="0"/>
        <v>3.5</v>
      </c>
      <c r="K33" t="s">
        <v>243</v>
      </c>
      <c r="L33" s="1">
        <f t="shared" si="1"/>
        <v>45527</v>
      </c>
      <c r="M33" t="s">
        <v>244</v>
      </c>
      <c r="N33" s="1">
        <f t="shared" si="2"/>
        <v>45578</v>
      </c>
      <c r="O33" t="s">
        <v>245</v>
      </c>
      <c r="P33" s="1">
        <f t="shared" si="3"/>
        <v>45563</v>
      </c>
      <c r="Q33" t="s">
        <v>246</v>
      </c>
      <c r="R33">
        <v>42</v>
      </c>
      <c r="S33">
        <v>32</v>
      </c>
      <c r="T33" t="s">
        <v>42</v>
      </c>
      <c r="U33" s="8">
        <v>147</v>
      </c>
      <c r="V33" s="8">
        <f t="shared" si="4"/>
        <v>63</v>
      </c>
      <c r="W33" t="str">
        <f t="shared" si="5"/>
        <v>Reorder Required</v>
      </c>
      <c r="X33" s="9">
        <f t="shared" si="6"/>
        <v>45505</v>
      </c>
      <c r="Y33">
        <f t="shared" si="7"/>
        <v>36</v>
      </c>
      <c r="Z33" t="str">
        <f t="shared" si="8"/>
        <v>High Risk</v>
      </c>
    </row>
    <row r="34" spans="1:26" x14ac:dyDescent="0.4">
      <c r="A34" t="s">
        <v>247</v>
      </c>
      <c r="B34" t="s">
        <v>248</v>
      </c>
      <c r="C34" t="s">
        <v>68</v>
      </c>
      <c r="D34" t="s">
        <v>249</v>
      </c>
      <c r="E34" t="s">
        <v>250</v>
      </c>
      <c r="F34">
        <v>47</v>
      </c>
      <c r="G34">
        <v>48</v>
      </c>
      <c r="H34">
        <v>73</v>
      </c>
      <c r="I34" t="s">
        <v>39</v>
      </c>
      <c r="J34" s="7">
        <f t="shared" si="0"/>
        <v>6</v>
      </c>
      <c r="K34" t="s">
        <v>251</v>
      </c>
      <c r="L34" s="1">
        <f t="shared" si="1"/>
        <v>45517</v>
      </c>
      <c r="M34" t="s">
        <v>252</v>
      </c>
      <c r="N34" s="1">
        <f t="shared" si="2"/>
        <v>45471</v>
      </c>
      <c r="O34" s="1">
        <v>45415</v>
      </c>
      <c r="P34" s="1">
        <f t="shared" si="3"/>
        <v>45415</v>
      </c>
      <c r="Q34" t="s">
        <v>253</v>
      </c>
      <c r="R34">
        <v>42</v>
      </c>
      <c r="S34">
        <v>51</v>
      </c>
      <c r="T34" t="s">
        <v>26</v>
      </c>
      <c r="U34" s="8">
        <v>252</v>
      </c>
      <c r="V34" s="8">
        <f t="shared" si="4"/>
        <v>282</v>
      </c>
      <c r="W34" t="str">
        <f t="shared" si="5"/>
        <v>Reorder Required</v>
      </c>
      <c r="X34" s="9">
        <f t="shared" si="6"/>
        <v>45505</v>
      </c>
      <c r="Y34">
        <f t="shared" si="7"/>
        <v>-102</v>
      </c>
      <c r="Z34" t="str">
        <f t="shared" si="8"/>
        <v>Invalid Data</v>
      </c>
    </row>
    <row r="35" spans="1:26" x14ac:dyDescent="0.4">
      <c r="A35" t="s">
        <v>254</v>
      </c>
      <c r="B35" t="s">
        <v>255</v>
      </c>
      <c r="C35" t="s">
        <v>29</v>
      </c>
      <c r="D35" t="s">
        <v>256</v>
      </c>
      <c r="E35" t="s">
        <v>257</v>
      </c>
      <c r="F35">
        <v>77</v>
      </c>
      <c r="G35">
        <v>45</v>
      </c>
      <c r="H35">
        <v>75</v>
      </c>
      <c r="I35" t="s">
        <v>258</v>
      </c>
      <c r="J35" s="7">
        <f t="shared" si="0"/>
        <v>30</v>
      </c>
      <c r="K35" s="1">
        <v>45423</v>
      </c>
      <c r="L35" s="1">
        <f t="shared" si="1"/>
        <v>45423</v>
      </c>
      <c r="M35" t="s">
        <v>259</v>
      </c>
      <c r="N35" s="1">
        <f t="shared" si="2"/>
        <v>45523</v>
      </c>
      <c r="O35" t="s">
        <v>260</v>
      </c>
      <c r="P35" s="1">
        <f t="shared" si="3"/>
        <v>45466</v>
      </c>
      <c r="Q35" t="s">
        <v>261</v>
      </c>
      <c r="R35">
        <v>25</v>
      </c>
      <c r="S35">
        <v>37</v>
      </c>
      <c r="T35" t="s">
        <v>26</v>
      </c>
      <c r="U35" s="8">
        <v>750</v>
      </c>
      <c r="V35" s="8">
        <f t="shared" si="4"/>
        <v>2310</v>
      </c>
      <c r="W35" t="str">
        <f t="shared" si="5"/>
        <v>Sufficient Stock</v>
      </c>
      <c r="X35" s="9">
        <f t="shared" si="6"/>
        <v>45413</v>
      </c>
      <c r="Y35">
        <f t="shared" si="7"/>
        <v>43</v>
      </c>
      <c r="Z35" t="str">
        <f t="shared" si="8"/>
        <v>High Risk</v>
      </c>
    </row>
    <row r="36" spans="1:26" x14ac:dyDescent="0.4">
      <c r="A36" t="s">
        <v>262</v>
      </c>
      <c r="B36" t="s">
        <v>263</v>
      </c>
      <c r="C36" t="s">
        <v>169</v>
      </c>
      <c r="D36" t="s">
        <v>264</v>
      </c>
      <c r="E36" t="s">
        <v>265</v>
      </c>
      <c r="F36">
        <v>46</v>
      </c>
      <c r="G36">
        <v>28</v>
      </c>
      <c r="H36">
        <v>73</v>
      </c>
      <c r="I36" t="s">
        <v>266</v>
      </c>
      <c r="J36" s="7">
        <f t="shared" si="0"/>
        <v>9</v>
      </c>
      <c r="K36" t="s">
        <v>164</v>
      </c>
      <c r="L36" s="1">
        <f t="shared" si="1"/>
        <v>45440</v>
      </c>
      <c r="M36" t="s">
        <v>267</v>
      </c>
      <c r="N36" s="1">
        <f t="shared" si="2"/>
        <v>45593</v>
      </c>
      <c r="O36" t="s">
        <v>268</v>
      </c>
      <c r="P36" s="1">
        <f t="shared" si="3"/>
        <v>45652</v>
      </c>
      <c r="Q36" t="s">
        <v>269</v>
      </c>
      <c r="R36">
        <v>65</v>
      </c>
      <c r="S36">
        <v>57</v>
      </c>
      <c r="T36" t="s">
        <v>26</v>
      </c>
      <c r="U36" s="8">
        <v>585</v>
      </c>
      <c r="V36" s="8">
        <f t="shared" si="4"/>
        <v>414</v>
      </c>
      <c r="W36" t="str">
        <f t="shared" si="5"/>
        <v>Sufficient Stock</v>
      </c>
      <c r="X36" s="9">
        <f t="shared" si="6"/>
        <v>45413</v>
      </c>
      <c r="Y36">
        <f t="shared" si="7"/>
        <v>212</v>
      </c>
      <c r="Z36" t="str">
        <f t="shared" si="8"/>
        <v>Low Risk</v>
      </c>
    </row>
    <row r="37" spans="1:26" x14ac:dyDescent="0.4">
      <c r="A37" t="s">
        <v>270</v>
      </c>
      <c r="B37" t="s">
        <v>271</v>
      </c>
      <c r="C37" t="s">
        <v>54</v>
      </c>
      <c r="D37" t="s">
        <v>272</v>
      </c>
      <c r="E37" t="s">
        <v>273</v>
      </c>
      <c r="F37">
        <v>39</v>
      </c>
      <c r="G37">
        <v>22</v>
      </c>
      <c r="H37">
        <v>73</v>
      </c>
      <c r="I37" t="s">
        <v>106</v>
      </c>
      <c r="J37" s="7">
        <f t="shared" si="0"/>
        <v>2</v>
      </c>
      <c r="K37" s="1">
        <v>45602</v>
      </c>
      <c r="L37" s="1">
        <f t="shared" si="1"/>
        <v>45602</v>
      </c>
      <c r="M37" t="s">
        <v>274</v>
      </c>
      <c r="N37" s="1">
        <f t="shared" si="2"/>
        <v>45496</v>
      </c>
      <c r="O37" t="s">
        <v>267</v>
      </c>
      <c r="P37" s="1">
        <f t="shared" si="3"/>
        <v>45593</v>
      </c>
      <c r="Q37" t="s">
        <v>275</v>
      </c>
      <c r="R37">
        <v>60</v>
      </c>
      <c r="S37">
        <v>2</v>
      </c>
      <c r="T37" t="s">
        <v>51</v>
      </c>
      <c r="U37" s="8">
        <v>120</v>
      </c>
      <c r="V37" s="8">
        <f t="shared" si="4"/>
        <v>78</v>
      </c>
      <c r="W37" t="str">
        <f t="shared" si="5"/>
        <v>Sufficient Stock</v>
      </c>
      <c r="X37" s="9">
        <f t="shared" si="6"/>
        <v>45597</v>
      </c>
      <c r="Y37">
        <f t="shared" si="7"/>
        <v>-9</v>
      </c>
      <c r="Z37" t="str">
        <f t="shared" si="8"/>
        <v>Invalid Data</v>
      </c>
    </row>
    <row r="38" spans="1:26" x14ac:dyDescent="0.4">
      <c r="A38" t="s">
        <v>276</v>
      </c>
      <c r="B38" t="s">
        <v>17</v>
      </c>
      <c r="C38" t="s">
        <v>18</v>
      </c>
      <c r="D38" t="s">
        <v>277</v>
      </c>
      <c r="E38" t="s">
        <v>278</v>
      </c>
      <c r="F38">
        <v>75</v>
      </c>
      <c r="G38">
        <v>69</v>
      </c>
      <c r="H38">
        <v>100</v>
      </c>
      <c r="I38" t="s">
        <v>21</v>
      </c>
      <c r="J38" s="7">
        <f t="shared" si="0"/>
        <v>4.5</v>
      </c>
      <c r="K38" s="1">
        <v>45603</v>
      </c>
      <c r="L38" s="1">
        <f t="shared" si="1"/>
        <v>45603</v>
      </c>
      <c r="M38" t="s">
        <v>279</v>
      </c>
      <c r="N38" s="1">
        <f t="shared" si="2"/>
        <v>45676</v>
      </c>
      <c r="O38" t="s">
        <v>280</v>
      </c>
      <c r="P38" s="1">
        <f t="shared" si="3"/>
        <v>45704</v>
      </c>
      <c r="Q38" t="s">
        <v>281</v>
      </c>
      <c r="R38">
        <v>43</v>
      </c>
      <c r="S38">
        <v>18</v>
      </c>
      <c r="T38" t="s">
        <v>42</v>
      </c>
      <c r="U38" s="8">
        <v>193.5</v>
      </c>
      <c r="V38" s="8">
        <f t="shared" si="4"/>
        <v>337.5</v>
      </c>
      <c r="W38" t="str">
        <f t="shared" si="5"/>
        <v>Sufficient Stock</v>
      </c>
      <c r="X38" s="9">
        <f t="shared" si="6"/>
        <v>45597</v>
      </c>
      <c r="Y38">
        <f t="shared" si="7"/>
        <v>101</v>
      </c>
      <c r="Z38" t="str">
        <f t="shared" si="8"/>
        <v>Medium Risk</v>
      </c>
    </row>
    <row r="39" spans="1:26" x14ac:dyDescent="0.4">
      <c r="A39" t="s">
        <v>282</v>
      </c>
      <c r="B39" t="s">
        <v>239</v>
      </c>
      <c r="C39" t="s">
        <v>54</v>
      </c>
      <c r="D39" t="s">
        <v>283</v>
      </c>
      <c r="E39" t="s">
        <v>284</v>
      </c>
      <c r="F39">
        <v>48</v>
      </c>
      <c r="G39">
        <v>48</v>
      </c>
      <c r="H39">
        <v>39</v>
      </c>
      <c r="I39" t="s">
        <v>285</v>
      </c>
      <c r="J39" s="7">
        <f t="shared" si="0"/>
        <v>3.45</v>
      </c>
      <c r="K39" t="s">
        <v>215</v>
      </c>
      <c r="L39" s="1">
        <f t="shared" si="1"/>
        <v>45368</v>
      </c>
      <c r="M39" t="s">
        <v>286</v>
      </c>
      <c r="N39" s="1">
        <f t="shared" si="2"/>
        <v>45682</v>
      </c>
      <c r="O39" t="s">
        <v>287</v>
      </c>
      <c r="P39" s="1">
        <f t="shared" si="3"/>
        <v>45595</v>
      </c>
      <c r="Q39" t="s">
        <v>288</v>
      </c>
      <c r="R39">
        <v>51</v>
      </c>
      <c r="S39">
        <v>50</v>
      </c>
      <c r="T39" t="s">
        <v>26</v>
      </c>
      <c r="U39" s="8">
        <v>175.95000000000002</v>
      </c>
      <c r="V39" s="8">
        <f t="shared" si="4"/>
        <v>165.60000000000002</v>
      </c>
      <c r="W39" t="str">
        <f t="shared" si="5"/>
        <v>Reorder Required</v>
      </c>
      <c r="X39" s="9">
        <f t="shared" si="6"/>
        <v>45352</v>
      </c>
      <c r="Y39">
        <f t="shared" si="7"/>
        <v>227</v>
      </c>
      <c r="Z39" t="str">
        <f t="shared" si="8"/>
        <v>Low Risk</v>
      </c>
    </row>
    <row r="40" spans="1:26" x14ac:dyDescent="0.4">
      <c r="A40" t="s">
        <v>289</v>
      </c>
      <c r="B40" t="s">
        <v>290</v>
      </c>
      <c r="C40" t="s">
        <v>54</v>
      </c>
      <c r="D40" t="s">
        <v>291</v>
      </c>
      <c r="E40" t="s">
        <v>292</v>
      </c>
      <c r="F40">
        <v>61</v>
      </c>
      <c r="G40">
        <v>90</v>
      </c>
      <c r="H40">
        <v>26</v>
      </c>
      <c r="I40" t="s">
        <v>71</v>
      </c>
      <c r="J40" s="7">
        <f t="shared" si="0"/>
        <v>2.5</v>
      </c>
      <c r="K40" t="s">
        <v>293</v>
      </c>
      <c r="L40" s="1">
        <f t="shared" si="1"/>
        <v>45648</v>
      </c>
      <c r="M40" s="1">
        <v>45482</v>
      </c>
      <c r="N40" s="1">
        <f t="shared" si="2"/>
        <v>45482</v>
      </c>
      <c r="O40" t="s">
        <v>24</v>
      </c>
      <c r="P40" s="1">
        <f t="shared" si="3"/>
        <v>45554</v>
      </c>
      <c r="Q40" t="s">
        <v>294</v>
      </c>
      <c r="R40">
        <v>79</v>
      </c>
      <c r="S40">
        <v>84</v>
      </c>
      <c r="T40" t="s">
        <v>26</v>
      </c>
      <c r="U40" s="8">
        <v>197.5</v>
      </c>
      <c r="V40" s="8">
        <f t="shared" si="4"/>
        <v>152.5</v>
      </c>
      <c r="W40" t="str">
        <f t="shared" si="5"/>
        <v>Reorder Required</v>
      </c>
      <c r="X40" s="9">
        <f t="shared" si="6"/>
        <v>45627</v>
      </c>
      <c r="Y40">
        <f t="shared" si="7"/>
        <v>-94</v>
      </c>
      <c r="Z40" t="str">
        <f t="shared" si="8"/>
        <v>Invalid Data</v>
      </c>
    </row>
    <row r="41" spans="1:26" x14ac:dyDescent="0.4">
      <c r="A41" t="s">
        <v>295</v>
      </c>
      <c r="B41" t="s">
        <v>296</v>
      </c>
      <c r="C41" t="s">
        <v>18</v>
      </c>
      <c r="D41" t="s">
        <v>297</v>
      </c>
      <c r="E41" t="s">
        <v>298</v>
      </c>
      <c r="F41">
        <v>60</v>
      </c>
      <c r="G41">
        <v>90</v>
      </c>
      <c r="H41">
        <v>85</v>
      </c>
      <c r="I41" t="s">
        <v>85</v>
      </c>
      <c r="J41" s="7">
        <f t="shared" si="0"/>
        <v>3</v>
      </c>
      <c r="K41" t="s">
        <v>299</v>
      </c>
      <c r="L41" s="1">
        <f t="shared" si="1"/>
        <v>45678</v>
      </c>
      <c r="M41" t="s">
        <v>300</v>
      </c>
      <c r="N41" s="1">
        <f t="shared" si="2"/>
        <v>45371</v>
      </c>
      <c r="O41" t="s">
        <v>301</v>
      </c>
      <c r="P41" s="1">
        <f t="shared" si="3"/>
        <v>45528</v>
      </c>
      <c r="Q41" t="s">
        <v>302</v>
      </c>
      <c r="R41">
        <v>47</v>
      </c>
      <c r="S41">
        <v>9</v>
      </c>
      <c r="T41" t="s">
        <v>26</v>
      </c>
      <c r="U41" s="8">
        <v>141</v>
      </c>
      <c r="V41" s="8">
        <f t="shared" si="4"/>
        <v>180</v>
      </c>
      <c r="W41" t="str">
        <f t="shared" si="5"/>
        <v>Reorder Required</v>
      </c>
      <c r="X41" s="9">
        <f t="shared" si="6"/>
        <v>45658</v>
      </c>
      <c r="Y41">
        <f t="shared" si="7"/>
        <v>-150</v>
      </c>
      <c r="Z41" t="str">
        <f t="shared" si="8"/>
        <v>Invalid Data</v>
      </c>
    </row>
    <row r="42" spans="1:26" x14ac:dyDescent="0.4">
      <c r="A42" t="s">
        <v>303</v>
      </c>
      <c r="B42" t="s">
        <v>304</v>
      </c>
      <c r="C42" t="s">
        <v>54</v>
      </c>
      <c r="D42" t="s">
        <v>305</v>
      </c>
      <c r="E42" t="s">
        <v>306</v>
      </c>
      <c r="F42">
        <v>24</v>
      </c>
      <c r="G42">
        <v>55</v>
      </c>
      <c r="H42">
        <v>51</v>
      </c>
      <c r="I42" t="s">
        <v>220</v>
      </c>
      <c r="J42" s="7">
        <f t="shared" si="0"/>
        <v>5</v>
      </c>
      <c r="K42" t="s">
        <v>307</v>
      </c>
      <c r="L42" s="1">
        <f t="shared" si="1"/>
        <v>45408</v>
      </c>
      <c r="M42" t="s">
        <v>214</v>
      </c>
      <c r="N42" s="1">
        <f t="shared" si="2"/>
        <v>45712</v>
      </c>
      <c r="O42" t="s">
        <v>308</v>
      </c>
      <c r="P42" s="1">
        <f t="shared" si="3"/>
        <v>45621</v>
      </c>
      <c r="Q42" t="s">
        <v>309</v>
      </c>
      <c r="R42">
        <v>39</v>
      </c>
      <c r="S42">
        <v>15</v>
      </c>
      <c r="T42" t="s">
        <v>26</v>
      </c>
      <c r="U42" s="8">
        <v>195</v>
      </c>
      <c r="V42" s="8">
        <f t="shared" si="4"/>
        <v>120</v>
      </c>
      <c r="W42" t="str">
        <f t="shared" si="5"/>
        <v>Reorder Required</v>
      </c>
      <c r="X42" s="9">
        <f t="shared" si="6"/>
        <v>45383</v>
      </c>
      <c r="Y42">
        <f t="shared" si="7"/>
        <v>213</v>
      </c>
      <c r="Z42" t="str">
        <f t="shared" si="8"/>
        <v>Low Risk</v>
      </c>
    </row>
    <row r="43" spans="1:26" x14ac:dyDescent="0.4">
      <c r="A43" t="s">
        <v>310</v>
      </c>
      <c r="B43" t="s">
        <v>311</v>
      </c>
      <c r="C43" t="s">
        <v>54</v>
      </c>
      <c r="D43" t="s">
        <v>312</v>
      </c>
      <c r="E43" t="s">
        <v>313</v>
      </c>
      <c r="F43">
        <v>12</v>
      </c>
      <c r="G43">
        <v>7</v>
      </c>
      <c r="H43">
        <v>48</v>
      </c>
      <c r="I43" t="s">
        <v>314</v>
      </c>
      <c r="J43" s="7">
        <f t="shared" si="0"/>
        <v>2.2999999999999998</v>
      </c>
      <c r="K43" t="s">
        <v>213</v>
      </c>
      <c r="L43" s="1">
        <f t="shared" si="1"/>
        <v>45467</v>
      </c>
      <c r="M43" t="s">
        <v>315</v>
      </c>
      <c r="N43" s="1">
        <f t="shared" si="2"/>
        <v>45651</v>
      </c>
      <c r="O43" s="1">
        <v>45418</v>
      </c>
      <c r="P43" s="1">
        <f t="shared" si="3"/>
        <v>45418</v>
      </c>
      <c r="Q43" t="s">
        <v>316</v>
      </c>
      <c r="R43">
        <v>66</v>
      </c>
      <c r="S43">
        <v>4</v>
      </c>
      <c r="T43" t="s">
        <v>26</v>
      </c>
      <c r="U43" s="8">
        <v>151.79999999999998</v>
      </c>
      <c r="V43" s="8">
        <f t="shared" si="4"/>
        <v>27.599999999999998</v>
      </c>
      <c r="W43" t="str">
        <f t="shared" si="5"/>
        <v>Sufficient Stock</v>
      </c>
      <c r="X43" s="9">
        <f t="shared" si="6"/>
        <v>45444</v>
      </c>
      <c r="Y43">
        <f t="shared" si="7"/>
        <v>-49</v>
      </c>
      <c r="Z43" t="str">
        <f t="shared" si="8"/>
        <v>Invalid Data</v>
      </c>
    </row>
    <row r="44" spans="1:26" x14ac:dyDescent="0.4">
      <c r="A44" t="s">
        <v>317</v>
      </c>
      <c r="B44" t="s">
        <v>318</v>
      </c>
      <c r="C44" t="s">
        <v>29</v>
      </c>
      <c r="D44" t="s">
        <v>319</v>
      </c>
      <c r="E44" t="s">
        <v>205</v>
      </c>
      <c r="F44">
        <v>84</v>
      </c>
      <c r="G44">
        <v>13</v>
      </c>
      <c r="H44">
        <v>88</v>
      </c>
      <c r="I44" t="s">
        <v>320</v>
      </c>
      <c r="J44" s="7">
        <f t="shared" si="0"/>
        <v>15</v>
      </c>
      <c r="K44" t="s">
        <v>321</v>
      </c>
      <c r="L44" s="1">
        <f t="shared" si="1"/>
        <v>45683</v>
      </c>
      <c r="M44" s="1">
        <v>45394</v>
      </c>
      <c r="N44" s="1">
        <f t="shared" si="2"/>
        <v>45394</v>
      </c>
      <c r="O44" t="s">
        <v>322</v>
      </c>
      <c r="P44" s="1">
        <f t="shared" si="3"/>
        <v>45495</v>
      </c>
      <c r="Q44" t="s">
        <v>323</v>
      </c>
      <c r="R44">
        <v>25</v>
      </c>
      <c r="S44">
        <v>34</v>
      </c>
      <c r="T44" t="s">
        <v>42</v>
      </c>
      <c r="U44" s="8">
        <v>375</v>
      </c>
      <c r="V44" s="8">
        <f t="shared" si="4"/>
        <v>1260</v>
      </c>
      <c r="W44" t="str">
        <f t="shared" si="5"/>
        <v>Sufficient Stock</v>
      </c>
      <c r="X44" s="9">
        <f t="shared" si="6"/>
        <v>45658</v>
      </c>
      <c r="Y44">
        <f t="shared" si="7"/>
        <v>-188</v>
      </c>
      <c r="Z44" t="str">
        <f t="shared" si="8"/>
        <v>Invalid Data</v>
      </c>
    </row>
    <row r="45" spans="1:26" x14ac:dyDescent="0.4">
      <c r="A45" t="s">
        <v>324</v>
      </c>
      <c r="B45" t="s">
        <v>325</v>
      </c>
      <c r="C45" t="s">
        <v>77</v>
      </c>
      <c r="D45" t="s">
        <v>326</v>
      </c>
      <c r="E45" t="s">
        <v>327</v>
      </c>
      <c r="F45">
        <v>51</v>
      </c>
      <c r="G45">
        <v>100</v>
      </c>
      <c r="H45">
        <v>70</v>
      </c>
      <c r="I45" t="s">
        <v>85</v>
      </c>
      <c r="J45" s="7">
        <f t="shared" si="0"/>
        <v>3</v>
      </c>
      <c r="K45" t="s">
        <v>328</v>
      </c>
      <c r="L45" s="1">
        <f t="shared" si="1"/>
        <v>45412</v>
      </c>
      <c r="M45" t="s">
        <v>329</v>
      </c>
      <c r="N45" s="1">
        <f t="shared" si="2"/>
        <v>45586</v>
      </c>
      <c r="O45" t="s">
        <v>40</v>
      </c>
      <c r="P45" s="1">
        <f t="shared" si="3"/>
        <v>45557</v>
      </c>
      <c r="Q45" t="s">
        <v>330</v>
      </c>
      <c r="R45">
        <v>40</v>
      </c>
      <c r="S45">
        <v>21</v>
      </c>
      <c r="T45" t="s">
        <v>26</v>
      </c>
      <c r="U45" s="8">
        <v>120</v>
      </c>
      <c r="V45" s="8">
        <f t="shared" si="4"/>
        <v>153</v>
      </c>
      <c r="W45" t="str">
        <f t="shared" si="5"/>
        <v>Reorder Required</v>
      </c>
      <c r="X45" s="9">
        <f t="shared" si="6"/>
        <v>45383</v>
      </c>
      <c r="Y45">
        <f t="shared" si="7"/>
        <v>145</v>
      </c>
      <c r="Z45" t="str">
        <f t="shared" si="8"/>
        <v>Medium Risk</v>
      </c>
    </row>
    <row r="46" spans="1:26" x14ac:dyDescent="0.4">
      <c r="A46" t="s">
        <v>331</v>
      </c>
      <c r="B46" t="s">
        <v>332</v>
      </c>
      <c r="C46" t="s">
        <v>112</v>
      </c>
      <c r="D46" t="s">
        <v>333</v>
      </c>
      <c r="E46" t="s">
        <v>334</v>
      </c>
      <c r="F46">
        <v>65</v>
      </c>
      <c r="G46">
        <v>36</v>
      </c>
      <c r="H46">
        <v>37</v>
      </c>
      <c r="I46" t="s">
        <v>242</v>
      </c>
      <c r="J46" s="7">
        <f t="shared" si="0"/>
        <v>3.5</v>
      </c>
      <c r="K46" t="s">
        <v>335</v>
      </c>
      <c r="L46" s="1">
        <f t="shared" si="1"/>
        <v>45403</v>
      </c>
      <c r="M46" s="1">
        <v>45632</v>
      </c>
      <c r="N46" s="1">
        <f t="shared" si="2"/>
        <v>45632</v>
      </c>
      <c r="O46" t="s">
        <v>336</v>
      </c>
      <c r="P46" s="1">
        <f t="shared" si="3"/>
        <v>45681</v>
      </c>
      <c r="Q46" t="s">
        <v>337</v>
      </c>
      <c r="R46">
        <v>32</v>
      </c>
      <c r="S46">
        <v>70</v>
      </c>
      <c r="T46" t="s">
        <v>42</v>
      </c>
      <c r="U46" s="8">
        <v>112</v>
      </c>
      <c r="V46" s="8">
        <f t="shared" si="4"/>
        <v>227.5</v>
      </c>
      <c r="W46" t="str">
        <f t="shared" si="5"/>
        <v>Sufficient Stock</v>
      </c>
      <c r="X46" s="9">
        <f t="shared" si="6"/>
        <v>45383</v>
      </c>
      <c r="Y46">
        <f t="shared" si="7"/>
        <v>278</v>
      </c>
      <c r="Z46" t="str">
        <f t="shared" si="8"/>
        <v>Low Risk</v>
      </c>
    </row>
    <row r="47" spans="1:26" x14ac:dyDescent="0.4">
      <c r="A47" t="s">
        <v>338</v>
      </c>
      <c r="B47" t="s">
        <v>44</v>
      </c>
      <c r="C47" t="s">
        <v>18</v>
      </c>
      <c r="D47" t="s">
        <v>339</v>
      </c>
      <c r="E47" t="s">
        <v>340</v>
      </c>
      <c r="F47">
        <v>67</v>
      </c>
      <c r="G47">
        <v>88</v>
      </c>
      <c r="H47">
        <v>32</v>
      </c>
      <c r="I47" t="s">
        <v>47</v>
      </c>
      <c r="J47" s="7">
        <f t="shared" si="0"/>
        <v>1.5</v>
      </c>
      <c r="K47" s="1">
        <v>45447</v>
      </c>
      <c r="L47" s="1">
        <f t="shared" si="1"/>
        <v>45447</v>
      </c>
      <c r="M47" s="1">
        <v>45296</v>
      </c>
      <c r="N47" s="1">
        <f t="shared" si="2"/>
        <v>45296</v>
      </c>
      <c r="O47" t="s">
        <v>341</v>
      </c>
      <c r="P47" s="1">
        <f t="shared" si="3"/>
        <v>45613</v>
      </c>
      <c r="Q47" t="s">
        <v>342</v>
      </c>
      <c r="R47">
        <v>66</v>
      </c>
      <c r="S47">
        <v>42</v>
      </c>
      <c r="T47" t="s">
        <v>26</v>
      </c>
      <c r="U47" s="8">
        <v>99</v>
      </c>
      <c r="V47" s="8">
        <f t="shared" si="4"/>
        <v>100.5</v>
      </c>
      <c r="W47" t="str">
        <f t="shared" si="5"/>
        <v>Reorder Required</v>
      </c>
      <c r="X47" s="9">
        <f t="shared" si="6"/>
        <v>45444</v>
      </c>
      <c r="Y47">
        <f t="shared" si="7"/>
        <v>166</v>
      </c>
      <c r="Z47" t="str">
        <f t="shared" si="8"/>
        <v>Medium Risk</v>
      </c>
    </row>
    <row r="48" spans="1:26" x14ac:dyDescent="0.4">
      <c r="A48" t="s">
        <v>343</v>
      </c>
      <c r="B48" t="s">
        <v>138</v>
      </c>
      <c r="C48" t="s">
        <v>18</v>
      </c>
      <c r="D48" t="s">
        <v>344</v>
      </c>
      <c r="E48" t="s">
        <v>345</v>
      </c>
      <c r="F48">
        <v>14</v>
      </c>
      <c r="G48">
        <v>74</v>
      </c>
      <c r="H48">
        <v>71</v>
      </c>
      <c r="I48" t="s">
        <v>47</v>
      </c>
      <c r="J48" s="7">
        <f t="shared" si="0"/>
        <v>1.5</v>
      </c>
      <c r="K48" t="s">
        <v>228</v>
      </c>
      <c r="L48" s="1">
        <f t="shared" si="1"/>
        <v>45522</v>
      </c>
      <c r="M48" t="s">
        <v>346</v>
      </c>
      <c r="N48" s="1">
        <f t="shared" si="2"/>
        <v>45618</v>
      </c>
      <c r="O48" t="s">
        <v>347</v>
      </c>
      <c r="P48" s="1">
        <f t="shared" si="3"/>
        <v>45428</v>
      </c>
      <c r="Q48" t="s">
        <v>348</v>
      </c>
      <c r="R48">
        <v>37</v>
      </c>
      <c r="S48">
        <v>22</v>
      </c>
      <c r="T48" t="s">
        <v>26</v>
      </c>
      <c r="U48" s="8">
        <v>55.5</v>
      </c>
      <c r="V48" s="8">
        <f t="shared" si="4"/>
        <v>21</v>
      </c>
      <c r="W48" t="str">
        <f t="shared" si="5"/>
        <v>Reorder Required</v>
      </c>
      <c r="X48" s="9">
        <f t="shared" si="6"/>
        <v>45505</v>
      </c>
      <c r="Y48">
        <f t="shared" si="7"/>
        <v>-94</v>
      </c>
      <c r="Z48" t="str">
        <f t="shared" si="8"/>
        <v>Invalid Data</v>
      </c>
    </row>
    <row r="49" spans="1:26" x14ac:dyDescent="0.4">
      <c r="A49" t="s">
        <v>349</v>
      </c>
      <c r="B49" t="s">
        <v>350</v>
      </c>
      <c r="C49" t="s">
        <v>54</v>
      </c>
      <c r="D49" t="s">
        <v>351</v>
      </c>
      <c r="E49" t="s">
        <v>352</v>
      </c>
      <c r="F49">
        <v>45</v>
      </c>
      <c r="G49">
        <v>24</v>
      </c>
      <c r="H49">
        <v>61</v>
      </c>
      <c r="I49" t="s">
        <v>39</v>
      </c>
      <c r="J49" s="7">
        <f t="shared" si="0"/>
        <v>6</v>
      </c>
      <c r="K49" t="s">
        <v>299</v>
      </c>
      <c r="L49" s="1">
        <f t="shared" si="1"/>
        <v>45678</v>
      </c>
      <c r="M49" s="1">
        <v>45840</v>
      </c>
      <c r="N49" s="1">
        <f t="shared" si="2"/>
        <v>45840</v>
      </c>
      <c r="O49" t="s">
        <v>353</v>
      </c>
      <c r="P49" s="1">
        <f t="shared" si="3"/>
        <v>45703</v>
      </c>
      <c r="Q49" t="s">
        <v>354</v>
      </c>
      <c r="R49">
        <v>44</v>
      </c>
      <c r="S49">
        <v>34</v>
      </c>
      <c r="T49" t="s">
        <v>42</v>
      </c>
      <c r="U49" s="8">
        <v>264</v>
      </c>
      <c r="V49" s="8">
        <f t="shared" si="4"/>
        <v>270</v>
      </c>
      <c r="W49" t="str">
        <f t="shared" si="5"/>
        <v>Sufficient Stock</v>
      </c>
      <c r="X49" s="9">
        <f t="shared" si="6"/>
        <v>45658</v>
      </c>
      <c r="Y49">
        <f t="shared" si="7"/>
        <v>25</v>
      </c>
      <c r="Z49" t="str">
        <f t="shared" si="8"/>
        <v>Critical</v>
      </c>
    </row>
    <row r="50" spans="1:26" x14ac:dyDescent="0.4">
      <c r="A50" t="s">
        <v>355</v>
      </c>
      <c r="B50" t="s">
        <v>304</v>
      </c>
      <c r="C50" t="s">
        <v>54</v>
      </c>
      <c r="D50" t="s">
        <v>356</v>
      </c>
      <c r="E50" t="s">
        <v>357</v>
      </c>
      <c r="F50">
        <v>92</v>
      </c>
      <c r="G50">
        <v>46</v>
      </c>
      <c r="H50">
        <v>13</v>
      </c>
      <c r="I50" t="s">
        <v>220</v>
      </c>
      <c r="J50" s="7">
        <f t="shared" si="0"/>
        <v>5</v>
      </c>
      <c r="K50" t="s">
        <v>358</v>
      </c>
      <c r="L50" s="1">
        <f t="shared" si="1"/>
        <v>45501</v>
      </c>
      <c r="M50" t="s">
        <v>359</v>
      </c>
      <c r="N50" s="1">
        <f t="shared" si="2"/>
        <v>45583</v>
      </c>
      <c r="O50" t="s">
        <v>360</v>
      </c>
      <c r="P50" s="1">
        <f t="shared" si="3"/>
        <v>45377</v>
      </c>
      <c r="Q50" t="s">
        <v>361</v>
      </c>
      <c r="R50">
        <v>24</v>
      </c>
      <c r="S50">
        <v>75</v>
      </c>
      <c r="T50" t="s">
        <v>26</v>
      </c>
      <c r="U50" s="8">
        <v>120</v>
      </c>
      <c r="V50" s="8">
        <f t="shared" si="4"/>
        <v>460</v>
      </c>
      <c r="W50" t="str">
        <f t="shared" si="5"/>
        <v>Sufficient Stock</v>
      </c>
      <c r="X50" s="9">
        <f t="shared" si="6"/>
        <v>45474</v>
      </c>
      <c r="Y50">
        <f t="shared" si="7"/>
        <v>-124</v>
      </c>
      <c r="Z50" t="str">
        <f t="shared" si="8"/>
        <v>Invalid Data</v>
      </c>
    </row>
    <row r="51" spans="1:26" x14ac:dyDescent="0.4">
      <c r="A51" t="s">
        <v>362</v>
      </c>
      <c r="B51" t="s">
        <v>363</v>
      </c>
      <c r="C51" t="s">
        <v>112</v>
      </c>
      <c r="D51" t="s">
        <v>364</v>
      </c>
      <c r="E51" t="s">
        <v>365</v>
      </c>
      <c r="F51">
        <v>41</v>
      </c>
      <c r="G51">
        <v>84</v>
      </c>
      <c r="H51">
        <v>90</v>
      </c>
      <c r="I51" t="s">
        <v>57</v>
      </c>
      <c r="J51" s="7">
        <f t="shared" si="0"/>
        <v>4</v>
      </c>
      <c r="K51" t="s">
        <v>366</v>
      </c>
      <c r="L51" s="1">
        <f t="shared" si="1"/>
        <v>45685</v>
      </c>
      <c r="M51" t="s">
        <v>367</v>
      </c>
      <c r="N51" s="1">
        <f t="shared" si="2"/>
        <v>45624</v>
      </c>
      <c r="O51" s="1">
        <v>45637</v>
      </c>
      <c r="P51" s="1">
        <f t="shared" si="3"/>
        <v>45637</v>
      </c>
      <c r="Q51" t="s">
        <v>368</v>
      </c>
      <c r="R51">
        <v>42</v>
      </c>
      <c r="S51">
        <v>65</v>
      </c>
      <c r="T51" t="s">
        <v>51</v>
      </c>
      <c r="U51" s="8">
        <v>168</v>
      </c>
      <c r="V51" s="8">
        <f t="shared" si="4"/>
        <v>164</v>
      </c>
      <c r="W51" t="str">
        <f t="shared" si="5"/>
        <v>Reorder Required</v>
      </c>
      <c r="X51" s="9">
        <f t="shared" si="6"/>
        <v>45658</v>
      </c>
      <c r="Y51">
        <f t="shared" si="7"/>
        <v>-48</v>
      </c>
      <c r="Z51" t="str">
        <f t="shared" si="8"/>
        <v>Invalid Data</v>
      </c>
    </row>
    <row r="52" spans="1:26" x14ac:dyDescent="0.4">
      <c r="A52" t="s">
        <v>369</v>
      </c>
      <c r="B52" t="s">
        <v>296</v>
      </c>
      <c r="C52" t="s">
        <v>18</v>
      </c>
      <c r="D52" t="s">
        <v>370</v>
      </c>
      <c r="E52" t="s">
        <v>371</v>
      </c>
      <c r="F52">
        <v>41</v>
      </c>
      <c r="G52">
        <v>36</v>
      </c>
      <c r="H52">
        <v>78</v>
      </c>
      <c r="I52" t="s">
        <v>21</v>
      </c>
      <c r="J52" s="7">
        <f t="shared" si="0"/>
        <v>4.5</v>
      </c>
      <c r="K52" s="1">
        <v>45389</v>
      </c>
      <c r="L52" s="1">
        <f t="shared" si="1"/>
        <v>45389</v>
      </c>
      <c r="M52" s="1">
        <v>45392</v>
      </c>
      <c r="N52" s="1">
        <f t="shared" si="2"/>
        <v>45392</v>
      </c>
      <c r="O52" t="s">
        <v>372</v>
      </c>
      <c r="P52" s="1">
        <f t="shared" si="3"/>
        <v>45427</v>
      </c>
      <c r="Q52" t="s">
        <v>373</v>
      </c>
      <c r="R52">
        <v>38</v>
      </c>
      <c r="S52">
        <v>75</v>
      </c>
      <c r="T52" t="s">
        <v>42</v>
      </c>
      <c r="U52" s="8">
        <v>171</v>
      </c>
      <c r="V52" s="8">
        <f t="shared" si="4"/>
        <v>184.5</v>
      </c>
      <c r="W52" t="str">
        <f t="shared" si="5"/>
        <v>Sufficient Stock</v>
      </c>
      <c r="X52" s="9">
        <f t="shared" si="6"/>
        <v>45383</v>
      </c>
      <c r="Y52">
        <f t="shared" si="7"/>
        <v>38</v>
      </c>
      <c r="Z52" t="str">
        <f t="shared" si="8"/>
        <v>High Risk</v>
      </c>
    </row>
    <row r="53" spans="1:26" x14ac:dyDescent="0.4">
      <c r="A53" t="s">
        <v>374</v>
      </c>
      <c r="B53" t="s">
        <v>375</v>
      </c>
      <c r="C53" t="s">
        <v>54</v>
      </c>
      <c r="D53" t="s">
        <v>376</v>
      </c>
      <c r="E53" t="s">
        <v>163</v>
      </c>
      <c r="F53">
        <v>85</v>
      </c>
      <c r="G53">
        <v>45</v>
      </c>
      <c r="H53">
        <v>71</v>
      </c>
      <c r="I53" t="s">
        <v>85</v>
      </c>
      <c r="J53" s="7">
        <f t="shared" si="0"/>
        <v>3</v>
      </c>
      <c r="K53" t="s">
        <v>300</v>
      </c>
      <c r="L53" s="1">
        <f t="shared" si="1"/>
        <v>45371</v>
      </c>
      <c r="M53" t="s">
        <v>158</v>
      </c>
      <c r="N53" s="1">
        <f t="shared" si="2"/>
        <v>45654</v>
      </c>
      <c r="O53" s="1">
        <v>45690</v>
      </c>
      <c r="P53" s="1">
        <f t="shared" si="3"/>
        <v>45690</v>
      </c>
      <c r="Q53" t="s">
        <v>377</v>
      </c>
      <c r="R53">
        <v>95</v>
      </c>
      <c r="S53">
        <v>72</v>
      </c>
      <c r="T53" t="s">
        <v>26</v>
      </c>
      <c r="U53" s="8">
        <v>285</v>
      </c>
      <c r="V53" s="8">
        <f t="shared" si="4"/>
        <v>255</v>
      </c>
      <c r="W53" t="str">
        <f t="shared" si="5"/>
        <v>Sufficient Stock</v>
      </c>
      <c r="X53" s="9">
        <f t="shared" si="6"/>
        <v>45352</v>
      </c>
      <c r="Y53">
        <f t="shared" si="7"/>
        <v>319</v>
      </c>
      <c r="Z53" t="str">
        <f t="shared" si="8"/>
        <v>Low Risk</v>
      </c>
    </row>
    <row r="54" spans="1:26" x14ac:dyDescent="0.4">
      <c r="A54" t="s">
        <v>378</v>
      </c>
      <c r="B54" t="s">
        <v>239</v>
      </c>
      <c r="C54" t="s">
        <v>54</v>
      </c>
      <c r="D54" t="s">
        <v>379</v>
      </c>
      <c r="E54" t="s">
        <v>380</v>
      </c>
      <c r="F54">
        <v>44</v>
      </c>
      <c r="G54">
        <v>80</v>
      </c>
      <c r="H54">
        <v>84</v>
      </c>
      <c r="I54" t="s">
        <v>381</v>
      </c>
      <c r="J54" s="7">
        <f t="shared" si="0"/>
        <v>3.4</v>
      </c>
      <c r="K54" t="s">
        <v>382</v>
      </c>
      <c r="L54" s="1">
        <f t="shared" si="1"/>
        <v>45534</v>
      </c>
      <c r="M54" t="s">
        <v>383</v>
      </c>
      <c r="N54" s="1">
        <f t="shared" si="2"/>
        <v>45582</v>
      </c>
      <c r="O54" s="1">
        <v>45415</v>
      </c>
      <c r="P54" s="1">
        <f t="shared" si="3"/>
        <v>45415</v>
      </c>
      <c r="Q54" t="s">
        <v>384</v>
      </c>
      <c r="R54">
        <v>96</v>
      </c>
      <c r="S54">
        <v>68</v>
      </c>
      <c r="T54" t="s">
        <v>26</v>
      </c>
      <c r="U54" s="8">
        <v>326.39999999999998</v>
      </c>
      <c r="V54" s="8">
        <f t="shared" si="4"/>
        <v>149.6</v>
      </c>
      <c r="W54" t="str">
        <f t="shared" si="5"/>
        <v>Reorder Required</v>
      </c>
      <c r="X54" s="9">
        <f t="shared" si="6"/>
        <v>45505</v>
      </c>
      <c r="Y54">
        <f t="shared" si="7"/>
        <v>-119</v>
      </c>
      <c r="Z54" t="str">
        <f t="shared" si="8"/>
        <v>Invalid Data</v>
      </c>
    </row>
    <row r="55" spans="1:26" x14ac:dyDescent="0.4">
      <c r="A55" t="s">
        <v>385</v>
      </c>
      <c r="B55" t="s">
        <v>386</v>
      </c>
      <c r="C55" t="s">
        <v>112</v>
      </c>
      <c r="D55" t="s">
        <v>387</v>
      </c>
      <c r="E55" t="s">
        <v>273</v>
      </c>
      <c r="F55">
        <v>92</v>
      </c>
      <c r="G55">
        <v>87</v>
      </c>
      <c r="H55">
        <v>84</v>
      </c>
      <c r="I55" t="s">
        <v>71</v>
      </c>
      <c r="J55" s="7">
        <f t="shared" si="0"/>
        <v>2.5</v>
      </c>
      <c r="K55" t="s">
        <v>107</v>
      </c>
      <c r="L55" s="1">
        <f t="shared" si="1"/>
        <v>45584</v>
      </c>
      <c r="M55" t="s">
        <v>128</v>
      </c>
      <c r="N55" s="1">
        <f t="shared" si="2"/>
        <v>45457</v>
      </c>
      <c r="O55" t="s">
        <v>388</v>
      </c>
      <c r="P55" s="1">
        <f t="shared" si="3"/>
        <v>45434</v>
      </c>
      <c r="Q55" t="s">
        <v>389</v>
      </c>
      <c r="R55">
        <v>61</v>
      </c>
      <c r="S55">
        <v>31</v>
      </c>
      <c r="T55" t="s">
        <v>42</v>
      </c>
      <c r="U55" s="8">
        <v>152.5</v>
      </c>
      <c r="V55" s="8">
        <f t="shared" si="4"/>
        <v>230</v>
      </c>
      <c r="W55" t="str">
        <f t="shared" si="5"/>
        <v>Sufficient Stock</v>
      </c>
      <c r="X55" s="9">
        <f t="shared" si="6"/>
        <v>45566</v>
      </c>
      <c r="Y55">
        <f t="shared" si="7"/>
        <v>-150</v>
      </c>
      <c r="Z55" t="str">
        <f t="shared" si="8"/>
        <v>Invalid Data</v>
      </c>
    </row>
    <row r="56" spans="1:26" x14ac:dyDescent="0.4">
      <c r="A56" t="s">
        <v>390</v>
      </c>
      <c r="B56" t="s">
        <v>391</v>
      </c>
      <c r="C56" t="s">
        <v>29</v>
      </c>
      <c r="D56" t="s">
        <v>392</v>
      </c>
      <c r="E56" t="s">
        <v>393</v>
      </c>
      <c r="F56">
        <v>62</v>
      </c>
      <c r="G56">
        <v>89</v>
      </c>
      <c r="H56">
        <v>18</v>
      </c>
      <c r="I56" t="s">
        <v>172</v>
      </c>
      <c r="J56" s="7">
        <f t="shared" si="0"/>
        <v>12</v>
      </c>
      <c r="K56" s="1">
        <v>45629</v>
      </c>
      <c r="L56" s="1">
        <f t="shared" si="1"/>
        <v>45629</v>
      </c>
      <c r="M56" s="1">
        <v>45993</v>
      </c>
      <c r="N56" s="1">
        <f t="shared" si="2"/>
        <v>45993</v>
      </c>
      <c r="O56" t="s">
        <v>367</v>
      </c>
      <c r="P56" s="1">
        <f t="shared" si="3"/>
        <v>45624</v>
      </c>
      <c r="Q56" t="s">
        <v>394</v>
      </c>
      <c r="R56">
        <v>35</v>
      </c>
      <c r="S56">
        <v>36</v>
      </c>
      <c r="T56" t="s">
        <v>51</v>
      </c>
      <c r="U56" s="8">
        <v>420</v>
      </c>
      <c r="V56" s="8">
        <f t="shared" si="4"/>
        <v>744</v>
      </c>
      <c r="W56" t="str">
        <f t="shared" si="5"/>
        <v>Reorder Required</v>
      </c>
      <c r="X56" s="9">
        <f t="shared" si="6"/>
        <v>45627</v>
      </c>
      <c r="Y56">
        <f t="shared" si="7"/>
        <v>-5</v>
      </c>
      <c r="Z56" t="str">
        <f t="shared" si="8"/>
        <v>Invalid Data</v>
      </c>
    </row>
    <row r="57" spans="1:26" x14ac:dyDescent="0.4">
      <c r="A57" t="s">
        <v>395</v>
      </c>
      <c r="B57" t="s">
        <v>290</v>
      </c>
      <c r="C57" t="s">
        <v>54</v>
      </c>
      <c r="D57" t="s">
        <v>396</v>
      </c>
      <c r="E57" t="s">
        <v>235</v>
      </c>
      <c r="F57">
        <v>26</v>
      </c>
      <c r="G57">
        <v>18</v>
      </c>
      <c r="H57">
        <v>62</v>
      </c>
      <c r="I57" t="s">
        <v>71</v>
      </c>
      <c r="J57" s="7">
        <f t="shared" si="0"/>
        <v>2.5</v>
      </c>
      <c r="K57" t="s">
        <v>358</v>
      </c>
      <c r="L57" s="1">
        <f t="shared" si="1"/>
        <v>45501</v>
      </c>
      <c r="M57" t="s">
        <v>397</v>
      </c>
      <c r="N57" s="1">
        <f t="shared" si="2"/>
        <v>45494</v>
      </c>
      <c r="O57" s="1">
        <v>45690</v>
      </c>
      <c r="P57" s="1">
        <f t="shared" si="3"/>
        <v>45690</v>
      </c>
      <c r="Q57" t="s">
        <v>398</v>
      </c>
      <c r="R57">
        <v>57</v>
      </c>
      <c r="S57">
        <v>86</v>
      </c>
      <c r="T57" t="s">
        <v>26</v>
      </c>
      <c r="U57" s="8">
        <v>142.5</v>
      </c>
      <c r="V57" s="8">
        <f t="shared" si="4"/>
        <v>65</v>
      </c>
      <c r="W57" t="str">
        <f t="shared" si="5"/>
        <v>Sufficient Stock</v>
      </c>
      <c r="X57" s="9">
        <f t="shared" si="6"/>
        <v>45474</v>
      </c>
      <c r="Y57">
        <f t="shared" si="7"/>
        <v>189</v>
      </c>
      <c r="Z57" t="str">
        <f t="shared" si="8"/>
        <v>Low Risk</v>
      </c>
    </row>
    <row r="58" spans="1:26" x14ac:dyDescent="0.4">
      <c r="A58" t="s">
        <v>399</v>
      </c>
      <c r="B58" t="s">
        <v>363</v>
      </c>
      <c r="C58" t="s">
        <v>112</v>
      </c>
      <c r="D58" t="s">
        <v>400</v>
      </c>
      <c r="E58" t="s">
        <v>401</v>
      </c>
      <c r="F58">
        <v>59</v>
      </c>
      <c r="G58">
        <v>78</v>
      </c>
      <c r="H58">
        <v>6</v>
      </c>
      <c r="I58" t="s">
        <v>21</v>
      </c>
      <c r="J58" s="7">
        <f t="shared" si="0"/>
        <v>4.5</v>
      </c>
      <c r="K58" s="1">
        <v>45362</v>
      </c>
      <c r="L58" s="1">
        <f t="shared" si="1"/>
        <v>45362</v>
      </c>
      <c r="M58" s="1">
        <v>45571</v>
      </c>
      <c r="N58" s="1">
        <f t="shared" si="2"/>
        <v>45571</v>
      </c>
      <c r="O58" t="s">
        <v>402</v>
      </c>
      <c r="P58" s="1">
        <f t="shared" si="3"/>
        <v>45622</v>
      </c>
      <c r="Q58" t="s">
        <v>403</v>
      </c>
      <c r="R58">
        <v>32</v>
      </c>
      <c r="S58">
        <v>3</v>
      </c>
      <c r="T58" t="s">
        <v>51</v>
      </c>
      <c r="U58" s="8">
        <v>144</v>
      </c>
      <c r="V58" s="8">
        <f t="shared" si="4"/>
        <v>265.5</v>
      </c>
      <c r="W58" t="str">
        <f t="shared" si="5"/>
        <v>Reorder Required</v>
      </c>
      <c r="X58" s="9">
        <f t="shared" si="6"/>
        <v>45352</v>
      </c>
      <c r="Y58">
        <f t="shared" si="7"/>
        <v>260</v>
      </c>
      <c r="Z58" t="str">
        <f t="shared" si="8"/>
        <v>Low Risk</v>
      </c>
    </row>
    <row r="59" spans="1:26" x14ac:dyDescent="0.4">
      <c r="A59" t="s">
        <v>404</v>
      </c>
      <c r="B59" t="s">
        <v>375</v>
      </c>
      <c r="C59" t="s">
        <v>54</v>
      </c>
      <c r="D59" t="s">
        <v>405</v>
      </c>
      <c r="E59" t="s">
        <v>406</v>
      </c>
      <c r="F59">
        <v>88</v>
      </c>
      <c r="G59">
        <v>37</v>
      </c>
      <c r="H59">
        <v>61</v>
      </c>
      <c r="I59" t="s">
        <v>407</v>
      </c>
      <c r="J59" s="7">
        <f t="shared" si="0"/>
        <v>2.9</v>
      </c>
      <c r="K59" s="1">
        <v>45718</v>
      </c>
      <c r="L59" s="1">
        <f t="shared" si="1"/>
        <v>45718</v>
      </c>
      <c r="M59" t="s">
        <v>408</v>
      </c>
      <c r="N59" s="1">
        <f t="shared" si="2"/>
        <v>45609</v>
      </c>
      <c r="O59" t="s">
        <v>409</v>
      </c>
      <c r="P59" s="1">
        <f t="shared" si="3"/>
        <v>45370</v>
      </c>
      <c r="Q59" t="s">
        <v>410</v>
      </c>
      <c r="R59">
        <v>63</v>
      </c>
      <c r="S59">
        <v>35</v>
      </c>
      <c r="T59" t="s">
        <v>26</v>
      </c>
      <c r="U59" s="8">
        <v>182.7</v>
      </c>
      <c r="V59" s="8">
        <f t="shared" si="4"/>
        <v>255.2</v>
      </c>
      <c r="W59" t="str">
        <f t="shared" si="5"/>
        <v>Sufficient Stock</v>
      </c>
      <c r="X59" s="9">
        <f t="shared" si="6"/>
        <v>45717</v>
      </c>
      <c r="Y59">
        <f t="shared" si="7"/>
        <v>-348</v>
      </c>
      <c r="Z59" t="str">
        <f t="shared" si="8"/>
        <v>Invalid Data</v>
      </c>
    </row>
    <row r="60" spans="1:26" x14ac:dyDescent="0.4">
      <c r="A60" t="s">
        <v>411</v>
      </c>
      <c r="B60" t="s">
        <v>412</v>
      </c>
      <c r="C60" t="s">
        <v>169</v>
      </c>
      <c r="D60" t="s">
        <v>413</v>
      </c>
      <c r="E60" t="s">
        <v>414</v>
      </c>
      <c r="F60">
        <v>91</v>
      </c>
      <c r="G60">
        <v>59</v>
      </c>
      <c r="H60">
        <v>49</v>
      </c>
      <c r="I60" t="s">
        <v>39</v>
      </c>
      <c r="J60" s="7">
        <f t="shared" si="0"/>
        <v>6</v>
      </c>
      <c r="K60" t="s">
        <v>415</v>
      </c>
      <c r="L60" s="1">
        <f t="shared" si="1"/>
        <v>45588</v>
      </c>
      <c r="M60" s="1">
        <v>45416</v>
      </c>
      <c r="N60" s="1">
        <f t="shared" si="2"/>
        <v>45416</v>
      </c>
      <c r="O60" t="s">
        <v>207</v>
      </c>
      <c r="P60" s="1">
        <f t="shared" si="3"/>
        <v>45469</v>
      </c>
      <c r="Q60" t="s">
        <v>416</v>
      </c>
      <c r="R60">
        <v>30</v>
      </c>
      <c r="S60">
        <v>63</v>
      </c>
      <c r="T60" t="s">
        <v>51</v>
      </c>
      <c r="U60" s="8">
        <v>180</v>
      </c>
      <c r="V60" s="8">
        <f t="shared" si="4"/>
        <v>546</v>
      </c>
      <c r="W60" t="str">
        <f t="shared" si="5"/>
        <v>Sufficient Stock</v>
      </c>
      <c r="X60" s="9">
        <f t="shared" si="6"/>
        <v>45566</v>
      </c>
      <c r="Y60">
        <f t="shared" si="7"/>
        <v>-119</v>
      </c>
      <c r="Z60" t="str">
        <f t="shared" si="8"/>
        <v>Invalid Data</v>
      </c>
    </row>
    <row r="61" spans="1:26" x14ac:dyDescent="0.4">
      <c r="A61" t="s">
        <v>417</v>
      </c>
      <c r="B61" t="s">
        <v>248</v>
      </c>
      <c r="C61" t="s">
        <v>68</v>
      </c>
      <c r="D61" t="s">
        <v>418</v>
      </c>
      <c r="E61" t="s">
        <v>419</v>
      </c>
      <c r="F61">
        <v>28</v>
      </c>
      <c r="G61">
        <v>17</v>
      </c>
      <c r="H61">
        <v>28</v>
      </c>
      <c r="I61" t="s">
        <v>39</v>
      </c>
      <c r="J61" s="7">
        <f t="shared" si="0"/>
        <v>6</v>
      </c>
      <c r="K61" t="s">
        <v>420</v>
      </c>
      <c r="L61" s="1">
        <f t="shared" si="1"/>
        <v>45589</v>
      </c>
      <c r="M61" t="s">
        <v>421</v>
      </c>
      <c r="N61" s="1">
        <f t="shared" si="2"/>
        <v>45524</v>
      </c>
      <c r="O61" t="s">
        <v>422</v>
      </c>
      <c r="P61" s="1">
        <f t="shared" si="3"/>
        <v>45531</v>
      </c>
      <c r="Q61" t="s">
        <v>423</v>
      </c>
      <c r="R61">
        <v>38</v>
      </c>
      <c r="S61">
        <v>25</v>
      </c>
      <c r="T61" t="s">
        <v>51</v>
      </c>
      <c r="U61" s="8">
        <v>228</v>
      </c>
      <c r="V61" s="8">
        <f t="shared" si="4"/>
        <v>168</v>
      </c>
      <c r="W61" t="str">
        <f t="shared" si="5"/>
        <v>Sufficient Stock</v>
      </c>
      <c r="X61" s="9">
        <f t="shared" si="6"/>
        <v>45566</v>
      </c>
      <c r="Y61">
        <f t="shared" si="7"/>
        <v>-58</v>
      </c>
      <c r="Z61" t="str">
        <f t="shared" si="8"/>
        <v>Invalid Data</v>
      </c>
    </row>
    <row r="62" spans="1:26" x14ac:dyDescent="0.4">
      <c r="A62" t="s">
        <v>424</v>
      </c>
      <c r="B62" t="s">
        <v>425</v>
      </c>
      <c r="C62" t="s">
        <v>54</v>
      </c>
      <c r="D62" t="s">
        <v>426</v>
      </c>
      <c r="E62" t="s">
        <v>427</v>
      </c>
      <c r="F62">
        <v>51</v>
      </c>
      <c r="G62">
        <v>60</v>
      </c>
      <c r="H62">
        <v>98</v>
      </c>
      <c r="I62" t="s">
        <v>47</v>
      </c>
      <c r="J62" s="7">
        <f t="shared" si="0"/>
        <v>1.5</v>
      </c>
      <c r="K62" s="1">
        <v>45296</v>
      </c>
      <c r="L62" s="1">
        <f t="shared" si="1"/>
        <v>45296</v>
      </c>
      <c r="M62" s="1">
        <v>45638</v>
      </c>
      <c r="N62" s="1">
        <f t="shared" si="2"/>
        <v>45638</v>
      </c>
      <c r="O62" t="s">
        <v>428</v>
      </c>
      <c r="P62" s="1">
        <f t="shared" si="3"/>
        <v>45561</v>
      </c>
      <c r="Q62" t="s">
        <v>429</v>
      </c>
      <c r="R62">
        <v>44</v>
      </c>
      <c r="S62">
        <v>95</v>
      </c>
      <c r="T62" t="s">
        <v>26</v>
      </c>
      <c r="U62" s="8">
        <v>66</v>
      </c>
      <c r="V62" s="8">
        <f t="shared" si="4"/>
        <v>76.5</v>
      </c>
      <c r="W62" t="str">
        <f t="shared" si="5"/>
        <v>Reorder Required</v>
      </c>
      <c r="X62" s="9">
        <f t="shared" si="6"/>
        <v>45292</v>
      </c>
      <c r="Y62">
        <f t="shared" si="7"/>
        <v>265</v>
      </c>
      <c r="Z62" t="str">
        <f t="shared" si="8"/>
        <v>Low Risk</v>
      </c>
    </row>
    <row r="63" spans="1:26" x14ac:dyDescent="0.4">
      <c r="A63" t="s">
        <v>430</v>
      </c>
      <c r="B63" t="s">
        <v>431</v>
      </c>
      <c r="C63" t="s">
        <v>29</v>
      </c>
      <c r="D63" t="s">
        <v>432</v>
      </c>
      <c r="E63" t="s">
        <v>433</v>
      </c>
      <c r="F63">
        <v>46</v>
      </c>
      <c r="G63">
        <v>27</v>
      </c>
      <c r="H63">
        <v>76</v>
      </c>
      <c r="I63" t="s">
        <v>220</v>
      </c>
      <c r="J63" s="7">
        <f t="shared" si="0"/>
        <v>5</v>
      </c>
      <c r="K63" t="s">
        <v>434</v>
      </c>
      <c r="L63" s="1">
        <f t="shared" si="1"/>
        <v>45550</v>
      </c>
      <c r="M63" t="s">
        <v>435</v>
      </c>
      <c r="N63" s="1">
        <f t="shared" si="2"/>
        <v>45558</v>
      </c>
      <c r="O63" t="s">
        <v>193</v>
      </c>
      <c r="P63" s="1">
        <f t="shared" si="3"/>
        <v>45670</v>
      </c>
      <c r="Q63" t="s">
        <v>436</v>
      </c>
      <c r="R63">
        <v>64</v>
      </c>
      <c r="S63">
        <v>96</v>
      </c>
      <c r="T63" t="s">
        <v>51</v>
      </c>
      <c r="U63" s="8">
        <v>320</v>
      </c>
      <c r="V63" s="8">
        <f t="shared" si="4"/>
        <v>230</v>
      </c>
      <c r="W63" t="str">
        <f t="shared" si="5"/>
        <v>Sufficient Stock</v>
      </c>
      <c r="X63" s="9">
        <f t="shared" si="6"/>
        <v>45536</v>
      </c>
      <c r="Y63">
        <f t="shared" si="7"/>
        <v>120</v>
      </c>
      <c r="Z63" t="str">
        <f t="shared" si="8"/>
        <v>Medium Risk</v>
      </c>
    </row>
    <row r="64" spans="1:26" x14ac:dyDescent="0.4">
      <c r="A64" t="s">
        <v>437</v>
      </c>
      <c r="B64" t="s">
        <v>225</v>
      </c>
      <c r="C64" t="s">
        <v>54</v>
      </c>
      <c r="D64" t="s">
        <v>438</v>
      </c>
      <c r="E64" t="s">
        <v>439</v>
      </c>
      <c r="F64">
        <v>82</v>
      </c>
      <c r="G64">
        <v>65</v>
      </c>
      <c r="H64">
        <v>69</v>
      </c>
      <c r="I64" t="s">
        <v>440</v>
      </c>
      <c r="J64" s="7">
        <f t="shared" si="0"/>
        <v>4.45</v>
      </c>
      <c r="K64" s="1">
        <v>45600</v>
      </c>
      <c r="L64" s="1">
        <f t="shared" si="1"/>
        <v>45600</v>
      </c>
      <c r="M64" s="1">
        <v>45637</v>
      </c>
      <c r="N64" s="1">
        <f t="shared" si="2"/>
        <v>45637</v>
      </c>
      <c r="O64" s="1">
        <v>45512</v>
      </c>
      <c r="P64" s="1">
        <f t="shared" si="3"/>
        <v>45512</v>
      </c>
      <c r="Q64" t="s">
        <v>441</v>
      </c>
      <c r="R64">
        <v>30</v>
      </c>
      <c r="S64">
        <v>78</v>
      </c>
      <c r="T64" t="s">
        <v>42</v>
      </c>
      <c r="U64" s="8">
        <v>133.5</v>
      </c>
      <c r="V64" s="8">
        <f t="shared" si="4"/>
        <v>364.90000000000003</v>
      </c>
      <c r="W64" t="str">
        <f t="shared" si="5"/>
        <v>Sufficient Stock</v>
      </c>
      <c r="X64" s="9">
        <f t="shared" si="6"/>
        <v>45597</v>
      </c>
      <c r="Y64">
        <f t="shared" si="7"/>
        <v>-88</v>
      </c>
      <c r="Z64" t="str">
        <f t="shared" si="8"/>
        <v>Invalid Data</v>
      </c>
    </row>
    <row r="65" spans="1:26" x14ac:dyDescent="0.4">
      <c r="A65" t="s">
        <v>442</v>
      </c>
      <c r="B65" t="s">
        <v>248</v>
      </c>
      <c r="C65" t="s">
        <v>68</v>
      </c>
      <c r="D65" t="s">
        <v>443</v>
      </c>
      <c r="E65" t="s">
        <v>265</v>
      </c>
      <c r="F65">
        <v>100</v>
      </c>
      <c r="G65">
        <v>92</v>
      </c>
      <c r="H65">
        <v>26</v>
      </c>
      <c r="I65" t="s">
        <v>39</v>
      </c>
      <c r="J65" s="7">
        <f t="shared" si="0"/>
        <v>6</v>
      </c>
      <c r="K65" s="1">
        <v>45417</v>
      </c>
      <c r="L65" s="1">
        <f t="shared" si="1"/>
        <v>45417</v>
      </c>
      <c r="M65" t="s">
        <v>444</v>
      </c>
      <c r="N65" s="1">
        <f t="shared" si="2"/>
        <v>45680</v>
      </c>
      <c r="O65" t="s">
        <v>280</v>
      </c>
      <c r="P65" s="1">
        <f t="shared" si="3"/>
        <v>45704</v>
      </c>
      <c r="Q65" t="s">
        <v>445</v>
      </c>
      <c r="R65">
        <v>84</v>
      </c>
      <c r="S65">
        <v>9</v>
      </c>
      <c r="T65" t="s">
        <v>51</v>
      </c>
      <c r="U65" s="8">
        <v>504</v>
      </c>
      <c r="V65" s="8">
        <f t="shared" si="4"/>
        <v>600</v>
      </c>
      <c r="W65" t="str">
        <f t="shared" si="5"/>
        <v>Sufficient Stock</v>
      </c>
      <c r="X65" s="9">
        <f t="shared" si="6"/>
        <v>45413</v>
      </c>
      <c r="Y65">
        <f t="shared" si="7"/>
        <v>287</v>
      </c>
      <c r="Z65" t="str">
        <f t="shared" si="8"/>
        <v>Low Risk</v>
      </c>
    </row>
    <row r="66" spans="1:26" x14ac:dyDescent="0.4">
      <c r="A66" t="s">
        <v>446</v>
      </c>
      <c r="B66" t="s">
        <v>447</v>
      </c>
      <c r="C66" t="s">
        <v>77</v>
      </c>
      <c r="D66" t="s">
        <v>448</v>
      </c>
      <c r="E66" t="s">
        <v>449</v>
      </c>
      <c r="F66">
        <v>51</v>
      </c>
      <c r="G66">
        <v>53</v>
      </c>
      <c r="H66">
        <v>88</v>
      </c>
      <c r="I66" t="s">
        <v>39</v>
      </c>
      <c r="J66" s="7">
        <f t="shared" si="0"/>
        <v>6</v>
      </c>
      <c r="K66" t="s">
        <v>450</v>
      </c>
      <c r="L66" s="1">
        <f t="shared" si="1"/>
        <v>45688</v>
      </c>
      <c r="M66" t="s">
        <v>127</v>
      </c>
      <c r="N66" s="1">
        <f t="shared" si="2"/>
        <v>45473</v>
      </c>
      <c r="O66" t="s">
        <v>451</v>
      </c>
      <c r="P66" s="1">
        <f t="shared" si="3"/>
        <v>45559</v>
      </c>
      <c r="Q66" t="s">
        <v>452</v>
      </c>
      <c r="R66">
        <v>54</v>
      </c>
      <c r="S66">
        <v>59</v>
      </c>
      <c r="T66" t="s">
        <v>26</v>
      </c>
      <c r="U66" s="8">
        <v>324</v>
      </c>
      <c r="V66" s="8">
        <f t="shared" si="4"/>
        <v>306</v>
      </c>
      <c r="W66" t="str">
        <f t="shared" si="5"/>
        <v>Reorder Required</v>
      </c>
      <c r="X66" s="9">
        <f t="shared" si="6"/>
        <v>45658</v>
      </c>
      <c r="Y66">
        <f t="shared" si="7"/>
        <v>-129</v>
      </c>
      <c r="Z66" t="str">
        <f t="shared" si="8"/>
        <v>Invalid Data</v>
      </c>
    </row>
    <row r="67" spans="1:26" x14ac:dyDescent="0.4">
      <c r="A67" t="s">
        <v>453</v>
      </c>
      <c r="B67" t="s">
        <v>318</v>
      </c>
      <c r="C67" t="s">
        <v>29</v>
      </c>
      <c r="D67" t="s">
        <v>454</v>
      </c>
      <c r="E67" t="s">
        <v>284</v>
      </c>
      <c r="F67">
        <v>61</v>
      </c>
      <c r="G67">
        <v>43</v>
      </c>
      <c r="H67">
        <v>29</v>
      </c>
      <c r="I67" t="s">
        <v>320</v>
      </c>
      <c r="J67" s="7">
        <f t="shared" ref="J67:J130" si="9">VALUE(SUBSTITUTE(I67,"$",""))</f>
        <v>15</v>
      </c>
      <c r="K67" s="1">
        <v>45718</v>
      </c>
      <c r="L67" s="1">
        <f t="shared" ref="L67:L130" si="10">IF(
ISNUMBER(K67),
K67,
DATE(
RIGHT(K67,4),
LEFT(K67,FIND("/",K67)-1),
MID(K67,FIND("/",K67)+1,FIND("/",K67,FIND("/",K67)+1)-FIND("/",K67)-1)
)
)</f>
        <v>45718</v>
      </c>
      <c r="M67" t="s">
        <v>455</v>
      </c>
      <c r="N67" s="1">
        <f t="shared" ref="N67:N130" si="11">IF(
ISNUMBER(M67),
M67,
DATE(
RIGHT(M67,4),
LEFT(M67,FIND("/",M67)-1),
MID(M67,FIND("/",M67)+1,FIND("/",M67,FIND("/",M67)+1)-FIND("/",M67)-1)
)
)</f>
        <v>45590</v>
      </c>
      <c r="O67" s="1">
        <v>45354</v>
      </c>
      <c r="P67" s="1">
        <f t="shared" ref="P67:P130" si="12">IF(
ISNUMBER(O67),
O67,
DATE(
RIGHT(O67,4),
LEFT(O67,FIND("/",O67)-1),
MID(O67,FIND("/",O67)+1,FIND("/",O67,FIND("/",O67)+1)-FIND("/",O67)-1)
)
)</f>
        <v>45354</v>
      </c>
      <c r="Q67" t="s">
        <v>456</v>
      </c>
      <c r="R67">
        <v>67</v>
      </c>
      <c r="S67">
        <v>6</v>
      </c>
      <c r="T67" t="s">
        <v>26</v>
      </c>
      <c r="U67" s="8">
        <v>1005</v>
      </c>
      <c r="V67" s="8">
        <f t="shared" ref="V67:V130" si="13">F67*J67</f>
        <v>915</v>
      </c>
      <c r="W67" t="str">
        <f t="shared" ref="W67:W130" si="14">IF(F67&lt;=G67,"Reorder Required","Sufficient Stock")</f>
        <v>Sufficient Stock</v>
      </c>
      <c r="X67" s="9">
        <f t="shared" ref="X67:X130" si="15">DATE(YEAR(L67),MONTH(L67),1)</f>
        <v>45717</v>
      </c>
      <c r="Y67">
        <f t="shared" ref="Y67:Y130" si="16">P67-L67</f>
        <v>-364</v>
      </c>
      <c r="Z67" t="str">
        <f t="shared" ref="Z67:Z130" si="17">IF(Y67&lt;0,"Invalid Data",
IF(Y67&lt;=30,"Critical",
IF(Y67&lt;=90,"High Risk",
IF(Y67&lt;=180,"Medium Risk",
IF(Y67&lt;=365,"Low Risk",
"Safe")))))</f>
        <v>Invalid Data</v>
      </c>
    </row>
    <row r="68" spans="1:26" x14ac:dyDescent="0.4">
      <c r="A68" t="s">
        <v>457</v>
      </c>
      <c r="B68" t="s">
        <v>458</v>
      </c>
      <c r="C68" t="s">
        <v>29</v>
      </c>
      <c r="D68" t="s">
        <v>459</v>
      </c>
      <c r="E68" t="s">
        <v>460</v>
      </c>
      <c r="F68">
        <v>99</v>
      </c>
      <c r="G68">
        <v>87</v>
      </c>
      <c r="H68">
        <v>10</v>
      </c>
      <c r="I68" t="s">
        <v>461</v>
      </c>
      <c r="J68" s="7">
        <f t="shared" si="9"/>
        <v>25</v>
      </c>
      <c r="K68" s="1">
        <v>45516</v>
      </c>
      <c r="L68" s="1">
        <f t="shared" si="10"/>
        <v>45516</v>
      </c>
      <c r="M68" t="s">
        <v>462</v>
      </c>
      <c r="N68" s="1">
        <f t="shared" si="11"/>
        <v>45351</v>
      </c>
      <c r="O68" t="s">
        <v>215</v>
      </c>
      <c r="P68" s="1">
        <f t="shared" si="12"/>
        <v>45368</v>
      </c>
      <c r="Q68" t="s">
        <v>463</v>
      </c>
      <c r="R68">
        <v>93</v>
      </c>
      <c r="S68">
        <v>70</v>
      </c>
      <c r="T68" t="s">
        <v>51</v>
      </c>
      <c r="U68" s="8">
        <v>2325</v>
      </c>
      <c r="V68" s="8">
        <f t="shared" si="13"/>
        <v>2475</v>
      </c>
      <c r="W68" t="str">
        <f t="shared" si="14"/>
        <v>Sufficient Stock</v>
      </c>
      <c r="X68" s="9">
        <f t="shared" si="15"/>
        <v>45505</v>
      </c>
      <c r="Y68">
        <f t="shared" si="16"/>
        <v>-148</v>
      </c>
      <c r="Z68" t="str">
        <f t="shared" si="17"/>
        <v>Invalid Data</v>
      </c>
    </row>
    <row r="69" spans="1:26" x14ac:dyDescent="0.4">
      <c r="A69" t="s">
        <v>464</v>
      </c>
      <c r="B69" t="s">
        <v>233</v>
      </c>
      <c r="C69" t="s">
        <v>54</v>
      </c>
      <c r="D69" t="s">
        <v>465</v>
      </c>
      <c r="E69" t="s">
        <v>178</v>
      </c>
      <c r="F69">
        <v>13</v>
      </c>
      <c r="G69">
        <v>60</v>
      </c>
      <c r="H69">
        <v>100</v>
      </c>
      <c r="I69" t="s">
        <v>466</v>
      </c>
      <c r="J69" s="7">
        <f t="shared" si="9"/>
        <v>1.8</v>
      </c>
      <c r="K69" t="s">
        <v>116</v>
      </c>
      <c r="L69" s="1">
        <f t="shared" si="10"/>
        <v>45491</v>
      </c>
      <c r="M69" t="s">
        <v>467</v>
      </c>
      <c r="N69" s="1">
        <f t="shared" si="11"/>
        <v>45673</v>
      </c>
      <c r="O69" t="s">
        <v>213</v>
      </c>
      <c r="P69" s="1">
        <f t="shared" si="12"/>
        <v>45467</v>
      </c>
      <c r="Q69" t="s">
        <v>468</v>
      </c>
      <c r="R69">
        <v>44</v>
      </c>
      <c r="S69">
        <v>32</v>
      </c>
      <c r="T69" t="s">
        <v>42</v>
      </c>
      <c r="U69" s="8">
        <v>79.2</v>
      </c>
      <c r="V69" s="8">
        <f t="shared" si="13"/>
        <v>23.400000000000002</v>
      </c>
      <c r="W69" t="str">
        <f t="shared" si="14"/>
        <v>Reorder Required</v>
      </c>
      <c r="X69" s="9">
        <f t="shared" si="15"/>
        <v>45474</v>
      </c>
      <c r="Y69">
        <f t="shared" si="16"/>
        <v>-24</v>
      </c>
      <c r="Z69" t="str">
        <f t="shared" si="17"/>
        <v>Invalid Data</v>
      </c>
    </row>
    <row r="70" spans="1:26" x14ac:dyDescent="0.4">
      <c r="A70" t="s">
        <v>469</v>
      </c>
      <c r="B70" t="s">
        <v>470</v>
      </c>
      <c r="C70" t="s">
        <v>77</v>
      </c>
      <c r="D70" t="s">
        <v>471</v>
      </c>
      <c r="E70" t="s">
        <v>472</v>
      </c>
      <c r="F70">
        <v>45</v>
      </c>
      <c r="G70">
        <v>63</v>
      </c>
      <c r="H70">
        <v>75</v>
      </c>
      <c r="I70" t="s">
        <v>134</v>
      </c>
      <c r="J70" s="7">
        <f t="shared" si="9"/>
        <v>7</v>
      </c>
      <c r="K70" t="s">
        <v>366</v>
      </c>
      <c r="L70" s="1">
        <f t="shared" si="10"/>
        <v>45685</v>
      </c>
      <c r="M70" t="s">
        <v>473</v>
      </c>
      <c r="N70" s="1">
        <f t="shared" si="11"/>
        <v>45616</v>
      </c>
      <c r="O70" s="1">
        <v>45902</v>
      </c>
      <c r="P70" s="1">
        <f t="shared" si="12"/>
        <v>45902</v>
      </c>
      <c r="Q70" t="s">
        <v>474</v>
      </c>
      <c r="R70">
        <v>83</v>
      </c>
      <c r="S70">
        <v>5</v>
      </c>
      <c r="T70" t="s">
        <v>26</v>
      </c>
      <c r="U70" s="8">
        <v>581</v>
      </c>
      <c r="V70" s="8">
        <f t="shared" si="13"/>
        <v>315</v>
      </c>
      <c r="W70" t="str">
        <f t="shared" si="14"/>
        <v>Reorder Required</v>
      </c>
      <c r="X70" s="9">
        <f t="shared" si="15"/>
        <v>45658</v>
      </c>
      <c r="Y70">
        <f t="shared" si="16"/>
        <v>217</v>
      </c>
      <c r="Z70" t="str">
        <f t="shared" si="17"/>
        <v>Low Risk</v>
      </c>
    </row>
    <row r="71" spans="1:26" x14ac:dyDescent="0.4">
      <c r="A71" t="s">
        <v>475</v>
      </c>
      <c r="B71" t="s">
        <v>476</v>
      </c>
      <c r="C71" t="s">
        <v>54</v>
      </c>
      <c r="D71" t="s">
        <v>477</v>
      </c>
      <c r="E71" t="s">
        <v>478</v>
      </c>
      <c r="F71">
        <v>73</v>
      </c>
      <c r="G71">
        <v>87</v>
      </c>
      <c r="H71">
        <v>46</v>
      </c>
      <c r="I71" t="s">
        <v>57</v>
      </c>
      <c r="J71" s="7">
        <f t="shared" si="9"/>
        <v>4</v>
      </c>
      <c r="K71" t="s">
        <v>451</v>
      </c>
      <c r="L71" s="1">
        <f t="shared" si="10"/>
        <v>45559</v>
      </c>
      <c r="M71" t="s">
        <v>479</v>
      </c>
      <c r="N71" s="1">
        <f t="shared" si="11"/>
        <v>45672</v>
      </c>
      <c r="O71" s="1">
        <v>45601</v>
      </c>
      <c r="P71" s="1">
        <f t="shared" si="12"/>
        <v>45601</v>
      </c>
      <c r="Q71" t="s">
        <v>480</v>
      </c>
      <c r="R71">
        <v>47</v>
      </c>
      <c r="S71">
        <v>67</v>
      </c>
      <c r="T71" t="s">
        <v>26</v>
      </c>
      <c r="U71" s="8">
        <v>188</v>
      </c>
      <c r="V71" s="8">
        <f t="shared" si="13"/>
        <v>292</v>
      </c>
      <c r="W71" t="str">
        <f t="shared" si="14"/>
        <v>Reorder Required</v>
      </c>
      <c r="X71" s="9">
        <f t="shared" si="15"/>
        <v>45536</v>
      </c>
      <c r="Y71">
        <f t="shared" si="16"/>
        <v>42</v>
      </c>
      <c r="Z71" t="str">
        <f t="shared" si="17"/>
        <v>High Risk</v>
      </c>
    </row>
    <row r="72" spans="1:26" x14ac:dyDescent="0.4">
      <c r="A72" t="s">
        <v>481</v>
      </c>
      <c r="B72" t="s">
        <v>482</v>
      </c>
      <c r="C72" t="s">
        <v>54</v>
      </c>
      <c r="D72" t="s">
        <v>483</v>
      </c>
      <c r="E72" t="s">
        <v>484</v>
      </c>
      <c r="F72">
        <v>39</v>
      </c>
      <c r="G72">
        <v>21</v>
      </c>
      <c r="H72">
        <v>5</v>
      </c>
      <c r="I72" t="s">
        <v>85</v>
      </c>
      <c r="J72" s="7">
        <f t="shared" si="9"/>
        <v>3</v>
      </c>
      <c r="K72" t="s">
        <v>485</v>
      </c>
      <c r="L72" s="1">
        <f t="shared" si="10"/>
        <v>45620</v>
      </c>
      <c r="M72" s="1">
        <v>45296</v>
      </c>
      <c r="N72" s="1">
        <f t="shared" si="11"/>
        <v>45296</v>
      </c>
      <c r="O72" s="1">
        <v>45870</v>
      </c>
      <c r="P72" s="1">
        <f t="shared" si="12"/>
        <v>45870</v>
      </c>
      <c r="Q72" t="s">
        <v>486</v>
      </c>
      <c r="R72">
        <v>51</v>
      </c>
      <c r="S72">
        <v>98</v>
      </c>
      <c r="T72" t="s">
        <v>42</v>
      </c>
      <c r="U72" s="8">
        <v>153</v>
      </c>
      <c r="V72" s="8">
        <f t="shared" si="13"/>
        <v>117</v>
      </c>
      <c r="W72" t="str">
        <f t="shared" si="14"/>
        <v>Sufficient Stock</v>
      </c>
      <c r="X72" s="9">
        <f t="shared" si="15"/>
        <v>45597</v>
      </c>
      <c r="Y72">
        <f t="shared" si="16"/>
        <v>250</v>
      </c>
      <c r="Z72" t="str">
        <f t="shared" si="17"/>
        <v>Low Risk</v>
      </c>
    </row>
    <row r="73" spans="1:26" x14ac:dyDescent="0.4">
      <c r="A73" t="s">
        <v>487</v>
      </c>
      <c r="B73" t="s">
        <v>168</v>
      </c>
      <c r="C73" t="s">
        <v>169</v>
      </c>
      <c r="D73" t="s">
        <v>488</v>
      </c>
      <c r="E73" t="s">
        <v>489</v>
      </c>
      <c r="F73">
        <v>29</v>
      </c>
      <c r="G73">
        <v>72</v>
      </c>
      <c r="H73">
        <v>96</v>
      </c>
      <c r="I73" t="s">
        <v>172</v>
      </c>
      <c r="J73" s="7">
        <f t="shared" si="9"/>
        <v>12</v>
      </c>
      <c r="K73" s="1">
        <v>45356</v>
      </c>
      <c r="L73" s="1">
        <f t="shared" si="10"/>
        <v>45356</v>
      </c>
      <c r="M73" t="s">
        <v>402</v>
      </c>
      <c r="N73" s="1">
        <f t="shared" si="11"/>
        <v>45622</v>
      </c>
      <c r="O73" s="1">
        <v>45901</v>
      </c>
      <c r="P73" s="1">
        <f t="shared" si="12"/>
        <v>45901</v>
      </c>
      <c r="Q73" t="s">
        <v>490</v>
      </c>
      <c r="R73">
        <v>85</v>
      </c>
      <c r="S73">
        <v>52</v>
      </c>
      <c r="T73" t="s">
        <v>51</v>
      </c>
      <c r="U73" s="8">
        <v>1020</v>
      </c>
      <c r="V73" s="8">
        <f t="shared" si="13"/>
        <v>348</v>
      </c>
      <c r="W73" t="str">
        <f t="shared" si="14"/>
        <v>Reorder Required</v>
      </c>
      <c r="X73" s="9">
        <f t="shared" si="15"/>
        <v>45352</v>
      </c>
      <c r="Y73">
        <f t="shared" si="16"/>
        <v>545</v>
      </c>
      <c r="Z73" t="str">
        <f t="shared" si="17"/>
        <v>Safe</v>
      </c>
    </row>
    <row r="74" spans="1:26" x14ac:dyDescent="0.4">
      <c r="A74" t="s">
        <v>491</v>
      </c>
      <c r="B74" t="s">
        <v>492</v>
      </c>
      <c r="C74" t="s">
        <v>77</v>
      </c>
      <c r="D74" t="s">
        <v>493</v>
      </c>
      <c r="E74" t="s">
        <v>494</v>
      </c>
      <c r="F74">
        <v>12</v>
      </c>
      <c r="G74">
        <v>60</v>
      </c>
      <c r="H74">
        <v>73</v>
      </c>
      <c r="I74" t="s">
        <v>57</v>
      </c>
      <c r="J74" s="7">
        <f t="shared" si="9"/>
        <v>4</v>
      </c>
      <c r="K74" s="1">
        <v>45718</v>
      </c>
      <c r="L74" s="1">
        <f t="shared" si="10"/>
        <v>45718</v>
      </c>
      <c r="M74" t="s">
        <v>495</v>
      </c>
      <c r="N74" s="1">
        <f t="shared" si="11"/>
        <v>45367</v>
      </c>
      <c r="O74" s="1">
        <v>45300</v>
      </c>
      <c r="P74" s="1">
        <f t="shared" si="12"/>
        <v>45300</v>
      </c>
      <c r="Q74" t="s">
        <v>496</v>
      </c>
      <c r="R74">
        <v>20</v>
      </c>
      <c r="S74">
        <v>35</v>
      </c>
      <c r="T74" t="s">
        <v>26</v>
      </c>
      <c r="U74" s="8">
        <v>80</v>
      </c>
      <c r="V74" s="8">
        <f t="shared" si="13"/>
        <v>48</v>
      </c>
      <c r="W74" t="str">
        <f t="shared" si="14"/>
        <v>Reorder Required</v>
      </c>
      <c r="X74" s="9">
        <f t="shared" si="15"/>
        <v>45717</v>
      </c>
      <c r="Y74">
        <f t="shared" si="16"/>
        <v>-418</v>
      </c>
      <c r="Z74" t="str">
        <f t="shared" si="17"/>
        <v>Invalid Data</v>
      </c>
    </row>
    <row r="75" spans="1:26" x14ac:dyDescent="0.4">
      <c r="A75" t="s">
        <v>497</v>
      </c>
      <c r="B75" t="s">
        <v>498</v>
      </c>
      <c r="C75" t="s">
        <v>54</v>
      </c>
      <c r="D75" t="s">
        <v>499</v>
      </c>
      <c r="E75" t="s">
        <v>500</v>
      </c>
      <c r="F75">
        <v>96</v>
      </c>
      <c r="G75">
        <v>33</v>
      </c>
      <c r="H75">
        <v>72</v>
      </c>
      <c r="I75" t="s">
        <v>440</v>
      </c>
      <c r="J75" s="7">
        <f t="shared" si="9"/>
        <v>4.45</v>
      </c>
      <c r="K75" s="1">
        <v>45568</v>
      </c>
      <c r="L75" s="1">
        <f t="shared" si="10"/>
        <v>45568</v>
      </c>
      <c r="M75" t="s">
        <v>347</v>
      </c>
      <c r="N75" s="1">
        <f t="shared" si="11"/>
        <v>45428</v>
      </c>
      <c r="O75" s="1">
        <v>45633</v>
      </c>
      <c r="P75" s="1">
        <f t="shared" si="12"/>
        <v>45633</v>
      </c>
      <c r="Q75" t="s">
        <v>501</v>
      </c>
      <c r="R75">
        <v>74</v>
      </c>
      <c r="S75">
        <v>100</v>
      </c>
      <c r="T75" t="s">
        <v>51</v>
      </c>
      <c r="U75" s="8">
        <v>329.3</v>
      </c>
      <c r="V75" s="8">
        <f t="shared" si="13"/>
        <v>427.20000000000005</v>
      </c>
      <c r="W75" t="str">
        <f t="shared" si="14"/>
        <v>Sufficient Stock</v>
      </c>
      <c r="X75" s="9">
        <f t="shared" si="15"/>
        <v>45566</v>
      </c>
      <c r="Y75">
        <f t="shared" si="16"/>
        <v>65</v>
      </c>
      <c r="Z75" t="str">
        <f t="shared" si="17"/>
        <v>High Risk</v>
      </c>
    </row>
    <row r="76" spans="1:26" x14ac:dyDescent="0.4">
      <c r="A76" t="s">
        <v>502</v>
      </c>
      <c r="B76" t="s">
        <v>271</v>
      </c>
      <c r="C76" t="s">
        <v>54</v>
      </c>
      <c r="D76" t="s">
        <v>503</v>
      </c>
      <c r="E76" t="s">
        <v>504</v>
      </c>
      <c r="F76">
        <v>35</v>
      </c>
      <c r="G76">
        <v>92</v>
      </c>
      <c r="H76">
        <v>74</v>
      </c>
      <c r="I76" t="s">
        <v>106</v>
      </c>
      <c r="J76" s="7">
        <f t="shared" si="9"/>
        <v>2</v>
      </c>
      <c r="K76" t="s">
        <v>308</v>
      </c>
      <c r="L76" s="1">
        <f t="shared" si="10"/>
        <v>45621</v>
      </c>
      <c r="M76" s="1">
        <v>45718</v>
      </c>
      <c r="N76" s="1">
        <f t="shared" si="11"/>
        <v>45718</v>
      </c>
      <c r="O76" t="s">
        <v>93</v>
      </c>
      <c r="P76" s="1">
        <f t="shared" si="12"/>
        <v>45610</v>
      </c>
      <c r="Q76" t="s">
        <v>505</v>
      </c>
      <c r="R76">
        <v>76</v>
      </c>
      <c r="S76">
        <v>32</v>
      </c>
      <c r="T76" t="s">
        <v>51</v>
      </c>
      <c r="U76" s="8">
        <v>152</v>
      </c>
      <c r="V76" s="8">
        <f t="shared" si="13"/>
        <v>70</v>
      </c>
      <c r="W76" t="str">
        <f t="shared" si="14"/>
        <v>Reorder Required</v>
      </c>
      <c r="X76" s="9">
        <f t="shared" si="15"/>
        <v>45597</v>
      </c>
      <c r="Y76">
        <f t="shared" si="16"/>
        <v>-11</v>
      </c>
      <c r="Z76" t="str">
        <f t="shared" si="17"/>
        <v>Invalid Data</v>
      </c>
    </row>
    <row r="77" spans="1:26" x14ac:dyDescent="0.4">
      <c r="A77" t="s">
        <v>506</v>
      </c>
      <c r="B77" t="s">
        <v>412</v>
      </c>
      <c r="C77" t="s">
        <v>169</v>
      </c>
      <c r="D77" t="s">
        <v>507</v>
      </c>
      <c r="E77" t="s">
        <v>508</v>
      </c>
      <c r="F77">
        <v>89</v>
      </c>
      <c r="G77">
        <v>34</v>
      </c>
      <c r="H77">
        <v>15</v>
      </c>
      <c r="I77" t="s">
        <v>39</v>
      </c>
      <c r="J77" s="7">
        <f t="shared" si="9"/>
        <v>6</v>
      </c>
      <c r="K77" t="s">
        <v>509</v>
      </c>
      <c r="L77" s="1">
        <f t="shared" si="10"/>
        <v>45657</v>
      </c>
      <c r="M77" s="1">
        <v>45507</v>
      </c>
      <c r="N77" s="1">
        <f t="shared" si="11"/>
        <v>45507</v>
      </c>
      <c r="O77" t="s">
        <v>301</v>
      </c>
      <c r="P77" s="1">
        <f t="shared" si="12"/>
        <v>45528</v>
      </c>
      <c r="Q77" t="s">
        <v>510</v>
      </c>
      <c r="R77">
        <v>60</v>
      </c>
      <c r="S77">
        <v>2</v>
      </c>
      <c r="T77" t="s">
        <v>26</v>
      </c>
      <c r="U77" s="8">
        <v>360</v>
      </c>
      <c r="V77" s="8">
        <f t="shared" si="13"/>
        <v>534</v>
      </c>
      <c r="W77" t="str">
        <f t="shared" si="14"/>
        <v>Sufficient Stock</v>
      </c>
      <c r="X77" s="9">
        <f t="shared" si="15"/>
        <v>45627</v>
      </c>
      <c r="Y77">
        <f t="shared" si="16"/>
        <v>-129</v>
      </c>
      <c r="Z77" t="str">
        <f t="shared" si="17"/>
        <v>Invalid Data</v>
      </c>
    </row>
    <row r="78" spans="1:26" x14ac:dyDescent="0.4">
      <c r="A78" t="s">
        <v>511</v>
      </c>
      <c r="B78" t="s">
        <v>304</v>
      </c>
      <c r="C78" t="s">
        <v>54</v>
      </c>
      <c r="D78" t="s">
        <v>512</v>
      </c>
      <c r="E78" t="s">
        <v>513</v>
      </c>
      <c r="F78">
        <v>60</v>
      </c>
      <c r="G78">
        <v>36</v>
      </c>
      <c r="H78">
        <v>28</v>
      </c>
      <c r="I78" t="s">
        <v>21</v>
      </c>
      <c r="J78" s="7">
        <f t="shared" si="9"/>
        <v>4.5</v>
      </c>
      <c r="K78" t="s">
        <v>127</v>
      </c>
      <c r="L78" s="1">
        <f t="shared" si="10"/>
        <v>45473</v>
      </c>
      <c r="M78" t="s">
        <v>514</v>
      </c>
      <c r="N78" s="1">
        <f t="shared" si="11"/>
        <v>45553</v>
      </c>
      <c r="O78" t="s">
        <v>230</v>
      </c>
      <c r="P78" s="1">
        <f t="shared" si="12"/>
        <v>45646</v>
      </c>
      <c r="Q78" t="s">
        <v>515</v>
      </c>
      <c r="R78">
        <v>26</v>
      </c>
      <c r="S78">
        <v>29</v>
      </c>
      <c r="T78" t="s">
        <v>51</v>
      </c>
      <c r="U78" s="8">
        <v>117</v>
      </c>
      <c r="V78" s="8">
        <f t="shared" si="13"/>
        <v>270</v>
      </c>
      <c r="W78" t="str">
        <f t="shared" si="14"/>
        <v>Sufficient Stock</v>
      </c>
      <c r="X78" s="9">
        <f t="shared" si="15"/>
        <v>45444</v>
      </c>
      <c r="Y78">
        <f t="shared" si="16"/>
        <v>173</v>
      </c>
      <c r="Z78" t="str">
        <f t="shared" si="17"/>
        <v>Medium Risk</v>
      </c>
    </row>
    <row r="79" spans="1:26" x14ac:dyDescent="0.4">
      <c r="A79" t="s">
        <v>516</v>
      </c>
      <c r="B79" t="s">
        <v>517</v>
      </c>
      <c r="C79" t="s">
        <v>18</v>
      </c>
      <c r="D79" t="s">
        <v>518</v>
      </c>
      <c r="E79" t="s">
        <v>31</v>
      </c>
      <c r="F79">
        <v>20</v>
      </c>
      <c r="G79">
        <v>34</v>
      </c>
      <c r="H79">
        <v>74</v>
      </c>
      <c r="I79" t="s">
        <v>21</v>
      </c>
      <c r="J79" s="7">
        <f t="shared" si="9"/>
        <v>4.5</v>
      </c>
      <c r="K79" t="s">
        <v>121</v>
      </c>
      <c r="L79" s="1">
        <f t="shared" si="10"/>
        <v>45556</v>
      </c>
      <c r="M79" t="s">
        <v>420</v>
      </c>
      <c r="N79" s="1">
        <f t="shared" si="11"/>
        <v>45589</v>
      </c>
      <c r="O79" t="s">
        <v>353</v>
      </c>
      <c r="P79" s="1">
        <f t="shared" si="12"/>
        <v>45703</v>
      </c>
      <c r="Q79" t="s">
        <v>519</v>
      </c>
      <c r="R79">
        <v>50</v>
      </c>
      <c r="S79">
        <v>83</v>
      </c>
      <c r="T79" t="s">
        <v>26</v>
      </c>
      <c r="U79" s="8">
        <v>225</v>
      </c>
      <c r="V79" s="8">
        <f t="shared" si="13"/>
        <v>90</v>
      </c>
      <c r="W79" t="str">
        <f t="shared" si="14"/>
        <v>Reorder Required</v>
      </c>
      <c r="X79" s="9">
        <f t="shared" si="15"/>
        <v>45536</v>
      </c>
      <c r="Y79">
        <f t="shared" si="16"/>
        <v>147</v>
      </c>
      <c r="Z79" t="str">
        <f t="shared" si="17"/>
        <v>Medium Risk</v>
      </c>
    </row>
    <row r="80" spans="1:26" x14ac:dyDescent="0.4">
      <c r="A80" t="s">
        <v>520</v>
      </c>
      <c r="B80" t="s">
        <v>521</v>
      </c>
      <c r="C80" t="s">
        <v>54</v>
      </c>
      <c r="D80" t="s">
        <v>522</v>
      </c>
      <c r="E80" t="s">
        <v>500</v>
      </c>
      <c r="F80">
        <v>28</v>
      </c>
      <c r="G80">
        <v>40</v>
      </c>
      <c r="H80">
        <v>27</v>
      </c>
      <c r="I80" t="s">
        <v>523</v>
      </c>
      <c r="J80" s="7">
        <f t="shared" si="9"/>
        <v>1.2</v>
      </c>
      <c r="K80" t="s">
        <v>524</v>
      </c>
      <c r="L80" s="1">
        <f t="shared" si="10"/>
        <v>45640</v>
      </c>
      <c r="M80" t="s">
        <v>525</v>
      </c>
      <c r="N80" s="1">
        <f t="shared" si="11"/>
        <v>45502</v>
      </c>
      <c r="O80" t="s">
        <v>526</v>
      </c>
      <c r="P80" s="1">
        <f t="shared" si="12"/>
        <v>45592</v>
      </c>
      <c r="Q80" t="s">
        <v>527</v>
      </c>
      <c r="R80">
        <v>30</v>
      </c>
      <c r="S80">
        <v>56</v>
      </c>
      <c r="T80" t="s">
        <v>51</v>
      </c>
      <c r="U80" s="8">
        <v>36</v>
      </c>
      <c r="V80" s="8">
        <f t="shared" si="13"/>
        <v>33.6</v>
      </c>
      <c r="W80" t="str">
        <f t="shared" si="14"/>
        <v>Reorder Required</v>
      </c>
      <c r="X80" s="9">
        <f t="shared" si="15"/>
        <v>45627</v>
      </c>
      <c r="Y80">
        <f t="shared" si="16"/>
        <v>-48</v>
      </c>
      <c r="Z80" t="str">
        <f t="shared" si="17"/>
        <v>Invalid Data</v>
      </c>
    </row>
    <row r="81" spans="1:26" x14ac:dyDescent="0.4">
      <c r="A81" t="s">
        <v>528</v>
      </c>
      <c r="B81" t="s">
        <v>67</v>
      </c>
      <c r="C81" t="s">
        <v>68</v>
      </c>
      <c r="D81" t="s">
        <v>529</v>
      </c>
      <c r="E81" t="s">
        <v>530</v>
      </c>
      <c r="F81">
        <v>20</v>
      </c>
      <c r="G81">
        <v>55</v>
      </c>
      <c r="H81">
        <v>15</v>
      </c>
      <c r="I81" t="s">
        <v>71</v>
      </c>
      <c r="J81" s="7">
        <f t="shared" si="9"/>
        <v>2.5</v>
      </c>
      <c r="K81" s="1">
        <v>45547</v>
      </c>
      <c r="L81" s="1">
        <f t="shared" si="10"/>
        <v>45547</v>
      </c>
      <c r="M81" s="1">
        <v>45630</v>
      </c>
      <c r="N81" s="1">
        <f t="shared" si="11"/>
        <v>45630</v>
      </c>
      <c r="O81" s="1">
        <v>45544</v>
      </c>
      <c r="P81" s="1">
        <f t="shared" si="12"/>
        <v>45544</v>
      </c>
      <c r="Q81" t="s">
        <v>531</v>
      </c>
      <c r="R81">
        <v>86</v>
      </c>
      <c r="S81">
        <v>61</v>
      </c>
      <c r="T81" t="s">
        <v>42</v>
      </c>
      <c r="U81" s="8">
        <v>215</v>
      </c>
      <c r="V81" s="8">
        <f t="shared" si="13"/>
        <v>50</v>
      </c>
      <c r="W81" t="str">
        <f t="shared" si="14"/>
        <v>Reorder Required</v>
      </c>
      <c r="X81" s="9">
        <f t="shared" si="15"/>
        <v>45536</v>
      </c>
      <c r="Y81">
        <f t="shared" si="16"/>
        <v>-3</v>
      </c>
      <c r="Z81" t="str">
        <f t="shared" si="17"/>
        <v>Invalid Data</v>
      </c>
    </row>
    <row r="82" spans="1:26" x14ac:dyDescent="0.4">
      <c r="A82" t="s">
        <v>532</v>
      </c>
      <c r="B82" t="s">
        <v>533</v>
      </c>
      <c r="C82" t="s">
        <v>112</v>
      </c>
      <c r="D82" t="s">
        <v>534</v>
      </c>
      <c r="E82" t="s">
        <v>535</v>
      </c>
      <c r="F82">
        <v>38</v>
      </c>
      <c r="G82">
        <v>93</v>
      </c>
      <c r="H82">
        <v>61</v>
      </c>
      <c r="I82" t="s">
        <v>39</v>
      </c>
      <c r="J82" s="7">
        <f t="shared" si="9"/>
        <v>6</v>
      </c>
      <c r="K82" s="1">
        <v>45577</v>
      </c>
      <c r="L82" s="1">
        <f t="shared" si="10"/>
        <v>45577</v>
      </c>
      <c r="M82" t="s">
        <v>536</v>
      </c>
      <c r="N82" s="1">
        <f t="shared" si="11"/>
        <v>45488</v>
      </c>
      <c r="O82" t="s">
        <v>382</v>
      </c>
      <c r="P82" s="1">
        <f t="shared" si="12"/>
        <v>45534</v>
      </c>
      <c r="Q82" t="s">
        <v>537</v>
      </c>
      <c r="R82">
        <v>67</v>
      </c>
      <c r="S82">
        <v>100</v>
      </c>
      <c r="T82" t="s">
        <v>51</v>
      </c>
      <c r="U82" s="8">
        <v>402</v>
      </c>
      <c r="V82" s="8">
        <f t="shared" si="13"/>
        <v>228</v>
      </c>
      <c r="W82" t="str">
        <f t="shared" si="14"/>
        <v>Reorder Required</v>
      </c>
      <c r="X82" s="9">
        <f t="shared" si="15"/>
        <v>45566</v>
      </c>
      <c r="Y82">
        <f t="shared" si="16"/>
        <v>-43</v>
      </c>
      <c r="Z82" t="str">
        <f t="shared" si="17"/>
        <v>Invalid Data</v>
      </c>
    </row>
    <row r="83" spans="1:26" x14ac:dyDescent="0.4">
      <c r="A83" t="s">
        <v>538</v>
      </c>
      <c r="B83" t="s">
        <v>539</v>
      </c>
      <c r="C83" t="s">
        <v>54</v>
      </c>
      <c r="D83" t="s">
        <v>540</v>
      </c>
      <c r="E83" t="s">
        <v>541</v>
      </c>
      <c r="F83">
        <v>99</v>
      </c>
      <c r="G83">
        <v>1</v>
      </c>
      <c r="H83">
        <v>4</v>
      </c>
      <c r="I83" t="s">
        <v>85</v>
      </c>
      <c r="J83" s="7">
        <f t="shared" si="9"/>
        <v>3</v>
      </c>
      <c r="K83" t="s">
        <v>115</v>
      </c>
      <c r="L83" s="1">
        <f t="shared" si="10"/>
        <v>45639</v>
      </c>
      <c r="M83" t="s">
        <v>542</v>
      </c>
      <c r="N83" s="1">
        <f t="shared" si="11"/>
        <v>45684</v>
      </c>
      <c r="O83" t="s">
        <v>259</v>
      </c>
      <c r="P83" s="1">
        <f t="shared" si="12"/>
        <v>45523</v>
      </c>
      <c r="Q83" t="s">
        <v>543</v>
      </c>
      <c r="R83">
        <v>50</v>
      </c>
      <c r="S83">
        <v>53</v>
      </c>
      <c r="T83" t="s">
        <v>42</v>
      </c>
      <c r="U83" s="8">
        <v>150</v>
      </c>
      <c r="V83" s="8">
        <f t="shared" si="13"/>
        <v>297</v>
      </c>
      <c r="W83" t="str">
        <f t="shared" si="14"/>
        <v>Sufficient Stock</v>
      </c>
      <c r="X83" s="9">
        <f t="shared" si="15"/>
        <v>45627</v>
      </c>
      <c r="Y83">
        <f t="shared" si="16"/>
        <v>-116</v>
      </c>
      <c r="Z83" t="str">
        <f t="shared" si="17"/>
        <v>Invalid Data</v>
      </c>
    </row>
    <row r="84" spans="1:26" x14ac:dyDescent="0.4">
      <c r="A84" t="s">
        <v>544</v>
      </c>
      <c r="B84" t="s">
        <v>545</v>
      </c>
      <c r="C84" t="s">
        <v>77</v>
      </c>
      <c r="D84" t="s">
        <v>546</v>
      </c>
      <c r="E84" t="s">
        <v>547</v>
      </c>
      <c r="F84">
        <v>92</v>
      </c>
      <c r="G84">
        <v>52</v>
      </c>
      <c r="H84">
        <v>80</v>
      </c>
      <c r="I84" t="s">
        <v>71</v>
      </c>
      <c r="J84" s="7">
        <f t="shared" si="9"/>
        <v>2.5</v>
      </c>
      <c r="K84" s="1">
        <v>45357</v>
      </c>
      <c r="L84" s="1">
        <f t="shared" si="10"/>
        <v>45357</v>
      </c>
      <c r="M84" t="s">
        <v>548</v>
      </c>
      <c r="N84" s="1">
        <f t="shared" si="11"/>
        <v>45587</v>
      </c>
      <c r="O84" t="s">
        <v>549</v>
      </c>
      <c r="P84" s="1">
        <f t="shared" si="12"/>
        <v>45372</v>
      </c>
      <c r="Q84" t="s">
        <v>550</v>
      </c>
      <c r="R84">
        <v>72</v>
      </c>
      <c r="S84">
        <v>96</v>
      </c>
      <c r="T84" t="s">
        <v>26</v>
      </c>
      <c r="U84" s="8">
        <v>180</v>
      </c>
      <c r="V84" s="8">
        <f t="shared" si="13"/>
        <v>230</v>
      </c>
      <c r="W84" t="str">
        <f t="shared" si="14"/>
        <v>Sufficient Stock</v>
      </c>
      <c r="X84" s="9">
        <f t="shared" si="15"/>
        <v>45352</v>
      </c>
      <c r="Y84">
        <f t="shared" si="16"/>
        <v>15</v>
      </c>
      <c r="Z84" t="str">
        <f t="shared" si="17"/>
        <v>Critical</v>
      </c>
    </row>
    <row r="85" spans="1:26" x14ac:dyDescent="0.4">
      <c r="A85" t="s">
        <v>551</v>
      </c>
      <c r="B85" t="s">
        <v>161</v>
      </c>
      <c r="C85" t="s">
        <v>54</v>
      </c>
      <c r="D85" t="s">
        <v>552</v>
      </c>
      <c r="E85" t="s">
        <v>553</v>
      </c>
      <c r="F85">
        <v>41</v>
      </c>
      <c r="G85">
        <v>29</v>
      </c>
      <c r="H85">
        <v>76</v>
      </c>
      <c r="I85" t="s">
        <v>554</v>
      </c>
      <c r="J85" s="7">
        <f t="shared" si="9"/>
        <v>2.4</v>
      </c>
      <c r="K85" t="s">
        <v>555</v>
      </c>
      <c r="L85" s="1">
        <f t="shared" si="10"/>
        <v>45348</v>
      </c>
      <c r="M85" t="s">
        <v>556</v>
      </c>
      <c r="N85" s="1">
        <f t="shared" si="11"/>
        <v>45548</v>
      </c>
      <c r="O85" s="1">
        <v>45301</v>
      </c>
      <c r="P85" s="1">
        <f t="shared" si="12"/>
        <v>45301</v>
      </c>
      <c r="Q85" t="s">
        <v>557</v>
      </c>
      <c r="R85">
        <v>59</v>
      </c>
      <c r="S85">
        <v>4</v>
      </c>
      <c r="T85" t="s">
        <v>26</v>
      </c>
      <c r="U85" s="8">
        <v>141.6</v>
      </c>
      <c r="V85" s="8">
        <f t="shared" si="13"/>
        <v>98.399999999999991</v>
      </c>
      <c r="W85" t="str">
        <f t="shared" si="14"/>
        <v>Sufficient Stock</v>
      </c>
      <c r="X85" s="9">
        <f t="shared" si="15"/>
        <v>45323</v>
      </c>
      <c r="Y85">
        <f t="shared" si="16"/>
        <v>-47</v>
      </c>
      <c r="Z85" t="str">
        <f t="shared" si="17"/>
        <v>Invalid Data</v>
      </c>
    </row>
    <row r="86" spans="1:26" x14ac:dyDescent="0.4">
      <c r="A86" t="s">
        <v>558</v>
      </c>
      <c r="B86" t="s">
        <v>412</v>
      </c>
      <c r="C86" t="s">
        <v>169</v>
      </c>
      <c r="D86" t="s">
        <v>559</v>
      </c>
      <c r="E86" t="s">
        <v>560</v>
      </c>
      <c r="F86">
        <v>44</v>
      </c>
      <c r="G86">
        <v>67</v>
      </c>
      <c r="H86">
        <v>48</v>
      </c>
      <c r="I86" t="s">
        <v>39</v>
      </c>
      <c r="J86" s="7">
        <f t="shared" si="9"/>
        <v>6</v>
      </c>
      <c r="K86" s="1">
        <v>45421</v>
      </c>
      <c r="L86" s="1">
        <f t="shared" si="10"/>
        <v>45421</v>
      </c>
      <c r="M86" t="s">
        <v>121</v>
      </c>
      <c r="N86" s="1">
        <f t="shared" si="11"/>
        <v>45556</v>
      </c>
      <c r="O86" t="s">
        <v>561</v>
      </c>
      <c r="P86" s="1">
        <f t="shared" si="12"/>
        <v>45375</v>
      </c>
      <c r="Q86" t="s">
        <v>562</v>
      </c>
      <c r="R86">
        <v>90</v>
      </c>
      <c r="S86">
        <v>11</v>
      </c>
      <c r="T86" t="s">
        <v>51</v>
      </c>
      <c r="U86" s="8">
        <v>540</v>
      </c>
      <c r="V86" s="8">
        <f t="shared" si="13"/>
        <v>264</v>
      </c>
      <c r="W86" t="str">
        <f t="shared" si="14"/>
        <v>Reorder Required</v>
      </c>
      <c r="X86" s="9">
        <f t="shared" si="15"/>
        <v>45413</v>
      </c>
      <c r="Y86">
        <f t="shared" si="16"/>
        <v>-46</v>
      </c>
      <c r="Z86" t="str">
        <f t="shared" si="17"/>
        <v>Invalid Data</v>
      </c>
    </row>
    <row r="87" spans="1:26" x14ac:dyDescent="0.4">
      <c r="A87" t="s">
        <v>563</v>
      </c>
      <c r="B87" t="s">
        <v>103</v>
      </c>
      <c r="C87" t="s">
        <v>18</v>
      </c>
      <c r="D87" t="s">
        <v>564</v>
      </c>
      <c r="E87" t="s">
        <v>565</v>
      </c>
      <c r="F87">
        <v>47</v>
      </c>
      <c r="G87">
        <v>7</v>
      </c>
      <c r="H87">
        <v>63</v>
      </c>
      <c r="I87" t="s">
        <v>106</v>
      </c>
      <c r="J87" s="7">
        <f t="shared" si="9"/>
        <v>2</v>
      </c>
      <c r="K87" t="s">
        <v>566</v>
      </c>
      <c r="L87" s="1">
        <f t="shared" si="10"/>
        <v>45430</v>
      </c>
      <c r="M87" t="s">
        <v>567</v>
      </c>
      <c r="N87" s="1">
        <f t="shared" si="11"/>
        <v>45555</v>
      </c>
      <c r="O87" t="s">
        <v>328</v>
      </c>
      <c r="P87" s="1">
        <f t="shared" si="12"/>
        <v>45412</v>
      </c>
      <c r="Q87" t="s">
        <v>568</v>
      </c>
      <c r="R87">
        <v>29</v>
      </c>
      <c r="S87">
        <v>20</v>
      </c>
      <c r="T87" t="s">
        <v>42</v>
      </c>
      <c r="U87" s="8">
        <v>58</v>
      </c>
      <c r="V87" s="8">
        <f t="shared" si="13"/>
        <v>94</v>
      </c>
      <c r="W87" t="str">
        <f t="shared" si="14"/>
        <v>Sufficient Stock</v>
      </c>
      <c r="X87" s="9">
        <f t="shared" si="15"/>
        <v>45413</v>
      </c>
      <c r="Y87">
        <f t="shared" si="16"/>
        <v>-18</v>
      </c>
      <c r="Z87" t="str">
        <f t="shared" si="17"/>
        <v>Invalid Data</v>
      </c>
    </row>
    <row r="88" spans="1:26" x14ac:dyDescent="0.4">
      <c r="A88" t="s">
        <v>569</v>
      </c>
      <c r="B88" t="s">
        <v>138</v>
      </c>
      <c r="C88" t="s">
        <v>18</v>
      </c>
      <c r="D88" t="s">
        <v>570</v>
      </c>
      <c r="E88" t="s">
        <v>156</v>
      </c>
      <c r="F88">
        <v>21</v>
      </c>
      <c r="G88">
        <v>63</v>
      </c>
      <c r="H88">
        <v>65</v>
      </c>
      <c r="I88" t="s">
        <v>47</v>
      </c>
      <c r="J88" s="7">
        <f t="shared" si="9"/>
        <v>1.5</v>
      </c>
      <c r="K88" s="1">
        <v>45514</v>
      </c>
      <c r="L88" s="1">
        <f t="shared" si="10"/>
        <v>45514</v>
      </c>
      <c r="M88" s="1">
        <v>45576</v>
      </c>
      <c r="N88" s="1">
        <f t="shared" si="11"/>
        <v>45576</v>
      </c>
      <c r="O88" t="s">
        <v>199</v>
      </c>
      <c r="P88" s="1">
        <f t="shared" si="12"/>
        <v>45710</v>
      </c>
      <c r="Q88" t="s">
        <v>571</v>
      </c>
      <c r="R88">
        <v>38</v>
      </c>
      <c r="S88">
        <v>73</v>
      </c>
      <c r="T88" t="s">
        <v>26</v>
      </c>
      <c r="U88" s="8">
        <v>57</v>
      </c>
      <c r="V88" s="8">
        <f t="shared" si="13"/>
        <v>31.5</v>
      </c>
      <c r="W88" t="str">
        <f t="shared" si="14"/>
        <v>Reorder Required</v>
      </c>
      <c r="X88" s="9">
        <f t="shared" si="15"/>
        <v>45505</v>
      </c>
      <c r="Y88">
        <f t="shared" si="16"/>
        <v>196</v>
      </c>
      <c r="Z88" t="str">
        <f t="shared" si="17"/>
        <v>Low Risk</v>
      </c>
    </row>
    <row r="89" spans="1:26" x14ac:dyDescent="0.4">
      <c r="A89" t="s">
        <v>572</v>
      </c>
      <c r="B89" t="s">
        <v>233</v>
      </c>
      <c r="C89" t="s">
        <v>54</v>
      </c>
      <c r="D89" t="s">
        <v>573</v>
      </c>
      <c r="E89" t="s">
        <v>574</v>
      </c>
      <c r="F89">
        <v>85</v>
      </c>
      <c r="G89">
        <v>33</v>
      </c>
      <c r="H89">
        <v>50</v>
      </c>
      <c r="I89" t="s">
        <v>466</v>
      </c>
      <c r="J89" s="7">
        <f t="shared" si="9"/>
        <v>1.8</v>
      </c>
      <c r="K89" s="1">
        <v>45446</v>
      </c>
      <c r="L89" s="1">
        <f t="shared" si="10"/>
        <v>45446</v>
      </c>
      <c r="M89" t="s">
        <v>536</v>
      </c>
      <c r="N89" s="1">
        <f t="shared" si="11"/>
        <v>45488</v>
      </c>
      <c r="O89" t="s">
        <v>299</v>
      </c>
      <c r="P89" s="1">
        <f t="shared" si="12"/>
        <v>45678</v>
      </c>
      <c r="Q89" t="s">
        <v>575</v>
      </c>
      <c r="R89">
        <v>64</v>
      </c>
      <c r="S89">
        <v>38</v>
      </c>
      <c r="T89" t="s">
        <v>26</v>
      </c>
      <c r="U89" s="8">
        <v>115.2</v>
      </c>
      <c r="V89" s="8">
        <f t="shared" si="13"/>
        <v>153</v>
      </c>
      <c r="W89" t="str">
        <f t="shared" si="14"/>
        <v>Sufficient Stock</v>
      </c>
      <c r="X89" s="9">
        <f t="shared" si="15"/>
        <v>45444</v>
      </c>
      <c r="Y89">
        <f t="shared" si="16"/>
        <v>232</v>
      </c>
      <c r="Z89" t="str">
        <f t="shared" si="17"/>
        <v>Low Risk</v>
      </c>
    </row>
    <row r="90" spans="1:26" x14ac:dyDescent="0.4">
      <c r="A90" t="s">
        <v>576</v>
      </c>
      <c r="B90" t="s">
        <v>144</v>
      </c>
      <c r="C90" t="s">
        <v>77</v>
      </c>
      <c r="D90" t="s">
        <v>577</v>
      </c>
      <c r="E90" t="s">
        <v>578</v>
      </c>
      <c r="F90">
        <v>29</v>
      </c>
      <c r="G90">
        <v>4</v>
      </c>
      <c r="H90">
        <v>17</v>
      </c>
      <c r="I90" t="s">
        <v>147</v>
      </c>
      <c r="J90" s="7">
        <f t="shared" si="9"/>
        <v>8</v>
      </c>
      <c r="K90" t="s">
        <v>279</v>
      </c>
      <c r="L90" s="1">
        <f t="shared" si="10"/>
        <v>45676</v>
      </c>
      <c r="M90" t="s">
        <v>408</v>
      </c>
      <c r="N90" s="1">
        <f t="shared" si="11"/>
        <v>45609</v>
      </c>
      <c r="O90" t="s">
        <v>579</v>
      </c>
      <c r="P90" s="1">
        <f t="shared" si="12"/>
        <v>45460</v>
      </c>
      <c r="Q90" t="s">
        <v>580</v>
      </c>
      <c r="R90">
        <v>59</v>
      </c>
      <c r="S90">
        <v>52</v>
      </c>
      <c r="T90" t="s">
        <v>51</v>
      </c>
      <c r="U90" s="8">
        <v>472</v>
      </c>
      <c r="V90" s="8">
        <f t="shared" si="13"/>
        <v>232</v>
      </c>
      <c r="W90" t="str">
        <f t="shared" si="14"/>
        <v>Sufficient Stock</v>
      </c>
      <c r="X90" s="9">
        <f t="shared" si="15"/>
        <v>45658</v>
      </c>
      <c r="Y90">
        <f t="shared" si="16"/>
        <v>-216</v>
      </c>
      <c r="Z90" t="str">
        <f t="shared" si="17"/>
        <v>Invalid Data</v>
      </c>
    </row>
    <row r="91" spans="1:26" x14ac:dyDescent="0.4">
      <c r="A91" t="s">
        <v>581</v>
      </c>
      <c r="B91" t="s">
        <v>582</v>
      </c>
      <c r="C91" t="s">
        <v>68</v>
      </c>
      <c r="D91" t="s">
        <v>583</v>
      </c>
      <c r="E91" t="s">
        <v>584</v>
      </c>
      <c r="F91">
        <v>64</v>
      </c>
      <c r="G91">
        <v>21</v>
      </c>
      <c r="H91">
        <v>13</v>
      </c>
      <c r="I91" t="s">
        <v>57</v>
      </c>
      <c r="J91" s="7">
        <f t="shared" si="9"/>
        <v>4</v>
      </c>
      <c r="K91" t="s">
        <v>585</v>
      </c>
      <c r="L91" s="1">
        <f t="shared" si="10"/>
        <v>45687</v>
      </c>
      <c r="M91" s="1">
        <v>45606</v>
      </c>
      <c r="N91" s="1">
        <f t="shared" si="11"/>
        <v>45606</v>
      </c>
      <c r="O91" t="s">
        <v>141</v>
      </c>
      <c r="P91" s="1">
        <f t="shared" si="12"/>
        <v>45612</v>
      </c>
      <c r="Q91" t="s">
        <v>586</v>
      </c>
      <c r="R91">
        <v>51</v>
      </c>
      <c r="S91">
        <v>26</v>
      </c>
      <c r="T91" t="s">
        <v>42</v>
      </c>
      <c r="U91" s="8">
        <v>204</v>
      </c>
      <c r="V91" s="8">
        <f t="shared" si="13"/>
        <v>256</v>
      </c>
      <c r="W91" t="str">
        <f t="shared" si="14"/>
        <v>Sufficient Stock</v>
      </c>
      <c r="X91" s="9">
        <f t="shared" si="15"/>
        <v>45658</v>
      </c>
      <c r="Y91">
        <f t="shared" si="16"/>
        <v>-75</v>
      </c>
      <c r="Z91" t="str">
        <f t="shared" si="17"/>
        <v>Invalid Data</v>
      </c>
    </row>
    <row r="92" spans="1:26" x14ac:dyDescent="0.4">
      <c r="A92" t="s">
        <v>587</v>
      </c>
      <c r="B92" t="s">
        <v>588</v>
      </c>
      <c r="C92" t="s">
        <v>54</v>
      </c>
      <c r="D92" t="s">
        <v>589</v>
      </c>
      <c r="E92" t="s">
        <v>590</v>
      </c>
      <c r="F92">
        <v>66</v>
      </c>
      <c r="G92">
        <v>40</v>
      </c>
      <c r="H92">
        <v>96</v>
      </c>
      <c r="I92" t="s">
        <v>591</v>
      </c>
      <c r="J92" s="7">
        <f t="shared" si="9"/>
        <v>10</v>
      </c>
      <c r="K92" t="s">
        <v>592</v>
      </c>
      <c r="L92" s="1">
        <f t="shared" si="10"/>
        <v>45350</v>
      </c>
      <c r="M92" t="s">
        <v>165</v>
      </c>
      <c r="N92" s="1">
        <f t="shared" si="11"/>
        <v>45465</v>
      </c>
      <c r="O92" s="1">
        <v>45810</v>
      </c>
      <c r="P92" s="1">
        <f t="shared" si="12"/>
        <v>45810</v>
      </c>
      <c r="Q92" t="s">
        <v>593</v>
      </c>
      <c r="R92">
        <v>24</v>
      </c>
      <c r="S92">
        <v>61</v>
      </c>
      <c r="T92" t="s">
        <v>51</v>
      </c>
      <c r="U92" s="8">
        <v>240</v>
      </c>
      <c r="V92" s="8">
        <f t="shared" si="13"/>
        <v>660</v>
      </c>
      <c r="W92" t="str">
        <f t="shared" si="14"/>
        <v>Sufficient Stock</v>
      </c>
      <c r="X92" s="9">
        <f t="shared" si="15"/>
        <v>45323</v>
      </c>
      <c r="Y92">
        <f t="shared" si="16"/>
        <v>460</v>
      </c>
      <c r="Z92" t="str">
        <f t="shared" si="17"/>
        <v>Safe</v>
      </c>
    </row>
    <row r="93" spans="1:26" x14ac:dyDescent="0.4">
      <c r="A93" t="s">
        <v>594</v>
      </c>
      <c r="B93" t="s">
        <v>595</v>
      </c>
      <c r="C93" t="s">
        <v>112</v>
      </c>
      <c r="D93" t="s">
        <v>596</v>
      </c>
      <c r="E93" t="s">
        <v>597</v>
      </c>
      <c r="F93">
        <v>75</v>
      </c>
      <c r="G93">
        <v>81</v>
      </c>
      <c r="H93">
        <v>17</v>
      </c>
      <c r="I93" t="s">
        <v>220</v>
      </c>
      <c r="J93" s="7">
        <f t="shared" si="9"/>
        <v>5</v>
      </c>
      <c r="K93" s="1">
        <v>45542</v>
      </c>
      <c r="L93" s="1">
        <f t="shared" si="10"/>
        <v>45542</v>
      </c>
      <c r="M93" t="s">
        <v>598</v>
      </c>
      <c r="N93" s="1">
        <f t="shared" si="11"/>
        <v>45705</v>
      </c>
      <c r="O93" t="s">
        <v>599</v>
      </c>
      <c r="P93" s="1">
        <f t="shared" si="12"/>
        <v>45708</v>
      </c>
      <c r="Q93" t="s">
        <v>600</v>
      </c>
      <c r="R93">
        <v>69</v>
      </c>
      <c r="S93">
        <v>38</v>
      </c>
      <c r="T93" t="s">
        <v>51</v>
      </c>
      <c r="U93" s="8">
        <v>345</v>
      </c>
      <c r="V93" s="8">
        <f t="shared" si="13"/>
        <v>375</v>
      </c>
      <c r="W93" t="str">
        <f t="shared" si="14"/>
        <v>Reorder Required</v>
      </c>
      <c r="X93" s="9">
        <f t="shared" si="15"/>
        <v>45536</v>
      </c>
      <c r="Y93">
        <f t="shared" si="16"/>
        <v>166</v>
      </c>
      <c r="Z93" t="str">
        <f t="shared" si="17"/>
        <v>Medium Risk</v>
      </c>
    </row>
    <row r="94" spans="1:26" x14ac:dyDescent="0.4">
      <c r="A94" t="s">
        <v>601</v>
      </c>
      <c r="B94" t="s">
        <v>602</v>
      </c>
      <c r="C94" t="s">
        <v>77</v>
      </c>
      <c r="D94" t="s">
        <v>603</v>
      </c>
      <c r="E94" t="s">
        <v>604</v>
      </c>
      <c r="F94">
        <v>53</v>
      </c>
      <c r="G94">
        <v>63</v>
      </c>
      <c r="H94">
        <v>2</v>
      </c>
      <c r="I94" t="s">
        <v>266</v>
      </c>
      <c r="J94" s="7">
        <f t="shared" si="9"/>
        <v>9</v>
      </c>
      <c r="K94" s="1">
        <v>45330</v>
      </c>
      <c r="L94" s="1">
        <f t="shared" si="10"/>
        <v>45330</v>
      </c>
      <c r="M94" s="1">
        <v>45636</v>
      </c>
      <c r="N94" s="1">
        <f t="shared" si="11"/>
        <v>45636</v>
      </c>
      <c r="O94" t="s">
        <v>300</v>
      </c>
      <c r="P94" s="1">
        <f t="shared" si="12"/>
        <v>45371</v>
      </c>
      <c r="Q94" t="s">
        <v>605</v>
      </c>
      <c r="R94">
        <v>56</v>
      </c>
      <c r="S94">
        <v>95</v>
      </c>
      <c r="T94" t="s">
        <v>51</v>
      </c>
      <c r="U94" s="8">
        <v>504</v>
      </c>
      <c r="V94" s="8">
        <f t="shared" si="13"/>
        <v>477</v>
      </c>
      <c r="W94" t="str">
        <f t="shared" si="14"/>
        <v>Reorder Required</v>
      </c>
      <c r="X94" s="9">
        <f t="shared" si="15"/>
        <v>45323</v>
      </c>
      <c r="Y94">
        <f t="shared" si="16"/>
        <v>41</v>
      </c>
      <c r="Z94" t="str">
        <f t="shared" si="17"/>
        <v>High Risk</v>
      </c>
    </row>
    <row r="95" spans="1:26" x14ac:dyDescent="0.4">
      <c r="A95" t="s">
        <v>606</v>
      </c>
      <c r="B95" t="s">
        <v>607</v>
      </c>
      <c r="C95" t="s">
        <v>68</v>
      </c>
      <c r="D95" t="s">
        <v>608</v>
      </c>
      <c r="E95" t="s">
        <v>105</v>
      </c>
      <c r="F95">
        <v>43</v>
      </c>
      <c r="G95">
        <v>63</v>
      </c>
      <c r="H95">
        <v>80</v>
      </c>
      <c r="I95" t="s">
        <v>466</v>
      </c>
      <c r="J95" s="7">
        <f t="shared" si="9"/>
        <v>1.8</v>
      </c>
      <c r="K95" t="s">
        <v>260</v>
      </c>
      <c r="L95" s="1">
        <f t="shared" si="10"/>
        <v>45466</v>
      </c>
      <c r="M95" t="s">
        <v>609</v>
      </c>
      <c r="N95" s="1">
        <f t="shared" si="11"/>
        <v>45504</v>
      </c>
      <c r="O95" s="1">
        <v>45963</v>
      </c>
      <c r="P95" s="1">
        <f t="shared" si="12"/>
        <v>45963</v>
      </c>
      <c r="Q95" t="s">
        <v>610</v>
      </c>
      <c r="R95">
        <v>33</v>
      </c>
      <c r="S95">
        <v>96</v>
      </c>
      <c r="T95" t="s">
        <v>26</v>
      </c>
      <c r="U95" s="8">
        <v>59.4</v>
      </c>
      <c r="V95" s="8">
        <f t="shared" si="13"/>
        <v>77.400000000000006</v>
      </c>
      <c r="W95" t="str">
        <f t="shared" si="14"/>
        <v>Reorder Required</v>
      </c>
      <c r="X95" s="9">
        <f t="shared" si="15"/>
        <v>45444</v>
      </c>
      <c r="Y95">
        <f t="shared" si="16"/>
        <v>497</v>
      </c>
      <c r="Z95" t="str">
        <f t="shared" si="17"/>
        <v>Safe</v>
      </c>
    </row>
    <row r="96" spans="1:26" x14ac:dyDescent="0.4">
      <c r="A96" t="s">
        <v>611</v>
      </c>
      <c r="B96" t="s">
        <v>482</v>
      </c>
      <c r="C96" t="s">
        <v>54</v>
      </c>
      <c r="D96" t="s">
        <v>612</v>
      </c>
      <c r="E96" t="s">
        <v>613</v>
      </c>
      <c r="F96">
        <v>74</v>
      </c>
      <c r="G96">
        <v>30</v>
      </c>
      <c r="H96">
        <v>24</v>
      </c>
      <c r="I96" t="s">
        <v>85</v>
      </c>
      <c r="J96" s="7">
        <f t="shared" si="9"/>
        <v>3</v>
      </c>
      <c r="K96" s="1">
        <v>45543</v>
      </c>
      <c r="L96" s="1">
        <f t="shared" si="10"/>
        <v>45543</v>
      </c>
      <c r="M96" t="s">
        <v>244</v>
      </c>
      <c r="N96" s="1">
        <f t="shared" si="11"/>
        <v>45578</v>
      </c>
      <c r="O96" t="s">
        <v>609</v>
      </c>
      <c r="P96" s="1">
        <f t="shared" si="12"/>
        <v>45504</v>
      </c>
      <c r="Q96" t="s">
        <v>614</v>
      </c>
      <c r="R96">
        <v>82</v>
      </c>
      <c r="S96">
        <v>12</v>
      </c>
      <c r="T96" t="s">
        <v>51</v>
      </c>
      <c r="U96" s="8">
        <v>246</v>
      </c>
      <c r="V96" s="8">
        <f t="shared" si="13"/>
        <v>222</v>
      </c>
      <c r="W96" t="str">
        <f t="shared" si="14"/>
        <v>Sufficient Stock</v>
      </c>
      <c r="X96" s="9">
        <f t="shared" si="15"/>
        <v>45536</v>
      </c>
      <c r="Y96">
        <f t="shared" si="16"/>
        <v>-39</v>
      </c>
      <c r="Z96" t="str">
        <f t="shared" si="17"/>
        <v>Invalid Data</v>
      </c>
    </row>
    <row r="97" spans="1:26" x14ac:dyDescent="0.4">
      <c r="A97" t="s">
        <v>615</v>
      </c>
      <c r="B97" t="s">
        <v>616</v>
      </c>
      <c r="C97" t="s">
        <v>54</v>
      </c>
      <c r="D97" t="s">
        <v>617</v>
      </c>
      <c r="E97" t="s">
        <v>371</v>
      </c>
      <c r="F97">
        <v>27</v>
      </c>
      <c r="G97">
        <v>22</v>
      </c>
      <c r="H97">
        <v>89</v>
      </c>
      <c r="I97" t="s">
        <v>134</v>
      </c>
      <c r="J97" s="7">
        <f t="shared" si="9"/>
        <v>7</v>
      </c>
      <c r="K97" s="1">
        <v>45296</v>
      </c>
      <c r="L97" s="1">
        <f t="shared" si="10"/>
        <v>45296</v>
      </c>
      <c r="M97" t="s">
        <v>358</v>
      </c>
      <c r="N97" s="1">
        <f t="shared" si="11"/>
        <v>45501</v>
      </c>
      <c r="O97" t="s">
        <v>618</v>
      </c>
      <c r="P97" s="1">
        <f t="shared" si="12"/>
        <v>45432</v>
      </c>
      <c r="Q97" t="s">
        <v>619</v>
      </c>
      <c r="R97">
        <v>91</v>
      </c>
      <c r="S97">
        <v>77</v>
      </c>
      <c r="T97" t="s">
        <v>26</v>
      </c>
      <c r="U97" s="8">
        <v>637</v>
      </c>
      <c r="V97" s="8">
        <f t="shared" si="13"/>
        <v>189</v>
      </c>
      <c r="W97" t="str">
        <f t="shared" si="14"/>
        <v>Sufficient Stock</v>
      </c>
      <c r="X97" s="9">
        <f t="shared" si="15"/>
        <v>45292</v>
      </c>
      <c r="Y97">
        <f t="shared" si="16"/>
        <v>136</v>
      </c>
      <c r="Z97" t="str">
        <f t="shared" si="17"/>
        <v>Medium Risk</v>
      </c>
    </row>
    <row r="98" spans="1:26" x14ac:dyDescent="0.4">
      <c r="A98" t="s">
        <v>620</v>
      </c>
      <c r="B98" t="s">
        <v>621</v>
      </c>
      <c r="C98" t="s">
        <v>18</v>
      </c>
      <c r="D98" t="s">
        <v>622</v>
      </c>
      <c r="E98" t="s">
        <v>623</v>
      </c>
      <c r="F98">
        <v>91</v>
      </c>
      <c r="G98">
        <v>73</v>
      </c>
      <c r="H98">
        <v>77</v>
      </c>
      <c r="I98" t="s">
        <v>624</v>
      </c>
      <c r="J98" s="7">
        <f t="shared" si="9"/>
        <v>4.75</v>
      </c>
      <c r="K98" s="1">
        <v>45659</v>
      </c>
      <c r="L98" s="1">
        <f t="shared" si="10"/>
        <v>45659</v>
      </c>
      <c r="M98" t="s">
        <v>301</v>
      </c>
      <c r="N98" s="1">
        <f t="shared" si="11"/>
        <v>45528</v>
      </c>
      <c r="O98" s="1">
        <v>45485</v>
      </c>
      <c r="P98" s="1">
        <f t="shared" si="12"/>
        <v>45485</v>
      </c>
      <c r="Q98" t="s">
        <v>625</v>
      </c>
      <c r="R98">
        <v>51</v>
      </c>
      <c r="S98">
        <v>49</v>
      </c>
      <c r="T98" t="s">
        <v>26</v>
      </c>
      <c r="U98" s="8">
        <v>242.25</v>
      </c>
      <c r="V98" s="8">
        <f t="shared" si="13"/>
        <v>432.25</v>
      </c>
      <c r="W98" t="str">
        <f t="shared" si="14"/>
        <v>Sufficient Stock</v>
      </c>
      <c r="X98" s="9">
        <f t="shared" si="15"/>
        <v>45658</v>
      </c>
      <c r="Y98">
        <f t="shared" si="16"/>
        <v>-174</v>
      </c>
      <c r="Z98" t="str">
        <f t="shared" si="17"/>
        <v>Invalid Data</v>
      </c>
    </row>
    <row r="99" spans="1:26" x14ac:dyDescent="0.4">
      <c r="A99" t="s">
        <v>626</v>
      </c>
      <c r="B99" t="s">
        <v>627</v>
      </c>
      <c r="C99" t="s">
        <v>18</v>
      </c>
      <c r="D99" t="s">
        <v>628</v>
      </c>
      <c r="E99" t="s">
        <v>140</v>
      </c>
      <c r="F99">
        <v>52</v>
      </c>
      <c r="G99">
        <v>81</v>
      </c>
      <c r="H99">
        <v>53</v>
      </c>
      <c r="I99" t="s">
        <v>106</v>
      </c>
      <c r="J99" s="7">
        <f t="shared" si="9"/>
        <v>2</v>
      </c>
      <c r="K99" t="s">
        <v>629</v>
      </c>
      <c r="L99" s="1">
        <f t="shared" si="10"/>
        <v>45532</v>
      </c>
      <c r="M99" t="s">
        <v>630</v>
      </c>
      <c r="N99" s="1">
        <f t="shared" si="11"/>
        <v>45623</v>
      </c>
      <c r="O99" t="s">
        <v>214</v>
      </c>
      <c r="P99" s="1">
        <f t="shared" si="12"/>
        <v>45712</v>
      </c>
      <c r="Q99" t="s">
        <v>631</v>
      </c>
      <c r="R99">
        <v>95</v>
      </c>
      <c r="S99">
        <v>88</v>
      </c>
      <c r="T99" t="s">
        <v>42</v>
      </c>
      <c r="U99" s="8">
        <v>190</v>
      </c>
      <c r="V99" s="8">
        <f t="shared" si="13"/>
        <v>104</v>
      </c>
      <c r="W99" t="str">
        <f t="shared" si="14"/>
        <v>Reorder Required</v>
      </c>
      <c r="X99" s="9">
        <f t="shared" si="15"/>
        <v>45505</v>
      </c>
      <c r="Y99">
        <f t="shared" si="16"/>
        <v>180</v>
      </c>
      <c r="Z99" t="str">
        <f t="shared" si="17"/>
        <v>Medium Risk</v>
      </c>
    </row>
    <row r="100" spans="1:26" x14ac:dyDescent="0.4">
      <c r="A100" t="s">
        <v>632</v>
      </c>
      <c r="B100" t="s">
        <v>290</v>
      </c>
      <c r="C100" t="s">
        <v>54</v>
      </c>
      <c r="D100" t="s">
        <v>633</v>
      </c>
      <c r="E100" t="s">
        <v>634</v>
      </c>
      <c r="F100">
        <v>43</v>
      </c>
      <c r="G100">
        <v>66</v>
      </c>
      <c r="H100">
        <v>85</v>
      </c>
      <c r="I100" t="s">
        <v>71</v>
      </c>
      <c r="J100" s="7">
        <f t="shared" si="9"/>
        <v>2.5</v>
      </c>
      <c r="K100" t="s">
        <v>635</v>
      </c>
      <c r="L100" s="1">
        <f t="shared" si="10"/>
        <v>45402</v>
      </c>
      <c r="M100" t="s">
        <v>636</v>
      </c>
      <c r="N100" s="1">
        <f t="shared" si="11"/>
        <v>45549</v>
      </c>
      <c r="O100" t="s">
        <v>637</v>
      </c>
      <c r="P100" s="1">
        <f t="shared" si="12"/>
        <v>45401</v>
      </c>
      <c r="Q100" t="s">
        <v>638</v>
      </c>
      <c r="R100">
        <v>66</v>
      </c>
      <c r="S100">
        <v>65</v>
      </c>
      <c r="T100" t="s">
        <v>26</v>
      </c>
      <c r="U100" s="8">
        <v>165</v>
      </c>
      <c r="V100" s="8">
        <f t="shared" si="13"/>
        <v>107.5</v>
      </c>
      <c r="W100" t="str">
        <f t="shared" si="14"/>
        <v>Reorder Required</v>
      </c>
      <c r="X100" s="9">
        <f t="shared" si="15"/>
        <v>45383</v>
      </c>
      <c r="Y100">
        <f t="shared" si="16"/>
        <v>-1</v>
      </c>
      <c r="Z100" t="str">
        <f t="shared" si="17"/>
        <v>Invalid Data</v>
      </c>
    </row>
    <row r="101" spans="1:26" x14ac:dyDescent="0.4">
      <c r="A101" t="s">
        <v>639</v>
      </c>
      <c r="B101" t="s">
        <v>332</v>
      </c>
      <c r="C101" t="s">
        <v>112</v>
      </c>
      <c r="D101" t="s">
        <v>640</v>
      </c>
      <c r="E101" t="s">
        <v>641</v>
      </c>
      <c r="F101">
        <v>56</v>
      </c>
      <c r="G101">
        <v>86</v>
      </c>
      <c r="H101">
        <v>23</v>
      </c>
      <c r="I101" t="s">
        <v>642</v>
      </c>
      <c r="J101" s="7">
        <f t="shared" si="9"/>
        <v>3.2</v>
      </c>
      <c r="K101" t="s">
        <v>643</v>
      </c>
      <c r="L101" s="1">
        <f t="shared" si="10"/>
        <v>45397</v>
      </c>
      <c r="M101" t="s">
        <v>644</v>
      </c>
      <c r="N101" s="1">
        <f t="shared" si="11"/>
        <v>45411</v>
      </c>
      <c r="O101" s="1">
        <v>45539</v>
      </c>
      <c r="P101" s="1">
        <f t="shared" si="12"/>
        <v>45539</v>
      </c>
      <c r="Q101" t="s">
        <v>645</v>
      </c>
      <c r="R101">
        <v>67</v>
      </c>
      <c r="S101">
        <v>56</v>
      </c>
      <c r="T101" t="s">
        <v>42</v>
      </c>
      <c r="U101" s="8">
        <v>214.4</v>
      </c>
      <c r="V101" s="8">
        <f t="shared" si="13"/>
        <v>179.20000000000002</v>
      </c>
      <c r="W101" t="str">
        <f t="shared" si="14"/>
        <v>Reorder Required</v>
      </c>
      <c r="X101" s="9">
        <f t="shared" si="15"/>
        <v>45383</v>
      </c>
      <c r="Y101">
        <f t="shared" si="16"/>
        <v>142</v>
      </c>
      <c r="Z101" t="str">
        <f t="shared" si="17"/>
        <v>Medium Risk</v>
      </c>
    </row>
    <row r="102" spans="1:26" x14ac:dyDescent="0.4">
      <c r="A102" t="s">
        <v>646</v>
      </c>
      <c r="B102" t="s">
        <v>447</v>
      </c>
      <c r="C102" t="s">
        <v>77</v>
      </c>
      <c r="D102" t="s">
        <v>647</v>
      </c>
      <c r="E102" t="s">
        <v>648</v>
      </c>
      <c r="F102">
        <v>66</v>
      </c>
      <c r="G102">
        <v>40</v>
      </c>
      <c r="H102">
        <v>8</v>
      </c>
      <c r="I102" t="s">
        <v>39</v>
      </c>
      <c r="J102" s="7">
        <f t="shared" si="9"/>
        <v>6</v>
      </c>
      <c r="K102" t="s">
        <v>630</v>
      </c>
      <c r="L102" s="1">
        <f t="shared" si="10"/>
        <v>45623</v>
      </c>
      <c r="M102" t="s">
        <v>649</v>
      </c>
      <c r="N102" s="1">
        <f t="shared" si="11"/>
        <v>45675</v>
      </c>
      <c r="O102" s="1">
        <v>45809</v>
      </c>
      <c r="P102" s="1">
        <f t="shared" si="12"/>
        <v>45809</v>
      </c>
      <c r="Q102" t="s">
        <v>650</v>
      </c>
      <c r="R102">
        <v>43</v>
      </c>
      <c r="S102">
        <v>49</v>
      </c>
      <c r="T102" t="s">
        <v>51</v>
      </c>
      <c r="U102" s="8">
        <v>258</v>
      </c>
      <c r="V102" s="8">
        <f t="shared" si="13"/>
        <v>396</v>
      </c>
      <c r="W102" t="str">
        <f t="shared" si="14"/>
        <v>Sufficient Stock</v>
      </c>
      <c r="X102" s="9">
        <f t="shared" si="15"/>
        <v>45597</v>
      </c>
      <c r="Y102">
        <f t="shared" si="16"/>
        <v>186</v>
      </c>
      <c r="Z102" t="str">
        <f t="shared" si="17"/>
        <v>Low Risk</v>
      </c>
    </row>
    <row r="103" spans="1:26" x14ac:dyDescent="0.4">
      <c r="A103" t="s">
        <v>651</v>
      </c>
      <c r="B103" t="s">
        <v>138</v>
      </c>
      <c r="C103" t="s">
        <v>18</v>
      </c>
      <c r="D103" t="s">
        <v>652</v>
      </c>
      <c r="E103" t="s">
        <v>653</v>
      </c>
      <c r="F103">
        <v>84</v>
      </c>
      <c r="G103">
        <v>92</v>
      </c>
      <c r="H103">
        <v>18</v>
      </c>
      <c r="I103" t="s">
        <v>47</v>
      </c>
      <c r="J103" s="7">
        <f t="shared" si="9"/>
        <v>1.5</v>
      </c>
      <c r="K103" t="s">
        <v>654</v>
      </c>
      <c r="L103" s="1">
        <f t="shared" si="10"/>
        <v>45594</v>
      </c>
      <c r="M103" t="s">
        <v>655</v>
      </c>
      <c r="N103" s="1">
        <f t="shared" si="11"/>
        <v>45655</v>
      </c>
      <c r="O103" t="s">
        <v>656</v>
      </c>
      <c r="P103" s="1">
        <f t="shared" si="12"/>
        <v>45347</v>
      </c>
      <c r="Q103" t="s">
        <v>657</v>
      </c>
      <c r="R103">
        <v>92</v>
      </c>
      <c r="S103">
        <v>69</v>
      </c>
      <c r="T103" t="s">
        <v>51</v>
      </c>
      <c r="U103" s="8">
        <v>138</v>
      </c>
      <c r="V103" s="8">
        <f t="shared" si="13"/>
        <v>126</v>
      </c>
      <c r="W103" t="str">
        <f t="shared" si="14"/>
        <v>Reorder Required</v>
      </c>
      <c r="X103" s="9">
        <f t="shared" si="15"/>
        <v>45566</v>
      </c>
      <c r="Y103">
        <f t="shared" si="16"/>
        <v>-247</v>
      </c>
      <c r="Z103" t="str">
        <f t="shared" si="17"/>
        <v>Invalid Data</v>
      </c>
    </row>
    <row r="104" spans="1:26" x14ac:dyDescent="0.4">
      <c r="A104" t="s">
        <v>658</v>
      </c>
      <c r="B104" t="s">
        <v>659</v>
      </c>
      <c r="C104" t="s">
        <v>77</v>
      </c>
      <c r="D104" t="s">
        <v>660</v>
      </c>
      <c r="E104" t="s">
        <v>265</v>
      </c>
      <c r="F104">
        <v>37</v>
      </c>
      <c r="G104">
        <v>5</v>
      </c>
      <c r="H104">
        <v>1</v>
      </c>
      <c r="I104" t="s">
        <v>220</v>
      </c>
      <c r="J104" s="7">
        <f t="shared" si="9"/>
        <v>5</v>
      </c>
      <c r="K104" s="1">
        <v>45689</v>
      </c>
      <c r="L104" s="1">
        <f t="shared" si="10"/>
        <v>45689</v>
      </c>
      <c r="M104" t="s">
        <v>555</v>
      </c>
      <c r="N104" s="1">
        <f t="shared" si="11"/>
        <v>45348</v>
      </c>
      <c r="O104" t="s">
        <v>367</v>
      </c>
      <c r="P104" s="1">
        <f t="shared" si="12"/>
        <v>45624</v>
      </c>
      <c r="Q104" t="s">
        <v>661</v>
      </c>
      <c r="R104">
        <v>68</v>
      </c>
      <c r="S104">
        <v>99</v>
      </c>
      <c r="T104" t="s">
        <v>51</v>
      </c>
      <c r="U104" s="8">
        <v>340</v>
      </c>
      <c r="V104" s="8">
        <f t="shared" si="13"/>
        <v>185</v>
      </c>
      <c r="W104" t="str">
        <f t="shared" si="14"/>
        <v>Sufficient Stock</v>
      </c>
      <c r="X104" s="9">
        <f t="shared" si="15"/>
        <v>45689</v>
      </c>
      <c r="Y104">
        <f t="shared" si="16"/>
        <v>-65</v>
      </c>
      <c r="Z104" t="str">
        <f t="shared" si="17"/>
        <v>Invalid Data</v>
      </c>
    </row>
    <row r="105" spans="1:26" x14ac:dyDescent="0.4">
      <c r="A105" t="s">
        <v>662</v>
      </c>
      <c r="B105" t="s">
        <v>663</v>
      </c>
      <c r="C105" t="s">
        <v>77</v>
      </c>
      <c r="D105" t="s">
        <v>664</v>
      </c>
      <c r="E105" t="s">
        <v>665</v>
      </c>
      <c r="F105">
        <v>29</v>
      </c>
      <c r="G105">
        <v>36</v>
      </c>
      <c r="H105">
        <v>40</v>
      </c>
      <c r="I105" t="s">
        <v>57</v>
      </c>
      <c r="J105" s="7">
        <f t="shared" si="9"/>
        <v>4</v>
      </c>
      <c r="K105" s="1">
        <v>45515</v>
      </c>
      <c r="L105" s="1">
        <f t="shared" si="10"/>
        <v>45515</v>
      </c>
      <c r="M105" t="s">
        <v>666</v>
      </c>
      <c r="N105" s="1">
        <f t="shared" si="11"/>
        <v>45381</v>
      </c>
      <c r="O105" s="1">
        <v>45482</v>
      </c>
      <c r="P105" s="1">
        <f t="shared" si="12"/>
        <v>45482</v>
      </c>
      <c r="Q105" t="s">
        <v>667</v>
      </c>
      <c r="R105">
        <v>60</v>
      </c>
      <c r="S105">
        <v>96</v>
      </c>
      <c r="T105" t="s">
        <v>42</v>
      </c>
      <c r="U105" s="8">
        <v>240</v>
      </c>
      <c r="V105" s="8">
        <f t="shared" si="13"/>
        <v>116</v>
      </c>
      <c r="W105" t="str">
        <f t="shared" si="14"/>
        <v>Reorder Required</v>
      </c>
      <c r="X105" s="9">
        <f t="shared" si="15"/>
        <v>45505</v>
      </c>
      <c r="Y105">
        <f t="shared" si="16"/>
        <v>-33</v>
      </c>
      <c r="Z105" t="str">
        <f t="shared" si="17"/>
        <v>Invalid Data</v>
      </c>
    </row>
    <row r="106" spans="1:26" x14ac:dyDescent="0.4">
      <c r="A106" t="s">
        <v>668</v>
      </c>
      <c r="B106" t="s">
        <v>669</v>
      </c>
      <c r="C106" t="s">
        <v>18</v>
      </c>
      <c r="D106" t="s">
        <v>670</v>
      </c>
      <c r="E106" t="s">
        <v>235</v>
      </c>
      <c r="F106">
        <v>13</v>
      </c>
      <c r="G106">
        <v>88</v>
      </c>
      <c r="H106">
        <v>7</v>
      </c>
      <c r="I106" t="s">
        <v>671</v>
      </c>
      <c r="J106" s="7">
        <f t="shared" si="9"/>
        <v>9.5</v>
      </c>
      <c r="K106" t="s">
        <v>358</v>
      </c>
      <c r="L106" s="1">
        <f t="shared" si="10"/>
        <v>45501</v>
      </c>
      <c r="M106" t="s">
        <v>372</v>
      </c>
      <c r="N106" s="1">
        <f t="shared" si="11"/>
        <v>45427</v>
      </c>
      <c r="O106" s="1">
        <v>45358</v>
      </c>
      <c r="P106" s="1">
        <f t="shared" si="12"/>
        <v>45358</v>
      </c>
      <c r="Q106" t="s">
        <v>672</v>
      </c>
      <c r="R106">
        <v>24</v>
      </c>
      <c r="S106">
        <v>21</v>
      </c>
      <c r="T106" t="s">
        <v>42</v>
      </c>
      <c r="U106" s="8">
        <v>228</v>
      </c>
      <c r="V106" s="8">
        <f t="shared" si="13"/>
        <v>123.5</v>
      </c>
      <c r="W106" t="str">
        <f t="shared" si="14"/>
        <v>Reorder Required</v>
      </c>
      <c r="X106" s="9">
        <f t="shared" si="15"/>
        <v>45474</v>
      </c>
      <c r="Y106">
        <f t="shared" si="16"/>
        <v>-143</v>
      </c>
      <c r="Z106" t="str">
        <f t="shared" si="17"/>
        <v>Invalid Data</v>
      </c>
    </row>
    <row r="107" spans="1:26" x14ac:dyDescent="0.4">
      <c r="A107" t="s">
        <v>673</v>
      </c>
      <c r="B107" t="s">
        <v>311</v>
      </c>
      <c r="C107" t="s">
        <v>54</v>
      </c>
      <c r="D107" t="s">
        <v>674</v>
      </c>
      <c r="E107" t="s">
        <v>198</v>
      </c>
      <c r="F107">
        <v>63</v>
      </c>
      <c r="G107">
        <v>81</v>
      </c>
      <c r="H107">
        <v>94</v>
      </c>
      <c r="I107" t="s">
        <v>71</v>
      </c>
      <c r="J107" s="7">
        <f t="shared" si="9"/>
        <v>2.5</v>
      </c>
      <c r="K107" s="1">
        <v>45388</v>
      </c>
      <c r="L107" s="1">
        <f t="shared" si="10"/>
        <v>45388</v>
      </c>
      <c r="M107" t="s">
        <v>635</v>
      </c>
      <c r="N107" s="1">
        <f t="shared" si="11"/>
        <v>45402</v>
      </c>
      <c r="O107" t="s">
        <v>229</v>
      </c>
      <c r="P107" s="1">
        <f t="shared" si="12"/>
        <v>45615</v>
      </c>
      <c r="Q107" t="s">
        <v>675</v>
      </c>
      <c r="R107">
        <v>56</v>
      </c>
      <c r="S107">
        <v>2</v>
      </c>
      <c r="T107" t="s">
        <v>51</v>
      </c>
      <c r="U107" s="8">
        <v>140</v>
      </c>
      <c r="V107" s="8">
        <f t="shared" si="13"/>
        <v>157.5</v>
      </c>
      <c r="W107" t="str">
        <f t="shared" si="14"/>
        <v>Reorder Required</v>
      </c>
      <c r="X107" s="9">
        <f t="shared" si="15"/>
        <v>45383</v>
      </c>
      <c r="Y107">
        <f t="shared" si="16"/>
        <v>227</v>
      </c>
      <c r="Z107" t="str">
        <f t="shared" si="17"/>
        <v>Low Risk</v>
      </c>
    </row>
    <row r="108" spans="1:26" x14ac:dyDescent="0.4">
      <c r="A108" t="s">
        <v>676</v>
      </c>
      <c r="B108" t="s">
        <v>677</v>
      </c>
      <c r="C108" t="s">
        <v>169</v>
      </c>
      <c r="D108" t="s">
        <v>678</v>
      </c>
      <c r="E108" t="s">
        <v>352</v>
      </c>
      <c r="F108">
        <v>95</v>
      </c>
      <c r="G108">
        <v>63</v>
      </c>
      <c r="H108">
        <v>73</v>
      </c>
      <c r="I108" t="s">
        <v>134</v>
      </c>
      <c r="J108" s="7">
        <f t="shared" si="9"/>
        <v>7</v>
      </c>
      <c r="K108" t="s">
        <v>341</v>
      </c>
      <c r="L108" s="1">
        <f t="shared" si="10"/>
        <v>45613</v>
      </c>
      <c r="M108" s="1">
        <v>45418</v>
      </c>
      <c r="N108" s="1">
        <f t="shared" si="11"/>
        <v>45418</v>
      </c>
      <c r="O108" s="1">
        <v>45507</v>
      </c>
      <c r="P108" s="1">
        <f t="shared" si="12"/>
        <v>45507</v>
      </c>
      <c r="Q108" t="s">
        <v>679</v>
      </c>
      <c r="R108">
        <v>61</v>
      </c>
      <c r="S108">
        <v>38</v>
      </c>
      <c r="T108" t="s">
        <v>42</v>
      </c>
      <c r="U108" s="8">
        <v>427</v>
      </c>
      <c r="V108" s="8">
        <f t="shared" si="13"/>
        <v>665</v>
      </c>
      <c r="W108" t="str">
        <f t="shared" si="14"/>
        <v>Sufficient Stock</v>
      </c>
      <c r="X108" s="9">
        <f t="shared" si="15"/>
        <v>45597</v>
      </c>
      <c r="Y108">
        <f t="shared" si="16"/>
        <v>-106</v>
      </c>
      <c r="Z108" t="str">
        <f t="shared" si="17"/>
        <v>Invalid Data</v>
      </c>
    </row>
    <row r="109" spans="1:26" x14ac:dyDescent="0.4">
      <c r="A109" t="s">
        <v>680</v>
      </c>
      <c r="B109" t="s">
        <v>681</v>
      </c>
      <c r="C109" t="s">
        <v>54</v>
      </c>
      <c r="D109" t="s">
        <v>682</v>
      </c>
      <c r="E109" t="s">
        <v>683</v>
      </c>
      <c r="F109">
        <v>58</v>
      </c>
      <c r="G109">
        <v>5</v>
      </c>
      <c r="H109">
        <v>1</v>
      </c>
      <c r="I109" t="s">
        <v>106</v>
      </c>
      <c r="J109" s="7">
        <f t="shared" si="9"/>
        <v>2</v>
      </c>
      <c r="K109" s="1">
        <v>45332</v>
      </c>
      <c r="L109" s="1">
        <f t="shared" si="10"/>
        <v>45332</v>
      </c>
      <c r="M109" t="s">
        <v>108</v>
      </c>
      <c r="N109" s="1">
        <f t="shared" si="11"/>
        <v>45579</v>
      </c>
      <c r="O109" s="1">
        <v>45447</v>
      </c>
      <c r="P109" s="1">
        <f t="shared" si="12"/>
        <v>45447</v>
      </c>
      <c r="Q109" t="s">
        <v>684</v>
      </c>
      <c r="R109">
        <v>53</v>
      </c>
      <c r="S109">
        <v>80</v>
      </c>
      <c r="T109" t="s">
        <v>51</v>
      </c>
      <c r="U109" s="8">
        <v>106</v>
      </c>
      <c r="V109" s="8">
        <f t="shared" si="13"/>
        <v>116</v>
      </c>
      <c r="W109" t="str">
        <f t="shared" si="14"/>
        <v>Sufficient Stock</v>
      </c>
      <c r="X109" s="9">
        <f t="shared" si="15"/>
        <v>45323</v>
      </c>
      <c r="Y109">
        <f t="shared" si="16"/>
        <v>115</v>
      </c>
      <c r="Z109" t="str">
        <f t="shared" si="17"/>
        <v>Medium Risk</v>
      </c>
    </row>
    <row r="110" spans="1:26" x14ac:dyDescent="0.4">
      <c r="A110" t="s">
        <v>685</v>
      </c>
      <c r="B110" t="s">
        <v>582</v>
      </c>
      <c r="C110" t="s">
        <v>68</v>
      </c>
      <c r="D110" t="s">
        <v>686</v>
      </c>
      <c r="E110" t="s">
        <v>687</v>
      </c>
      <c r="F110">
        <v>57</v>
      </c>
      <c r="G110">
        <v>36</v>
      </c>
      <c r="H110">
        <v>53</v>
      </c>
      <c r="I110" t="s">
        <v>57</v>
      </c>
      <c r="J110" s="7">
        <f t="shared" si="9"/>
        <v>4</v>
      </c>
      <c r="K110" s="1">
        <v>45388</v>
      </c>
      <c r="L110" s="1">
        <f t="shared" si="10"/>
        <v>45388</v>
      </c>
      <c r="M110" t="s">
        <v>688</v>
      </c>
      <c r="N110" s="1">
        <f t="shared" si="11"/>
        <v>45459</v>
      </c>
      <c r="O110" t="s">
        <v>236</v>
      </c>
      <c r="P110" s="1">
        <f t="shared" si="12"/>
        <v>45379</v>
      </c>
      <c r="Q110" t="s">
        <v>689</v>
      </c>
      <c r="R110">
        <v>56</v>
      </c>
      <c r="S110">
        <v>32</v>
      </c>
      <c r="T110" t="s">
        <v>42</v>
      </c>
      <c r="U110" s="8">
        <v>224</v>
      </c>
      <c r="V110" s="8">
        <f t="shared" si="13"/>
        <v>228</v>
      </c>
      <c r="W110" t="str">
        <f t="shared" si="14"/>
        <v>Sufficient Stock</v>
      </c>
      <c r="X110" s="9">
        <f t="shared" si="15"/>
        <v>45383</v>
      </c>
      <c r="Y110">
        <f t="shared" si="16"/>
        <v>-9</v>
      </c>
      <c r="Z110" t="str">
        <f t="shared" si="17"/>
        <v>Invalid Data</v>
      </c>
    </row>
    <row r="111" spans="1:26" x14ac:dyDescent="0.4">
      <c r="A111" t="s">
        <v>690</v>
      </c>
      <c r="B111" t="s">
        <v>412</v>
      </c>
      <c r="C111" t="s">
        <v>169</v>
      </c>
      <c r="D111" t="s">
        <v>691</v>
      </c>
      <c r="E111" t="s">
        <v>692</v>
      </c>
      <c r="F111">
        <v>33</v>
      </c>
      <c r="G111">
        <v>18</v>
      </c>
      <c r="H111">
        <v>92</v>
      </c>
      <c r="I111" t="s">
        <v>39</v>
      </c>
      <c r="J111" s="7">
        <f t="shared" si="9"/>
        <v>6</v>
      </c>
      <c r="K111" s="1">
        <v>45357</v>
      </c>
      <c r="L111" s="1">
        <f t="shared" si="10"/>
        <v>45357</v>
      </c>
      <c r="M111" t="s">
        <v>428</v>
      </c>
      <c r="N111" s="1">
        <f t="shared" si="11"/>
        <v>45561</v>
      </c>
      <c r="O111" t="s">
        <v>116</v>
      </c>
      <c r="P111" s="1">
        <f t="shared" si="12"/>
        <v>45491</v>
      </c>
      <c r="Q111" t="s">
        <v>693</v>
      </c>
      <c r="R111">
        <v>98</v>
      </c>
      <c r="S111">
        <v>56</v>
      </c>
      <c r="T111" t="s">
        <v>26</v>
      </c>
      <c r="U111" s="8">
        <v>588</v>
      </c>
      <c r="V111" s="8">
        <f t="shared" si="13"/>
        <v>198</v>
      </c>
      <c r="W111" t="str">
        <f t="shared" si="14"/>
        <v>Sufficient Stock</v>
      </c>
      <c r="X111" s="9">
        <f t="shared" si="15"/>
        <v>45352</v>
      </c>
      <c r="Y111">
        <f t="shared" si="16"/>
        <v>134</v>
      </c>
      <c r="Z111" t="str">
        <f t="shared" si="17"/>
        <v>Medium Risk</v>
      </c>
    </row>
    <row r="112" spans="1:26" x14ac:dyDescent="0.4">
      <c r="A112" t="s">
        <v>694</v>
      </c>
      <c r="B112" t="s">
        <v>28</v>
      </c>
      <c r="C112" t="s">
        <v>29</v>
      </c>
      <c r="D112" t="s">
        <v>695</v>
      </c>
      <c r="E112" t="s">
        <v>120</v>
      </c>
      <c r="F112">
        <v>62</v>
      </c>
      <c r="G112">
        <v>89</v>
      </c>
      <c r="H112">
        <v>6</v>
      </c>
      <c r="I112" t="s">
        <v>32</v>
      </c>
      <c r="J112" s="7">
        <f t="shared" si="9"/>
        <v>20</v>
      </c>
      <c r="K112" s="1">
        <v>45513</v>
      </c>
      <c r="L112" s="1">
        <f t="shared" si="10"/>
        <v>45513</v>
      </c>
      <c r="M112" s="1">
        <v>45449</v>
      </c>
      <c r="N112" s="1">
        <f t="shared" si="11"/>
        <v>45449</v>
      </c>
      <c r="O112" t="s">
        <v>479</v>
      </c>
      <c r="P112" s="1">
        <f t="shared" si="12"/>
        <v>45672</v>
      </c>
      <c r="Q112" t="s">
        <v>696</v>
      </c>
      <c r="R112">
        <v>23</v>
      </c>
      <c r="S112">
        <v>11</v>
      </c>
      <c r="T112" t="s">
        <v>26</v>
      </c>
      <c r="U112" s="8">
        <v>460</v>
      </c>
      <c r="V112" s="8">
        <f t="shared" si="13"/>
        <v>1240</v>
      </c>
      <c r="W112" t="str">
        <f t="shared" si="14"/>
        <v>Reorder Required</v>
      </c>
      <c r="X112" s="9">
        <f t="shared" si="15"/>
        <v>45505</v>
      </c>
      <c r="Y112">
        <f t="shared" si="16"/>
        <v>159</v>
      </c>
      <c r="Z112" t="str">
        <f t="shared" si="17"/>
        <v>Medium Risk</v>
      </c>
    </row>
    <row r="113" spans="1:26" x14ac:dyDescent="0.4">
      <c r="A113" t="s">
        <v>697</v>
      </c>
      <c r="B113" t="s">
        <v>698</v>
      </c>
      <c r="C113" t="s">
        <v>54</v>
      </c>
      <c r="D113" t="s">
        <v>699</v>
      </c>
      <c r="E113" t="s">
        <v>198</v>
      </c>
      <c r="F113">
        <v>89</v>
      </c>
      <c r="G113">
        <v>57</v>
      </c>
      <c r="H113">
        <v>92</v>
      </c>
      <c r="I113" t="s">
        <v>220</v>
      </c>
      <c r="J113" s="7">
        <f t="shared" si="9"/>
        <v>5</v>
      </c>
      <c r="K113" t="s">
        <v>700</v>
      </c>
      <c r="L113" s="1">
        <f t="shared" si="10"/>
        <v>45519</v>
      </c>
      <c r="M113" t="s">
        <v>128</v>
      </c>
      <c r="N113" s="1">
        <f t="shared" si="11"/>
        <v>45457</v>
      </c>
      <c r="O113" t="s">
        <v>701</v>
      </c>
      <c r="P113" s="1">
        <f t="shared" si="12"/>
        <v>45649</v>
      </c>
      <c r="Q113" t="s">
        <v>702</v>
      </c>
      <c r="R113">
        <v>38</v>
      </c>
      <c r="S113">
        <v>16</v>
      </c>
      <c r="T113" t="s">
        <v>51</v>
      </c>
      <c r="U113" s="8">
        <v>190</v>
      </c>
      <c r="V113" s="8">
        <f t="shared" si="13"/>
        <v>445</v>
      </c>
      <c r="W113" t="str">
        <f t="shared" si="14"/>
        <v>Sufficient Stock</v>
      </c>
      <c r="X113" s="9">
        <f t="shared" si="15"/>
        <v>45505</v>
      </c>
      <c r="Y113">
        <f t="shared" si="16"/>
        <v>130</v>
      </c>
      <c r="Z113" t="str">
        <f t="shared" si="17"/>
        <v>Medium Risk</v>
      </c>
    </row>
    <row r="114" spans="1:26" x14ac:dyDescent="0.4">
      <c r="A114" t="s">
        <v>703</v>
      </c>
      <c r="B114" t="s">
        <v>704</v>
      </c>
      <c r="C114" t="s">
        <v>169</v>
      </c>
      <c r="D114" t="s">
        <v>705</v>
      </c>
      <c r="E114" t="s">
        <v>706</v>
      </c>
      <c r="F114">
        <v>23</v>
      </c>
      <c r="G114">
        <v>42</v>
      </c>
      <c r="H114">
        <v>87</v>
      </c>
      <c r="I114" t="s">
        <v>147</v>
      </c>
      <c r="J114" s="7">
        <f t="shared" si="9"/>
        <v>8</v>
      </c>
      <c r="K114" s="1">
        <v>45659</v>
      </c>
      <c r="L114" s="1">
        <f t="shared" si="10"/>
        <v>45659</v>
      </c>
      <c r="M114" t="s">
        <v>536</v>
      </c>
      <c r="N114" s="1">
        <f t="shared" si="11"/>
        <v>45488</v>
      </c>
      <c r="O114" t="s">
        <v>561</v>
      </c>
      <c r="P114" s="1">
        <f t="shared" si="12"/>
        <v>45375</v>
      </c>
      <c r="Q114" t="s">
        <v>707</v>
      </c>
      <c r="R114">
        <v>63</v>
      </c>
      <c r="S114">
        <v>5</v>
      </c>
      <c r="T114" t="s">
        <v>42</v>
      </c>
      <c r="U114" s="8">
        <v>504</v>
      </c>
      <c r="V114" s="8">
        <f t="shared" si="13"/>
        <v>184</v>
      </c>
      <c r="W114" t="str">
        <f t="shared" si="14"/>
        <v>Reorder Required</v>
      </c>
      <c r="X114" s="9">
        <f t="shared" si="15"/>
        <v>45658</v>
      </c>
      <c r="Y114">
        <f t="shared" si="16"/>
        <v>-284</v>
      </c>
      <c r="Z114" t="str">
        <f t="shared" si="17"/>
        <v>Invalid Data</v>
      </c>
    </row>
    <row r="115" spans="1:26" x14ac:dyDescent="0.4">
      <c r="A115" t="s">
        <v>708</v>
      </c>
      <c r="B115" t="s">
        <v>709</v>
      </c>
      <c r="C115" t="s">
        <v>54</v>
      </c>
      <c r="D115" t="s">
        <v>710</v>
      </c>
      <c r="E115" t="s">
        <v>38</v>
      </c>
      <c r="F115">
        <v>56</v>
      </c>
      <c r="G115">
        <v>12</v>
      </c>
      <c r="H115">
        <v>59</v>
      </c>
      <c r="I115" t="s">
        <v>711</v>
      </c>
      <c r="J115" s="7">
        <f t="shared" si="9"/>
        <v>98.43</v>
      </c>
      <c r="K115" t="s">
        <v>712</v>
      </c>
      <c r="L115" s="1">
        <f t="shared" si="10"/>
        <v>45552</v>
      </c>
      <c r="M115" t="s">
        <v>422</v>
      </c>
      <c r="N115" s="1">
        <f t="shared" si="11"/>
        <v>45531</v>
      </c>
      <c r="O115" s="1">
        <v>45690</v>
      </c>
      <c r="P115" s="1">
        <f t="shared" si="12"/>
        <v>45690</v>
      </c>
      <c r="Q115" t="s">
        <v>713</v>
      </c>
      <c r="R115">
        <v>35</v>
      </c>
      <c r="S115">
        <v>16</v>
      </c>
      <c r="T115" t="s">
        <v>51</v>
      </c>
      <c r="U115" s="8">
        <v>3445.05</v>
      </c>
      <c r="V115" s="8">
        <f t="shared" si="13"/>
        <v>5512.08</v>
      </c>
      <c r="W115" t="str">
        <f t="shared" si="14"/>
        <v>Sufficient Stock</v>
      </c>
      <c r="X115" s="9">
        <f t="shared" si="15"/>
        <v>45536</v>
      </c>
      <c r="Y115">
        <f t="shared" si="16"/>
        <v>138</v>
      </c>
      <c r="Z115" t="str">
        <f t="shared" si="17"/>
        <v>Medium Risk</v>
      </c>
    </row>
    <row r="116" spans="1:26" x14ac:dyDescent="0.4">
      <c r="A116" t="s">
        <v>714</v>
      </c>
      <c r="B116" t="s">
        <v>36</v>
      </c>
      <c r="C116" t="s">
        <v>18</v>
      </c>
      <c r="D116" t="s">
        <v>715</v>
      </c>
      <c r="E116" t="s">
        <v>716</v>
      </c>
      <c r="F116">
        <v>86</v>
      </c>
      <c r="G116">
        <v>100</v>
      </c>
      <c r="H116">
        <v>74</v>
      </c>
      <c r="I116" t="s">
        <v>717</v>
      </c>
      <c r="J116" s="7">
        <f t="shared" si="9"/>
        <v>6.1</v>
      </c>
      <c r="K116" t="s">
        <v>718</v>
      </c>
      <c r="L116" s="1">
        <f t="shared" si="10"/>
        <v>45376</v>
      </c>
      <c r="M116" t="s">
        <v>719</v>
      </c>
      <c r="N116" s="1">
        <f t="shared" si="11"/>
        <v>45674</v>
      </c>
      <c r="O116" t="s">
        <v>200</v>
      </c>
      <c r="P116" s="1">
        <f t="shared" si="12"/>
        <v>45442</v>
      </c>
      <c r="Q116" t="s">
        <v>720</v>
      </c>
      <c r="R116">
        <v>80</v>
      </c>
      <c r="S116">
        <v>94</v>
      </c>
      <c r="T116" t="s">
        <v>51</v>
      </c>
      <c r="U116" s="8">
        <v>488</v>
      </c>
      <c r="V116" s="8">
        <f t="shared" si="13"/>
        <v>524.6</v>
      </c>
      <c r="W116" t="str">
        <f t="shared" si="14"/>
        <v>Reorder Required</v>
      </c>
      <c r="X116" s="9">
        <f t="shared" si="15"/>
        <v>45352</v>
      </c>
      <c r="Y116">
        <f t="shared" si="16"/>
        <v>66</v>
      </c>
      <c r="Z116" t="str">
        <f t="shared" si="17"/>
        <v>High Risk</v>
      </c>
    </row>
    <row r="117" spans="1:26" x14ac:dyDescent="0.4">
      <c r="A117" t="s">
        <v>721</v>
      </c>
      <c r="B117" t="s">
        <v>722</v>
      </c>
      <c r="C117" t="s">
        <v>54</v>
      </c>
      <c r="D117" t="s">
        <v>723</v>
      </c>
      <c r="E117" t="s">
        <v>724</v>
      </c>
      <c r="F117">
        <v>60</v>
      </c>
      <c r="G117">
        <v>61</v>
      </c>
      <c r="H117">
        <v>2</v>
      </c>
      <c r="I117" t="s">
        <v>39</v>
      </c>
      <c r="J117" s="7">
        <f t="shared" si="9"/>
        <v>6</v>
      </c>
      <c r="K117" t="s">
        <v>725</v>
      </c>
      <c r="L117" s="1">
        <f t="shared" si="10"/>
        <v>45425</v>
      </c>
      <c r="M117" s="1">
        <v>45634</v>
      </c>
      <c r="N117" s="1">
        <f t="shared" si="11"/>
        <v>45634</v>
      </c>
      <c r="O117" t="s">
        <v>422</v>
      </c>
      <c r="P117" s="1">
        <f t="shared" si="12"/>
        <v>45531</v>
      </c>
      <c r="Q117" t="s">
        <v>726</v>
      </c>
      <c r="R117">
        <v>96</v>
      </c>
      <c r="S117">
        <v>50</v>
      </c>
      <c r="T117" t="s">
        <v>51</v>
      </c>
      <c r="U117" s="8">
        <v>576</v>
      </c>
      <c r="V117" s="8">
        <f t="shared" si="13"/>
        <v>360</v>
      </c>
      <c r="W117" t="str">
        <f t="shared" si="14"/>
        <v>Reorder Required</v>
      </c>
      <c r="X117" s="9">
        <f t="shared" si="15"/>
        <v>45413</v>
      </c>
      <c r="Y117">
        <f t="shared" si="16"/>
        <v>106</v>
      </c>
      <c r="Z117" t="str">
        <f t="shared" si="17"/>
        <v>Medium Risk</v>
      </c>
    </row>
    <row r="118" spans="1:26" x14ac:dyDescent="0.4">
      <c r="A118" t="s">
        <v>727</v>
      </c>
      <c r="B118" t="s">
        <v>239</v>
      </c>
      <c r="C118" t="s">
        <v>54</v>
      </c>
      <c r="D118" t="s">
        <v>728</v>
      </c>
      <c r="E118" t="s">
        <v>729</v>
      </c>
      <c r="F118">
        <v>70</v>
      </c>
      <c r="G118">
        <v>30</v>
      </c>
      <c r="H118">
        <v>69</v>
      </c>
      <c r="I118" t="s">
        <v>242</v>
      </c>
      <c r="J118" s="7">
        <f t="shared" si="9"/>
        <v>3.5</v>
      </c>
      <c r="K118" t="s">
        <v>251</v>
      </c>
      <c r="L118" s="1">
        <f t="shared" si="10"/>
        <v>45517</v>
      </c>
      <c r="M118" s="1">
        <v>45718</v>
      </c>
      <c r="N118" s="1">
        <f t="shared" si="11"/>
        <v>45718</v>
      </c>
      <c r="O118" t="s">
        <v>730</v>
      </c>
      <c r="P118" s="1">
        <f t="shared" si="12"/>
        <v>45487</v>
      </c>
      <c r="Q118" t="s">
        <v>731</v>
      </c>
      <c r="R118">
        <v>44</v>
      </c>
      <c r="S118">
        <v>42</v>
      </c>
      <c r="T118" t="s">
        <v>26</v>
      </c>
      <c r="U118" s="8">
        <v>154</v>
      </c>
      <c r="V118" s="8">
        <f t="shared" si="13"/>
        <v>245</v>
      </c>
      <c r="W118" t="str">
        <f t="shared" si="14"/>
        <v>Sufficient Stock</v>
      </c>
      <c r="X118" s="9">
        <f t="shared" si="15"/>
        <v>45505</v>
      </c>
      <c r="Y118">
        <f t="shared" si="16"/>
        <v>-30</v>
      </c>
      <c r="Z118" t="str">
        <f t="shared" si="17"/>
        <v>Invalid Data</v>
      </c>
    </row>
    <row r="119" spans="1:26" x14ac:dyDescent="0.4">
      <c r="A119" t="s">
        <v>732</v>
      </c>
      <c r="B119" t="s">
        <v>733</v>
      </c>
      <c r="C119" t="s">
        <v>54</v>
      </c>
      <c r="D119" t="s">
        <v>734</v>
      </c>
      <c r="E119" t="s">
        <v>735</v>
      </c>
      <c r="F119">
        <v>47</v>
      </c>
      <c r="G119">
        <v>72</v>
      </c>
      <c r="H119">
        <v>73</v>
      </c>
      <c r="I119" t="s">
        <v>57</v>
      </c>
      <c r="J119" s="7">
        <f t="shared" si="9"/>
        <v>4</v>
      </c>
      <c r="K119" t="s">
        <v>736</v>
      </c>
      <c r="L119" s="1">
        <f t="shared" si="10"/>
        <v>45433</v>
      </c>
      <c r="M119" t="s">
        <v>666</v>
      </c>
      <c r="N119" s="1">
        <f t="shared" si="11"/>
        <v>45381</v>
      </c>
      <c r="O119" t="s">
        <v>328</v>
      </c>
      <c r="P119" s="1">
        <f t="shared" si="12"/>
        <v>45412</v>
      </c>
      <c r="Q119" t="s">
        <v>737</v>
      </c>
      <c r="R119">
        <v>93</v>
      </c>
      <c r="S119">
        <v>27</v>
      </c>
      <c r="T119" t="s">
        <v>42</v>
      </c>
      <c r="U119" s="8">
        <v>372</v>
      </c>
      <c r="V119" s="8">
        <f t="shared" si="13"/>
        <v>188</v>
      </c>
      <c r="W119" t="str">
        <f t="shared" si="14"/>
        <v>Reorder Required</v>
      </c>
      <c r="X119" s="9">
        <f t="shared" si="15"/>
        <v>45413</v>
      </c>
      <c r="Y119">
        <f t="shared" si="16"/>
        <v>-21</v>
      </c>
      <c r="Z119" t="str">
        <f t="shared" si="17"/>
        <v>Invalid Data</v>
      </c>
    </row>
    <row r="120" spans="1:26" x14ac:dyDescent="0.4">
      <c r="A120" t="s">
        <v>738</v>
      </c>
      <c r="B120" t="s">
        <v>517</v>
      </c>
      <c r="C120" t="s">
        <v>18</v>
      </c>
      <c r="D120" t="s">
        <v>739</v>
      </c>
      <c r="E120" t="s">
        <v>740</v>
      </c>
      <c r="F120">
        <v>95</v>
      </c>
      <c r="G120">
        <v>93</v>
      </c>
      <c r="H120">
        <v>16</v>
      </c>
      <c r="I120" t="s">
        <v>21</v>
      </c>
      <c r="J120" s="7">
        <f t="shared" si="9"/>
        <v>4.5</v>
      </c>
      <c r="K120" t="s">
        <v>402</v>
      </c>
      <c r="L120" s="1">
        <f t="shared" si="10"/>
        <v>45622</v>
      </c>
      <c r="M120" s="1">
        <v>45452</v>
      </c>
      <c r="N120" s="1">
        <f t="shared" si="11"/>
        <v>45452</v>
      </c>
      <c r="O120" t="s">
        <v>121</v>
      </c>
      <c r="P120" s="1">
        <f t="shared" si="12"/>
        <v>45556</v>
      </c>
      <c r="Q120" t="s">
        <v>741</v>
      </c>
      <c r="R120">
        <v>60</v>
      </c>
      <c r="S120">
        <v>19</v>
      </c>
      <c r="T120" t="s">
        <v>51</v>
      </c>
      <c r="U120" s="8">
        <v>270</v>
      </c>
      <c r="V120" s="8">
        <f t="shared" si="13"/>
        <v>427.5</v>
      </c>
      <c r="W120" t="str">
        <f t="shared" si="14"/>
        <v>Sufficient Stock</v>
      </c>
      <c r="X120" s="9">
        <f t="shared" si="15"/>
        <v>45597</v>
      </c>
      <c r="Y120">
        <f t="shared" si="16"/>
        <v>-66</v>
      </c>
      <c r="Z120" t="str">
        <f t="shared" si="17"/>
        <v>Invalid Data</v>
      </c>
    </row>
    <row r="121" spans="1:26" x14ac:dyDescent="0.4">
      <c r="A121" t="s">
        <v>742</v>
      </c>
      <c r="B121" t="s">
        <v>53</v>
      </c>
      <c r="C121" t="s">
        <v>54</v>
      </c>
      <c r="D121" t="s">
        <v>743</v>
      </c>
      <c r="E121" t="s">
        <v>744</v>
      </c>
      <c r="F121">
        <v>20</v>
      </c>
      <c r="G121">
        <v>42</v>
      </c>
      <c r="H121">
        <v>21</v>
      </c>
      <c r="I121" t="s">
        <v>745</v>
      </c>
      <c r="J121" s="7">
        <f t="shared" si="9"/>
        <v>3.85</v>
      </c>
      <c r="K121" t="s">
        <v>367</v>
      </c>
      <c r="L121" s="1">
        <f t="shared" si="10"/>
        <v>45624</v>
      </c>
      <c r="M121" t="s">
        <v>542</v>
      </c>
      <c r="N121" s="1">
        <f t="shared" si="11"/>
        <v>45684</v>
      </c>
      <c r="O121" t="s">
        <v>599</v>
      </c>
      <c r="P121" s="1">
        <f t="shared" si="12"/>
        <v>45708</v>
      </c>
      <c r="Q121" t="s">
        <v>746</v>
      </c>
      <c r="R121">
        <v>61</v>
      </c>
      <c r="S121">
        <v>25</v>
      </c>
      <c r="T121" t="s">
        <v>26</v>
      </c>
      <c r="U121" s="8">
        <v>234.85</v>
      </c>
      <c r="V121" s="8">
        <f t="shared" si="13"/>
        <v>77</v>
      </c>
      <c r="W121" t="str">
        <f t="shared" si="14"/>
        <v>Reorder Required</v>
      </c>
      <c r="X121" s="9">
        <f t="shared" si="15"/>
        <v>45597</v>
      </c>
      <c r="Y121">
        <f t="shared" si="16"/>
        <v>84</v>
      </c>
      <c r="Z121" t="str">
        <f t="shared" si="17"/>
        <v>High Risk</v>
      </c>
    </row>
    <row r="122" spans="1:26" x14ac:dyDescent="0.4">
      <c r="A122" t="s">
        <v>747</v>
      </c>
      <c r="B122" t="s">
        <v>17</v>
      </c>
      <c r="C122" t="s">
        <v>18</v>
      </c>
      <c r="D122" t="s">
        <v>748</v>
      </c>
      <c r="E122" t="s">
        <v>749</v>
      </c>
      <c r="F122">
        <v>19</v>
      </c>
      <c r="G122">
        <v>17</v>
      </c>
      <c r="H122">
        <v>14</v>
      </c>
      <c r="I122" t="s">
        <v>750</v>
      </c>
      <c r="J122" s="7">
        <f t="shared" si="9"/>
        <v>4.3</v>
      </c>
      <c r="K122" t="s">
        <v>382</v>
      </c>
      <c r="L122" s="1">
        <f t="shared" si="10"/>
        <v>45534</v>
      </c>
      <c r="M122" t="s">
        <v>23</v>
      </c>
      <c r="N122" s="1">
        <f t="shared" si="11"/>
        <v>45472</v>
      </c>
      <c r="O122" s="1">
        <v>45568</v>
      </c>
      <c r="P122" s="1">
        <f t="shared" si="12"/>
        <v>45568</v>
      </c>
      <c r="Q122" t="s">
        <v>751</v>
      </c>
      <c r="R122">
        <v>58</v>
      </c>
      <c r="S122">
        <v>23</v>
      </c>
      <c r="T122" t="s">
        <v>51</v>
      </c>
      <c r="U122" s="8">
        <v>249.39999999999998</v>
      </c>
      <c r="V122" s="8">
        <f t="shared" si="13"/>
        <v>81.7</v>
      </c>
      <c r="W122" t="str">
        <f t="shared" si="14"/>
        <v>Sufficient Stock</v>
      </c>
      <c r="X122" s="9">
        <f t="shared" si="15"/>
        <v>45505</v>
      </c>
      <c r="Y122">
        <f t="shared" si="16"/>
        <v>34</v>
      </c>
      <c r="Z122" t="str">
        <f t="shared" si="17"/>
        <v>High Risk</v>
      </c>
    </row>
    <row r="123" spans="1:26" x14ac:dyDescent="0.4">
      <c r="A123" t="s">
        <v>752</v>
      </c>
      <c r="B123" t="s">
        <v>28</v>
      </c>
      <c r="C123" t="s">
        <v>29</v>
      </c>
      <c r="D123" t="s">
        <v>753</v>
      </c>
      <c r="E123" t="s">
        <v>623</v>
      </c>
      <c r="F123">
        <v>74</v>
      </c>
      <c r="G123">
        <v>72</v>
      </c>
      <c r="H123">
        <v>18</v>
      </c>
      <c r="I123" t="s">
        <v>754</v>
      </c>
      <c r="J123" s="7">
        <f t="shared" si="9"/>
        <v>21</v>
      </c>
      <c r="K123" t="s">
        <v>755</v>
      </c>
      <c r="L123" s="1">
        <f t="shared" si="10"/>
        <v>45611</v>
      </c>
      <c r="M123" t="s">
        <v>135</v>
      </c>
      <c r="N123" s="1">
        <f t="shared" si="11"/>
        <v>45349</v>
      </c>
      <c r="O123" s="1">
        <v>45779</v>
      </c>
      <c r="P123" s="1">
        <f t="shared" si="12"/>
        <v>45779</v>
      </c>
      <c r="Q123" t="s">
        <v>756</v>
      </c>
      <c r="R123">
        <v>83</v>
      </c>
      <c r="S123">
        <v>54</v>
      </c>
      <c r="T123" t="s">
        <v>51</v>
      </c>
      <c r="U123" s="8">
        <v>1743</v>
      </c>
      <c r="V123" s="8">
        <f t="shared" si="13"/>
        <v>1554</v>
      </c>
      <c r="W123" t="str">
        <f t="shared" si="14"/>
        <v>Sufficient Stock</v>
      </c>
      <c r="X123" s="9">
        <f t="shared" si="15"/>
        <v>45597</v>
      </c>
      <c r="Y123">
        <f t="shared" si="16"/>
        <v>168</v>
      </c>
      <c r="Z123" t="str">
        <f t="shared" si="17"/>
        <v>Medium Risk</v>
      </c>
    </row>
    <row r="124" spans="1:26" x14ac:dyDescent="0.4">
      <c r="A124" t="s">
        <v>757</v>
      </c>
      <c r="B124" t="s">
        <v>225</v>
      </c>
      <c r="C124" t="s">
        <v>54</v>
      </c>
      <c r="D124" t="s">
        <v>758</v>
      </c>
      <c r="E124" t="s">
        <v>759</v>
      </c>
      <c r="F124">
        <v>61</v>
      </c>
      <c r="G124">
        <v>50</v>
      </c>
      <c r="H124">
        <v>9</v>
      </c>
      <c r="I124" t="s">
        <v>21</v>
      </c>
      <c r="J124" s="7">
        <f t="shared" si="9"/>
        <v>4.5</v>
      </c>
      <c r="K124" s="1">
        <v>45514</v>
      </c>
      <c r="L124" s="1">
        <f t="shared" si="10"/>
        <v>45514</v>
      </c>
      <c r="M124" t="s">
        <v>555</v>
      </c>
      <c r="N124" s="1">
        <f t="shared" si="11"/>
        <v>45348</v>
      </c>
      <c r="O124" t="s">
        <v>279</v>
      </c>
      <c r="P124" s="1">
        <f t="shared" si="12"/>
        <v>45676</v>
      </c>
      <c r="Q124" t="s">
        <v>760</v>
      </c>
      <c r="R124">
        <v>24</v>
      </c>
      <c r="S124">
        <v>92</v>
      </c>
      <c r="T124" t="s">
        <v>51</v>
      </c>
      <c r="U124" s="8">
        <v>108</v>
      </c>
      <c r="V124" s="8">
        <f t="shared" si="13"/>
        <v>274.5</v>
      </c>
      <c r="W124" t="str">
        <f t="shared" si="14"/>
        <v>Sufficient Stock</v>
      </c>
      <c r="X124" s="9">
        <f t="shared" si="15"/>
        <v>45505</v>
      </c>
      <c r="Y124">
        <f t="shared" si="16"/>
        <v>162</v>
      </c>
      <c r="Z124" t="str">
        <f t="shared" si="17"/>
        <v>Medium Risk</v>
      </c>
    </row>
    <row r="125" spans="1:26" x14ac:dyDescent="0.4">
      <c r="A125" t="s">
        <v>761</v>
      </c>
      <c r="B125" t="s">
        <v>363</v>
      </c>
      <c r="C125" t="s">
        <v>112</v>
      </c>
      <c r="D125" t="s">
        <v>762</v>
      </c>
      <c r="E125" t="s">
        <v>763</v>
      </c>
      <c r="F125">
        <v>34</v>
      </c>
      <c r="G125">
        <v>42</v>
      </c>
      <c r="H125">
        <v>86</v>
      </c>
      <c r="I125" t="s">
        <v>57</v>
      </c>
      <c r="J125" s="7">
        <f t="shared" si="9"/>
        <v>4</v>
      </c>
      <c r="K125" t="s">
        <v>347</v>
      </c>
      <c r="L125" s="1">
        <f t="shared" si="10"/>
        <v>45428</v>
      </c>
      <c r="M125" s="1">
        <v>45483</v>
      </c>
      <c r="N125" s="1">
        <f t="shared" si="11"/>
        <v>45483</v>
      </c>
      <c r="O125" s="1">
        <v>45295</v>
      </c>
      <c r="P125" s="1">
        <f t="shared" si="12"/>
        <v>45295</v>
      </c>
      <c r="Q125" t="s">
        <v>764</v>
      </c>
      <c r="R125">
        <v>28</v>
      </c>
      <c r="S125">
        <v>23</v>
      </c>
      <c r="T125" t="s">
        <v>26</v>
      </c>
      <c r="U125" s="8">
        <v>112</v>
      </c>
      <c r="V125" s="8">
        <f t="shared" si="13"/>
        <v>136</v>
      </c>
      <c r="W125" t="str">
        <f t="shared" si="14"/>
        <v>Reorder Required</v>
      </c>
      <c r="X125" s="9">
        <f t="shared" si="15"/>
        <v>45413</v>
      </c>
      <c r="Y125">
        <f t="shared" si="16"/>
        <v>-133</v>
      </c>
      <c r="Z125" t="str">
        <f t="shared" si="17"/>
        <v>Invalid Data</v>
      </c>
    </row>
    <row r="126" spans="1:26" x14ac:dyDescent="0.4">
      <c r="A126" t="s">
        <v>765</v>
      </c>
      <c r="B126" t="s">
        <v>225</v>
      </c>
      <c r="C126" t="s">
        <v>54</v>
      </c>
      <c r="D126" t="s">
        <v>766</v>
      </c>
      <c r="E126" t="s">
        <v>767</v>
      </c>
      <c r="F126">
        <v>29</v>
      </c>
      <c r="G126">
        <v>20</v>
      </c>
      <c r="H126">
        <v>85</v>
      </c>
      <c r="I126" t="s">
        <v>21</v>
      </c>
      <c r="J126" s="7">
        <f t="shared" si="9"/>
        <v>4.5</v>
      </c>
      <c r="K126" t="s">
        <v>526</v>
      </c>
      <c r="L126" s="1">
        <f t="shared" si="10"/>
        <v>45592</v>
      </c>
      <c r="M126" t="s">
        <v>599</v>
      </c>
      <c r="N126" s="1">
        <f t="shared" si="11"/>
        <v>45708</v>
      </c>
      <c r="O126" s="1">
        <v>45325</v>
      </c>
      <c r="P126" s="1">
        <f t="shared" si="12"/>
        <v>45325</v>
      </c>
      <c r="Q126" t="s">
        <v>768</v>
      </c>
      <c r="R126">
        <v>31</v>
      </c>
      <c r="S126">
        <v>31</v>
      </c>
      <c r="T126" t="s">
        <v>51</v>
      </c>
      <c r="U126" s="8">
        <v>139.5</v>
      </c>
      <c r="V126" s="8">
        <f t="shared" si="13"/>
        <v>130.5</v>
      </c>
      <c r="W126" t="str">
        <f t="shared" si="14"/>
        <v>Sufficient Stock</v>
      </c>
      <c r="X126" s="9">
        <f t="shared" si="15"/>
        <v>45566</v>
      </c>
      <c r="Y126">
        <f t="shared" si="16"/>
        <v>-267</v>
      </c>
      <c r="Z126" t="str">
        <f t="shared" si="17"/>
        <v>Invalid Data</v>
      </c>
    </row>
    <row r="127" spans="1:26" x14ac:dyDescent="0.4">
      <c r="A127" t="s">
        <v>769</v>
      </c>
      <c r="B127" t="s">
        <v>492</v>
      </c>
      <c r="C127" t="s">
        <v>77</v>
      </c>
      <c r="D127" t="s">
        <v>770</v>
      </c>
      <c r="E127" t="s">
        <v>653</v>
      </c>
      <c r="F127">
        <v>14</v>
      </c>
      <c r="G127">
        <v>99</v>
      </c>
      <c r="H127">
        <v>97</v>
      </c>
      <c r="I127" t="s">
        <v>771</v>
      </c>
      <c r="J127" s="7">
        <f t="shared" si="9"/>
        <v>4.2</v>
      </c>
      <c r="K127" t="s">
        <v>335</v>
      </c>
      <c r="L127" s="1">
        <f t="shared" si="10"/>
        <v>45403</v>
      </c>
      <c r="M127" s="1">
        <v>45809</v>
      </c>
      <c r="N127" s="1">
        <f t="shared" si="11"/>
        <v>45809</v>
      </c>
      <c r="O127" t="s">
        <v>207</v>
      </c>
      <c r="P127" s="1">
        <f t="shared" si="12"/>
        <v>45469</v>
      </c>
      <c r="Q127" t="s">
        <v>772</v>
      </c>
      <c r="R127">
        <v>28</v>
      </c>
      <c r="S127">
        <v>45</v>
      </c>
      <c r="T127" t="s">
        <v>26</v>
      </c>
      <c r="U127" s="8">
        <v>117.60000000000001</v>
      </c>
      <c r="V127" s="8">
        <f t="shared" si="13"/>
        <v>58.800000000000004</v>
      </c>
      <c r="W127" t="str">
        <f t="shared" si="14"/>
        <v>Reorder Required</v>
      </c>
      <c r="X127" s="9">
        <f t="shared" si="15"/>
        <v>45383</v>
      </c>
      <c r="Y127">
        <f t="shared" si="16"/>
        <v>66</v>
      </c>
      <c r="Z127" t="str">
        <f t="shared" si="17"/>
        <v>High Risk</v>
      </c>
    </row>
    <row r="128" spans="1:26" x14ac:dyDescent="0.4">
      <c r="A128" t="s">
        <v>773</v>
      </c>
      <c r="B128" t="s">
        <v>774</v>
      </c>
      <c r="C128" t="s">
        <v>18</v>
      </c>
      <c r="D128" t="s">
        <v>775</v>
      </c>
      <c r="E128" t="s">
        <v>776</v>
      </c>
      <c r="F128">
        <v>20</v>
      </c>
      <c r="G128">
        <v>20</v>
      </c>
      <c r="H128">
        <v>56</v>
      </c>
      <c r="I128" t="s">
        <v>466</v>
      </c>
      <c r="J128" s="7">
        <f t="shared" si="9"/>
        <v>1.8</v>
      </c>
      <c r="K128" s="1">
        <v>45809</v>
      </c>
      <c r="L128" s="1">
        <f t="shared" si="10"/>
        <v>45809</v>
      </c>
      <c r="M128" s="1">
        <v>45297</v>
      </c>
      <c r="N128" s="1">
        <f t="shared" si="11"/>
        <v>45297</v>
      </c>
      <c r="O128" s="1">
        <v>45448</v>
      </c>
      <c r="P128" s="1">
        <f t="shared" si="12"/>
        <v>45448</v>
      </c>
      <c r="Q128" t="s">
        <v>777</v>
      </c>
      <c r="R128">
        <v>62</v>
      </c>
      <c r="S128">
        <v>69</v>
      </c>
      <c r="T128" t="s">
        <v>42</v>
      </c>
      <c r="U128" s="8">
        <v>111.60000000000001</v>
      </c>
      <c r="V128" s="8">
        <f t="shared" si="13"/>
        <v>36</v>
      </c>
      <c r="W128" t="str">
        <f t="shared" si="14"/>
        <v>Reorder Required</v>
      </c>
      <c r="X128" s="9">
        <f t="shared" si="15"/>
        <v>45809</v>
      </c>
      <c r="Y128">
        <f t="shared" si="16"/>
        <v>-361</v>
      </c>
      <c r="Z128" t="str">
        <f t="shared" si="17"/>
        <v>Invalid Data</v>
      </c>
    </row>
    <row r="129" spans="1:26" x14ac:dyDescent="0.4">
      <c r="A129" t="s">
        <v>778</v>
      </c>
      <c r="B129" t="s">
        <v>779</v>
      </c>
      <c r="C129" t="s">
        <v>18</v>
      </c>
      <c r="D129" t="s">
        <v>780</v>
      </c>
      <c r="E129" t="s">
        <v>781</v>
      </c>
      <c r="F129">
        <v>40</v>
      </c>
      <c r="G129">
        <v>38</v>
      </c>
      <c r="H129">
        <v>32</v>
      </c>
      <c r="I129" t="s">
        <v>642</v>
      </c>
      <c r="J129" s="7">
        <f t="shared" si="9"/>
        <v>3.2</v>
      </c>
      <c r="K129" t="s">
        <v>455</v>
      </c>
      <c r="L129" s="1">
        <f t="shared" si="10"/>
        <v>45590</v>
      </c>
      <c r="M129" s="1">
        <v>45510</v>
      </c>
      <c r="N129" s="1">
        <f t="shared" si="11"/>
        <v>45510</v>
      </c>
      <c r="O129" s="1">
        <v>45717</v>
      </c>
      <c r="P129" s="1">
        <f t="shared" si="12"/>
        <v>45717</v>
      </c>
      <c r="Q129" t="s">
        <v>782</v>
      </c>
      <c r="R129">
        <v>21</v>
      </c>
      <c r="S129">
        <v>45</v>
      </c>
      <c r="T129" t="s">
        <v>42</v>
      </c>
      <c r="U129" s="8">
        <v>67.2</v>
      </c>
      <c r="V129" s="8">
        <f t="shared" si="13"/>
        <v>128</v>
      </c>
      <c r="W129" t="str">
        <f t="shared" si="14"/>
        <v>Sufficient Stock</v>
      </c>
      <c r="X129" s="9">
        <f t="shared" si="15"/>
        <v>45566</v>
      </c>
      <c r="Y129">
        <f t="shared" si="16"/>
        <v>127</v>
      </c>
      <c r="Z129" t="str">
        <f t="shared" si="17"/>
        <v>Medium Risk</v>
      </c>
    </row>
    <row r="130" spans="1:26" x14ac:dyDescent="0.4">
      <c r="A130" t="s">
        <v>783</v>
      </c>
      <c r="B130" t="s">
        <v>784</v>
      </c>
      <c r="C130" t="s">
        <v>68</v>
      </c>
      <c r="D130" t="s">
        <v>785</v>
      </c>
      <c r="E130" t="s">
        <v>156</v>
      </c>
      <c r="F130">
        <v>91</v>
      </c>
      <c r="G130">
        <v>82</v>
      </c>
      <c r="H130">
        <v>58</v>
      </c>
      <c r="I130" t="s">
        <v>314</v>
      </c>
      <c r="J130" s="7">
        <f t="shared" si="9"/>
        <v>2.2999999999999998</v>
      </c>
      <c r="K130" t="s">
        <v>786</v>
      </c>
      <c r="L130" s="1">
        <f t="shared" si="10"/>
        <v>45409</v>
      </c>
      <c r="M130" t="s">
        <v>329</v>
      </c>
      <c r="N130" s="1">
        <f t="shared" si="11"/>
        <v>45586</v>
      </c>
      <c r="O130" t="s">
        <v>199</v>
      </c>
      <c r="P130" s="1">
        <f t="shared" si="12"/>
        <v>45710</v>
      </c>
      <c r="Q130" t="s">
        <v>787</v>
      </c>
      <c r="R130">
        <v>43</v>
      </c>
      <c r="S130">
        <v>45</v>
      </c>
      <c r="T130" t="s">
        <v>26</v>
      </c>
      <c r="U130" s="8">
        <v>98.899999999999991</v>
      </c>
      <c r="V130" s="8">
        <f t="shared" si="13"/>
        <v>209.29999999999998</v>
      </c>
      <c r="W130" t="str">
        <f t="shared" si="14"/>
        <v>Sufficient Stock</v>
      </c>
      <c r="X130" s="9">
        <f t="shared" si="15"/>
        <v>45383</v>
      </c>
      <c r="Y130">
        <f t="shared" si="16"/>
        <v>301</v>
      </c>
      <c r="Z130" t="str">
        <f t="shared" si="17"/>
        <v>Low Risk</v>
      </c>
    </row>
    <row r="131" spans="1:26" x14ac:dyDescent="0.4">
      <c r="A131" t="s">
        <v>788</v>
      </c>
      <c r="B131" t="s">
        <v>789</v>
      </c>
      <c r="C131" t="s">
        <v>68</v>
      </c>
      <c r="D131" t="s">
        <v>790</v>
      </c>
      <c r="E131" t="s">
        <v>791</v>
      </c>
      <c r="F131">
        <v>99</v>
      </c>
      <c r="G131">
        <v>96</v>
      </c>
      <c r="H131">
        <v>39</v>
      </c>
      <c r="I131" t="s">
        <v>591</v>
      </c>
      <c r="J131" s="7">
        <f t="shared" ref="J131:J194" si="18">VALUE(SUBSTITUTE(I131,"$",""))</f>
        <v>10</v>
      </c>
      <c r="K131" t="s">
        <v>165</v>
      </c>
      <c r="L131" s="1">
        <f t="shared" ref="L131:L194" si="19">IF(
ISNUMBER(K131),
K131,
DATE(
RIGHT(K131,4),
LEFT(K131,FIND("/",K131)-1),
MID(K131,FIND("/",K131)+1,FIND("/",K131,FIND("/",K131)+1)-FIND("/",K131)-1)
)
)</f>
        <v>45465</v>
      </c>
      <c r="M131" t="s">
        <v>792</v>
      </c>
      <c r="N131" s="1">
        <f t="shared" ref="N131:N194" si="20">IF(
ISNUMBER(M131),
M131,
DATE(
RIGHT(M131,4),
LEFT(M131,FIND("/",M131)-1),
MID(M131,FIND("/",M131)+1,FIND("/",M131,FIND("/",M131)+1)-FIND("/",M131)-1)
)
)</f>
        <v>45462</v>
      </c>
      <c r="O131" t="s">
        <v>245</v>
      </c>
      <c r="P131" s="1">
        <f t="shared" ref="P131:P194" si="21">IF(
ISNUMBER(O131),
O131,
DATE(
RIGHT(O131,4),
LEFT(O131,FIND("/",O131)-1),
MID(O131,FIND("/",O131)+1,FIND("/",O131,FIND("/",O131)+1)-FIND("/",O131)-1)
)
)</f>
        <v>45563</v>
      </c>
      <c r="Q131" t="s">
        <v>793</v>
      </c>
      <c r="R131">
        <v>94</v>
      </c>
      <c r="S131">
        <v>89</v>
      </c>
      <c r="T131" t="s">
        <v>42</v>
      </c>
      <c r="U131" s="8">
        <v>940</v>
      </c>
      <c r="V131" s="8">
        <f t="shared" ref="V131:V194" si="22">F131*J131</f>
        <v>990</v>
      </c>
      <c r="W131" t="str">
        <f t="shared" ref="W131:W194" si="23">IF(F131&lt;=G131,"Reorder Required","Sufficient Stock")</f>
        <v>Sufficient Stock</v>
      </c>
      <c r="X131" s="9">
        <f t="shared" ref="X131:X194" si="24">DATE(YEAR(L131),MONTH(L131),1)</f>
        <v>45444</v>
      </c>
      <c r="Y131">
        <f t="shared" ref="Y131:Y194" si="25">P131-L131</f>
        <v>98</v>
      </c>
      <c r="Z131" t="str">
        <f t="shared" ref="Z131:Z194" si="26">IF(Y131&lt;0,"Invalid Data",
IF(Y131&lt;=30,"Critical",
IF(Y131&lt;=90,"High Risk",
IF(Y131&lt;=180,"Medium Risk",
IF(Y131&lt;=365,"Low Risk",
"Safe")))))</f>
        <v>Medium Risk</v>
      </c>
    </row>
    <row r="132" spans="1:26" x14ac:dyDescent="0.4">
      <c r="A132" t="s">
        <v>794</v>
      </c>
      <c r="B132" t="s">
        <v>138</v>
      </c>
      <c r="C132" t="s">
        <v>18</v>
      </c>
      <c r="D132" t="s">
        <v>795</v>
      </c>
      <c r="E132" t="s">
        <v>796</v>
      </c>
      <c r="F132">
        <v>34</v>
      </c>
      <c r="G132">
        <v>46</v>
      </c>
      <c r="H132">
        <v>45</v>
      </c>
      <c r="I132" t="s">
        <v>47</v>
      </c>
      <c r="J132" s="7">
        <f t="shared" si="18"/>
        <v>1.5</v>
      </c>
      <c r="K132" s="1">
        <v>45545</v>
      </c>
      <c r="L132" s="1">
        <f t="shared" si="19"/>
        <v>45545</v>
      </c>
      <c r="M132" s="1">
        <v>45608</v>
      </c>
      <c r="N132" s="1">
        <f t="shared" si="20"/>
        <v>45608</v>
      </c>
      <c r="O132" t="s">
        <v>293</v>
      </c>
      <c r="P132" s="1">
        <f t="shared" si="21"/>
        <v>45648</v>
      </c>
      <c r="Q132" t="s">
        <v>797</v>
      </c>
      <c r="R132">
        <v>49</v>
      </c>
      <c r="S132">
        <v>25</v>
      </c>
      <c r="T132" t="s">
        <v>42</v>
      </c>
      <c r="U132" s="8">
        <v>73.5</v>
      </c>
      <c r="V132" s="8">
        <f t="shared" si="22"/>
        <v>51</v>
      </c>
      <c r="W132" t="str">
        <f t="shared" si="23"/>
        <v>Reorder Required</v>
      </c>
      <c r="X132" s="9">
        <f t="shared" si="24"/>
        <v>45536</v>
      </c>
      <c r="Y132">
        <f t="shared" si="25"/>
        <v>103</v>
      </c>
      <c r="Z132" t="str">
        <f t="shared" si="26"/>
        <v>Medium Risk</v>
      </c>
    </row>
    <row r="133" spans="1:26" x14ac:dyDescent="0.4">
      <c r="A133" t="s">
        <v>798</v>
      </c>
      <c r="B133" t="s">
        <v>799</v>
      </c>
      <c r="C133" t="s">
        <v>77</v>
      </c>
      <c r="D133" t="s">
        <v>800</v>
      </c>
      <c r="E133" t="s">
        <v>801</v>
      </c>
      <c r="F133">
        <v>100</v>
      </c>
      <c r="G133">
        <v>21</v>
      </c>
      <c r="H133">
        <v>64</v>
      </c>
      <c r="I133" t="s">
        <v>134</v>
      </c>
      <c r="J133" s="7">
        <f t="shared" si="18"/>
        <v>7</v>
      </c>
      <c r="K133" t="s">
        <v>792</v>
      </c>
      <c r="L133" s="1">
        <f t="shared" si="19"/>
        <v>45462</v>
      </c>
      <c r="M133" s="1">
        <v>45599</v>
      </c>
      <c r="N133" s="1">
        <f t="shared" si="20"/>
        <v>45599</v>
      </c>
      <c r="O133" t="s">
        <v>802</v>
      </c>
      <c r="P133" s="1">
        <f t="shared" si="21"/>
        <v>45533</v>
      </c>
      <c r="Q133" t="s">
        <v>803</v>
      </c>
      <c r="R133">
        <v>20</v>
      </c>
      <c r="S133">
        <v>13</v>
      </c>
      <c r="T133" t="s">
        <v>42</v>
      </c>
      <c r="U133" s="8">
        <v>140</v>
      </c>
      <c r="V133" s="8">
        <f t="shared" si="22"/>
        <v>700</v>
      </c>
      <c r="W133" t="str">
        <f t="shared" si="23"/>
        <v>Sufficient Stock</v>
      </c>
      <c r="X133" s="9">
        <f t="shared" si="24"/>
        <v>45444</v>
      </c>
      <c r="Y133">
        <f t="shared" si="25"/>
        <v>71</v>
      </c>
      <c r="Z133" t="str">
        <f t="shared" si="26"/>
        <v>High Risk</v>
      </c>
    </row>
    <row r="134" spans="1:26" x14ac:dyDescent="0.4">
      <c r="A134" t="s">
        <v>804</v>
      </c>
      <c r="B134" t="s">
        <v>36</v>
      </c>
      <c r="C134" t="s">
        <v>18</v>
      </c>
      <c r="D134" t="s">
        <v>805</v>
      </c>
      <c r="E134" t="s">
        <v>806</v>
      </c>
      <c r="F134">
        <v>79</v>
      </c>
      <c r="G134">
        <v>98</v>
      </c>
      <c r="H134">
        <v>97</v>
      </c>
      <c r="I134" t="s">
        <v>39</v>
      </c>
      <c r="J134" s="7">
        <f t="shared" si="18"/>
        <v>6</v>
      </c>
      <c r="K134" s="1">
        <v>45577</v>
      </c>
      <c r="L134" s="1">
        <f t="shared" si="19"/>
        <v>45577</v>
      </c>
      <c r="M134" t="s">
        <v>719</v>
      </c>
      <c r="N134" s="1">
        <f t="shared" si="20"/>
        <v>45674</v>
      </c>
      <c r="O134" t="s">
        <v>807</v>
      </c>
      <c r="P134" s="1">
        <f t="shared" si="21"/>
        <v>45429</v>
      </c>
      <c r="Q134" t="s">
        <v>808</v>
      </c>
      <c r="R134">
        <v>26</v>
      </c>
      <c r="S134">
        <v>21</v>
      </c>
      <c r="T134" t="s">
        <v>42</v>
      </c>
      <c r="U134" s="8">
        <v>156</v>
      </c>
      <c r="V134" s="8">
        <f t="shared" si="22"/>
        <v>474</v>
      </c>
      <c r="W134" t="str">
        <f t="shared" si="23"/>
        <v>Reorder Required</v>
      </c>
      <c r="X134" s="9">
        <f t="shared" si="24"/>
        <v>45566</v>
      </c>
      <c r="Y134">
        <f t="shared" si="25"/>
        <v>-148</v>
      </c>
      <c r="Z134" t="str">
        <f t="shared" si="26"/>
        <v>Invalid Data</v>
      </c>
    </row>
    <row r="135" spans="1:26" x14ac:dyDescent="0.4">
      <c r="A135" t="s">
        <v>809</v>
      </c>
      <c r="B135" t="s">
        <v>82</v>
      </c>
      <c r="C135" t="s">
        <v>77</v>
      </c>
      <c r="D135" t="s">
        <v>810</v>
      </c>
      <c r="E135" t="s">
        <v>801</v>
      </c>
      <c r="F135">
        <v>62</v>
      </c>
      <c r="G135">
        <v>2</v>
      </c>
      <c r="H135">
        <v>98</v>
      </c>
      <c r="I135" t="s">
        <v>85</v>
      </c>
      <c r="J135" s="7">
        <f t="shared" si="18"/>
        <v>3</v>
      </c>
      <c r="K135" t="s">
        <v>811</v>
      </c>
      <c r="L135" s="1">
        <f t="shared" si="19"/>
        <v>45435</v>
      </c>
      <c r="M135" t="s">
        <v>359</v>
      </c>
      <c r="N135" s="1">
        <f t="shared" si="20"/>
        <v>45583</v>
      </c>
      <c r="O135" s="1">
        <v>45421</v>
      </c>
      <c r="P135" s="1">
        <f t="shared" si="21"/>
        <v>45421</v>
      </c>
      <c r="Q135" t="s">
        <v>812</v>
      </c>
      <c r="R135">
        <v>50</v>
      </c>
      <c r="S135">
        <v>11</v>
      </c>
      <c r="T135" t="s">
        <v>26</v>
      </c>
      <c r="U135" s="8">
        <v>150</v>
      </c>
      <c r="V135" s="8">
        <f t="shared" si="22"/>
        <v>186</v>
      </c>
      <c r="W135" t="str">
        <f t="shared" si="23"/>
        <v>Sufficient Stock</v>
      </c>
      <c r="X135" s="9">
        <f t="shared" si="24"/>
        <v>45413</v>
      </c>
      <c r="Y135">
        <f t="shared" si="25"/>
        <v>-14</v>
      </c>
      <c r="Z135" t="str">
        <f t="shared" si="26"/>
        <v>Invalid Data</v>
      </c>
    </row>
    <row r="136" spans="1:26" x14ac:dyDescent="0.4">
      <c r="A136" t="s">
        <v>813</v>
      </c>
      <c r="B136" t="s">
        <v>814</v>
      </c>
      <c r="C136" t="s">
        <v>169</v>
      </c>
      <c r="D136" t="s">
        <v>815</v>
      </c>
      <c r="E136" t="s">
        <v>816</v>
      </c>
      <c r="F136">
        <v>25</v>
      </c>
      <c r="G136">
        <v>44</v>
      </c>
      <c r="H136">
        <v>96</v>
      </c>
      <c r="I136" t="s">
        <v>817</v>
      </c>
      <c r="J136" s="7">
        <f t="shared" si="18"/>
        <v>18</v>
      </c>
      <c r="K136" s="1">
        <v>45389</v>
      </c>
      <c r="L136" s="1">
        <f t="shared" si="19"/>
        <v>45389</v>
      </c>
      <c r="M136" s="1">
        <v>45538</v>
      </c>
      <c r="N136" s="1">
        <f t="shared" si="20"/>
        <v>45538</v>
      </c>
      <c r="O136" s="1">
        <v>45300</v>
      </c>
      <c r="P136" s="1">
        <f t="shared" si="21"/>
        <v>45300</v>
      </c>
      <c r="Q136" t="s">
        <v>818</v>
      </c>
      <c r="R136">
        <v>36</v>
      </c>
      <c r="S136">
        <v>16</v>
      </c>
      <c r="T136" t="s">
        <v>51</v>
      </c>
      <c r="U136" s="8">
        <v>648</v>
      </c>
      <c r="V136" s="8">
        <f t="shared" si="22"/>
        <v>450</v>
      </c>
      <c r="W136" t="str">
        <f t="shared" si="23"/>
        <v>Reorder Required</v>
      </c>
      <c r="X136" s="9">
        <f t="shared" si="24"/>
        <v>45383</v>
      </c>
      <c r="Y136">
        <f t="shared" si="25"/>
        <v>-89</v>
      </c>
      <c r="Z136" t="str">
        <f t="shared" si="26"/>
        <v>Invalid Data</v>
      </c>
    </row>
    <row r="137" spans="1:26" x14ac:dyDescent="0.4">
      <c r="A137" t="s">
        <v>819</v>
      </c>
      <c r="B137" t="s">
        <v>820</v>
      </c>
      <c r="C137" t="s">
        <v>77</v>
      </c>
      <c r="D137" t="s">
        <v>821</v>
      </c>
      <c r="E137" t="s">
        <v>38</v>
      </c>
      <c r="F137">
        <v>47</v>
      </c>
      <c r="G137">
        <v>2</v>
      </c>
      <c r="H137">
        <v>76</v>
      </c>
      <c r="I137" t="s">
        <v>71</v>
      </c>
      <c r="J137" s="7">
        <f t="shared" si="18"/>
        <v>2.5</v>
      </c>
      <c r="K137" t="s">
        <v>725</v>
      </c>
      <c r="L137" s="1">
        <f t="shared" si="19"/>
        <v>45425</v>
      </c>
      <c r="M137" t="s">
        <v>23</v>
      </c>
      <c r="N137" s="1">
        <f t="shared" si="20"/>
        <v>45472</v>
      </c>
      <c r="O137" s="1">
        <v>45446</v>
      </c>
      <c r="P137" s="1">
        <f t="shared" si="21"/>
        <v>45446</v>
      </c>
      <c r="Q137" t="s">
        <v>822</v>
      </c>
      <c r="R137">
        <v>48</v>
      </c>
      <c r="S137">
        <v>36</v>
      </c>
      <c r="T137" t="s">
        <v>26</v>
      </c>
      <c r="U137" s="8">
        <v>120</v>
      </c>
      <c r="V137" s="8">
        <f t="shared" si="22"/>
        <v>117.5</v>
      </c>
      <c r="W137" t="str">
        <f t="shared" si="23"/>
        <v>Sufficient Stock</v>
      </c>
      <c r="X137" s="9">
        <f t="shared" si="24"/>
        <v>45413</v>
      </c>
      <c r="Y137">
        <f t="shared" si="25"/>
        <v>21</v>
      </c>
      <c r="Z137" t="str">
        <f t="shared" si="26"/>
        <v>Critical</v>
      </c>
    </row>
    <row r="138" spans="1:26" x14ac:dyDescent="0.4">
      <c r="A138" t="s">
        <v>823</v>
      </c>
      <c r="B138" t="s">
        <v>375</v>
      </c>
      <c r="C138" t="s">
        <v>54</v>
      </c>
      <c r="D138" t="s">
        <v>824</v>
      </c>
      <c r="E138" t="s">
        <v>825</v>
      </c>
      <c r="F138">
        <v>15</v>
      </c>
      <c r="G138">
        <v>44</v>
      </c>
      <c r="H138">
        <v>88</v>
      </c>
      <c r="I138" t="s">
        <v>85</v>
      </c>
      <c r="J138" s="7">
        <f t="shared" si="18"/>
        <v>3</v>
      </c>
      <c r="K138" t="s">
        <v>826</v>
      </c>
      <c r="L138" s="1">
        <f t="shared" si="19"/>
        <v>45535</v>
      </c>
      <c r="M138" t="s">
        <v>827</v>
      </c>
      <c r="N138" s="1">
        <f t="shared" si="20"/>
        <v>45701</v>
      </c>
      <c r="O138" t="s">
        <v>828</v>
      </c>
      <c r="P138" s="1">
        <f t="shared" si="21"/>
        <v>45410</v>
      </c>
      <c r="Q138" t="s">
        <v>829</v>
      </c>
      <c r="R138">
        <v>56</v>
      </c>
      <c r="S138">
        <v>12</v>
      </c>
      <c r="T138" t="s">
        <v>26</v>
      </c>
      <c r="U138" s="8">
        <v>168</v>
      </c>
      <c r="V138" s="8">
        <f t="shared" si="22"/>
        <v>45</v>
      </c>
      <c r="W138" t="str">
        <f t="shared" si="23"/>
        <v>Reorder Required</v>
      </c>
      <c r="X138" s="9">
        <f t="shared" si="24"/>
        <v>45505</v>
      </c>
      <c r="Y138">
        <f t="shared" si="25"/>
        <v>-125</v>
      </c>
      <c r="Z138" t="str">
        <f t="shared" si="26"/>
        <v>Invalid Data</v>
      </c>
    </row>
    <row r="139" spans="1:26" x14ac:dyDescent="0.4">
      <c r="A139" t="s">
        <v>830</v>
      </c>
      <c r="B139" t="s">
        <v>722</v>
      </c>
      <c r="C139" t="s">
        <v>54</v>
      </c>
      <c r="D139" t="s">
        <v>831</v>
      </c>
      <c r="E139" t="s">
        <v>832</v>
      </c>
      <c r="F139">
        <v>19</v>
      </c>
      <c r="G139">
        <v>65</v>
      </c>
      <c r="H139">
        <v>48</v>
      </c>
      <c r="I139" t="s">
        <v>39</v>
      </c>
      <c r="J139" s="7">
        <f t="shared" si="18"/>
        <v>6</v>
      </c>
      <c r="K139" s="1">
        <v>45544</v>
      </c>
      <c r="L139" s="1">
        <f t="shared" si="19"/>
        <v>45544</v>
      </c>
      <c r="M139" t="s">
        <v>180</v>
      </c>
      <c r="N139" s="1">
        <f t="shared" si="20"/>
        <v>45702</v>
      </c>
      <c r="O139" s="1">
        <v>45635</v>
      </c>
      <c r="P139" s="1">
        <f t="shared" si="21"/>
        <v>45635</v>
      </c>
      <c r="Q139" t="s">
        <v>833</v>
      </c>
      <c r="R139">
        <v>59</v>
      </c>
      <c r="S139">
        <v>53</v>
      </c>
      <c r="T139" t="s">
        <v>26</v>
      </c>
      <c r="U139" s="8">
        <v>354</v>
      </c>
      <c r="V139" s="8">
        <f t="shared" si="22"/>
        <v>114</v>
      </c>
      <c r="W139" t="str">
        <f t="shared" si="23"/>
        <v>Reorder Required</v>
      </c>
      <c r="X139" s="9">
        <f t="shared" si="24"/>
        <v>45536</v>
      </c>
      <c r="Y139">
        <f t="shared" si="25"/>
        <v>91</v>
      </c>
      <c r="Z139" t="str">
        <f t="shared" si="26"/>
        <v>Medium Risk</v>
      </c>
    </row>
    <row r="140" spans="1:26" x14ac:dyDescent="0.4">
      <c r="A140" t="s">
        <v>834</v>
      </c>
      <c r="B140" t="s">
        <v>814</v>
      </c>
      <c r="C140" t="s">
        <v>169</v>
      </c>
      <c r="D140" t="s">
        <v>835</v>
      </c>
      <c r="E140" t="s">
        <v>836</v>
      </c>
      <c r="F140">
        <v>58</v>
      </c>
      <c r="G140">
        <v>77</v>
      </c>
      <c r="H140">
        <v>96</v>
      </c>
      <c r="I140" t="s">
        <v>817</v>
      </c>
      <c r="J140" s="7">
        <f t="shared" si="18"/>
        <v>18</v>
      </c>
      <c r="K140" s="1">
        <v>45605</v>
      </c>
      <c r="L140" s="1">
        <f t="shared" si="19"/>
        <v>45605</v>
      </c>
      <c r="M140" t="s">
        <v>49</v>
      </c>
      <c r="N140" s="1">
        <f t="shared" si="20"/>
        <v>45399</v>
      </c>
      <c r="O140" t="s">
        <v>666</v>
      </c>
      <c r="P140" s="1">
        <f t="shared" si="21"/>
        <v>45381</v>
      </c>
      <c r="Q140" t="s">
        <v>837</v>
      </c>
      <c r="R140">
        <v>25</v>
      </c>
      <c r="S140">
        <v>17</v>
      </c>
      <c r="T140" t="s">
        <v>26</v>
      </c>
      <c r="U140" s="8">
        <v>450</v>
      </c>
      <c r="V140" s="8">
        <f t="shared" si="22"/>
        <v>1044</v>
      </c>
      <c r="W140" t="str">
        <f t="shared" si="23"/>
        <v>Reorder Required</v>
      </c>
      <c r="X140" s="9">
        <f t="shared" si="24"/>
        <v>45597</v>
      </c>
      <c r="Y140">
        <f t="shared" si="25"/>
        <v>-224</v>
      </c>
      <c r="Z140" t="str">
        <f t="shared" si="26"/>
        <v>Invalid Data</v>
      </c>
    </row>
    <row r="141" spans="1:26" x14ac:dyDescent="0.4">
      <c r="A141" t="s">
        <v>838</v>
      </c>
      <c r="B141" t="s">
        <v>839</v>
      </c>
      <c r="C141" t="s">
        <v>77</v>
      </c>
      <c r="D141" t="s">
        <v>840</v>
      </c>
      <c r="E141" t="s">
        <v>841</v>
      </c>
      <c r="F141">
        <v>11</v>
      </c>
      <c r="G141">
        <v>30</v>
      </c>
      <c r="H141">
        <v>4</v>
      </c>
      <c r="I141" t="s">
        <v>57</v>
      </c>
      <c r="J141" s="7">
        <f t="shared" si="18"/>
        <v>4</v>
      </c>
      <c r="K141" s="1">
        <v>45330</v>
      </c>
      <c r="L141" s="1">
        <f t="shared" si="19"/>
        <v>45330</v>
      </c>
      <c r="M141" t="s">
        <v>842</v>
      </c>
      <c r="N141" s="1">
        <f t="shared" si="20"/>
        <v>45564</v>
      </c>
      <c r="O141" t="s">
        <v>524</v>
      </c>
      <c r="P141" s="1">
        <f t="shared" si="21"/>
        <v>45640</v>
      </c>
      <c r="Q141" t="s">
        <v>843</v>
      </c>
      <c r="R141">
        <v>84</v>
      </c>
      <c r="S141">
        <v>4</v>
      </c>
      <c r="T141" t="s">
        <v>51</v>
      </c>
      <c r="U141" s="8">
        <v>336</v>
      </c>
      <c r="V141" s="8">
        <f t="shared" si="22"/>
        <v>44</v>
      </c>
      <c r="W141" t="str">
        <f t="shared" si="23"/>
        <v>Reorder Required</v>
      </c>
      <c r="X141" s="9">
        <f t="shared" si="24"/>
        <v>45323</v>
      </c>
      <c r="Y141">
        <f t="shared" si="25"/>
        <v>310</v>
      </c>
      <c r="Z141" t="str">
        <f t="shared" si="26"/>
        <v>Low Risk</v>
      </c>
    </row>
    <row r="142" spans="1:26" x14ac:dyDescent="0.4">
      <c r="A142" t="s">
        <v>844</v>
      </c>
      <c r="B142" t="s">
        <v>627</v>
      </c>
      <c r="C142" t="s">
        <v>18</v>
      </c>
      <c r="D142" t="s">
        <v>845</v>
      </c>
      <c r="E142" t="s">
        <v>846</v>
      </c>
      <c r="F142">
        <v>99</v>
      </c>
      <c r="G142">
        <v>44</v>
      </c>
      <c r="H142">
        <v>52</v>
      </c>
      <c r="I142" t="s">
        <v>106</v>
      </c>
      <c r="J142" s="7">
        <f t="shared" si="18"/>
        <v>2</v>
      </c>
      <c r="K142" t="s">
        <v>455</v>
      </c>
      <c r="L142" s="1">
        <f t="shared" si="19"/>
        <v>45590</v>
      </c>
      <c r="M142" t="s">
        <v>736</v>
      </c>
      <c r="N142" s="1">
        <f t="shared" si="20"/>
        <v>45433</v>
      </c>
      <c r="O142" t="s">
        <v>73</v>
      </c>
      <c r="P142" s="1">
        <f t="shared" si="21"/>
        <v>45463</v>
      </c>
      <c r="Q142" t="s">
        <v>847</v>
      </c>
      <c r="R142">
        <v>36</v>
      </c>
      <c r="S142">
        <v>2</v>
      </c>
      <c r="T142" t="s">
        <v>26</v>
      </c>
      <c r="U142" s="8">
        <v>72</v>
      </c>
      <c r="V142" s="8">
        <f t="shared" si="22"/>
        <v>198</v>
      </c>
      <c r="W142" t="str">
        <f t="shared" si="23"/>
        <v>Sufficient Stock</v>
      </c>
      <c r="X142" s="9">
        <f t="shared" si="24"/>
        <v>45566</v>
      </c>
      <c r="Y142">
        <f t="shared" si="25"/>
        <v>-127</v>
      </c>
      <c r="Z142" t="str">
        <f t="shared" si="26"/>
        <v>Invalid Data</v>
      </c>
    </row>
    <row r="143" spans="1:26" x14ac:dyDescent="0.4">
      <c r="A143" t="s">
        <v>848</v>
      </c>
      <c r="B143" t="s">
        <v>44</v>
      </c>
      <c r="C143" t="s">
        <v>18</v>
      </c>
      <c r="D143" t="s">
        <v>849</v>
      </c>
      <c r="E143" t="s">
        <v>850</v>
      </c>
      <c r="F143">
        <v>26</v>
      </c>
      <c r="G143">
        <v>82</v>
      </c>
      <c r="H143">
        <v>19</v>
      </c>
      <c r="I143" t="s">
        <v>47</v>
      </c>
      <c r="J143" s="7">
        <f t="shared" si="18"/>
        <v>1.5</v>
      </c>
      <c r="K143" t="s">
        <v>435</v>
      </c>
      <c r="L143" s="1">
        <f t="shared" si="19"/>
        <v>45558</v>
      </c>
      <c r="M143" s="1">
        <v>45572</v>
      </c>
      <c r="N143" s="1">
        <f t="shared" si="20"/>
        <v>45572</v>
      </c>
      <c r="O143" t="s">
        <v>666</v>
      </c>
      <c r="P143" s="1">
        <f t="shared" si="21"/>
        <v>45381</v>
      </c>
      <c r="Q143" t="s">
        <v>851</v>
      </c>
      <c r="R143">
        <v>76</v>
      </c>
      <c r="S143">
        <v>88</v>
      </c>
      <c r="T143" t="s">
        <v>51</v>
      </c>
      <c r="U143" s="8">
        <v>114</v>
      </c>
      <c r="V143" s="8">
        <f t="shared" si="22"/>
        <v>39</v>
      </c>
      <c r="W143" t="str">
        <f t="shared" si="23"/>
        <v>Reorder Required</v>
      </c>
      <c r="X143" s="9">
        <f t="shared" si="24"/>
        <v>45536</v>
      </c>
      <c r="Y143">
        <f t="shared" si="25"/>
        <v>-177</v>
      </c>
      <c r="Z143" t="str">
        <f t="shared" si="26"/>
        <v>Invalid Data</v>
      </c>
    </row>
    <row r="144" spans="1:26" x14ac:dyDescent="0.4">
      <c r="A144" t="s">
        <v>852</v>
      </c>
      <c r="B144" t="s">
        <v>498</v>
      </c>
      <c r="C144" t="s">
        <v>54</v>
      </c>
      <c r="D144" t="s">
        <v>853</v>
      </c>
      <c r="E144" t="s">
        <v>278</v>
      </c>
      <c r="F144">
        <v>70</v>
      </c>
      <c r="G144">
        <v>31</v>
      </c>
      <c r="H144">
        <v>55</v>
      </c>
      <c r="I144" t="s">
        <v>21</v>
      </c>
      <c r="J144" s="7">
        <f t="shared" si="18"/>
        <v>4.5</v>
      </c>
      <c r="K144" t="s">
        <v>609</v>
      </c>
      <c r="L144" s="1">
        <f t="shared" si="19"/>
        <v>45504</v>
      </c>
      <c r="M144" t="s">
        <v>854</v>
      </c>
      <c r="N144" s="1">
        <f t="shared" si="20"/>
        <v>45500</v>
      </c>
      <c r="O144" s="1">
        <v>45480</v>
      </c>
      <c r="P144" s="1">
        <f t="shared" si="21"/>
        <v>45480</v>
      </c>
      <c r="Q144" t="s">
        <v>855</v>
      </c>
      <c r="R144">
        <v>23</v>
      </c>
      <c r="S144">
        <v>80</v>
      </c>
      <c r="T144" t="s">
        <v>26</v>
      </c>
      <c r="U144" s="8">
        <v>103.5</v>
      </c>
      <c r="V144" s="8">
        <f t="shared" si="22"/>
        <v>315</v>
      </c>
      <c r="W144" t="str">
        <f t="shared" si="23"/>
        <v>Sufficient Stock</v>
      </c>
      <c r="X144" s="9">
        <f t="shared" si="24"/>
        <v>45474</v>
      </c>
      <c r="Y144">
        <f t="shared" si="25"/>
        <v>-24</v>
      </c>
      <c r="Z144" t="str">
        <f t="shared" si="26"/>
        <v>Invalid Data</v>
      </c>
    </row>
    <row r="145" spans="1:26" x14ac:dyDescent="0.4">
      <c r="A145" t="s">
        <v>856</v>
      </c>
      <c r="B145" t="s">
        <v>498</v>
      </c>
      <c r="C145" t="s">
        <v>54</v>
      </c>
      <c r="D145" t="s">
        <v>857</v>
      </c>
      <c r="E145" t="s">
        <v>858</v>
      </c>
      <c r="F145">
        <v>50</v>
      </c>
      <c r="G145">
        <v>3</v>
      </c>
      <c r="H145">
        <v>88</v>
      </c>
      <c r="I145" t="s">
        <v>21</v>
      </c>
      <c r="J145" s="7">
        <f t="shared" si="18"/>
        <v>4.5</v>
      </c>
      <c r="K145" t="s">
        <v>397</v>
      </c>
      <c r="L145" s="1">
        <f t="shared" si="19"/>
        <v>45494</v>
      </c>
      <c r="M145" t="s">
        <v>127</v>
      </c>
      <c r="N145" s="1">
        <f t="shared" si="20"/>
        <v>45473</v>
      </c>
      <c r="O145" t="s">
        <v>40</v>
      </c>
      <c r="P145" s="1">
        <f t="shared" si="21"/>
        <v>45557</v>
      </c>
      <c r="Q145" t="s">
        <v>859</v>
      </c>
      <c r="R145">
        <v>69</v>
      </c>
      <c r="S145">
        <v>73</v>
      </c>
      <c r="T145" t="s">
        <v>26</v>
      </c>
      <c r="U145" s="8">
        <v>310.5</v>
      </c>
      <c r="V145" s="8">
        <f t="shared" si="22"/>
        <v>225</v>
      </c>
      <c r="W145" t="str">
        <f t="shared" si="23"/>
        <v>Sufficient Stock</v>
      </c>
      <c r="X145" s="9">
        <f t="shared" si="24"/>
        <v>45474</v>
      </c>
      <c r="Y145">
        <f t="shared" si="25"/>
        <v>63</v>
      </c>
      <c r="Z145" t="str">
        <f t="shared" si="26"/>
        <v>High Risk</v>
      </c>
    </row>
    <row r="146" spans="1:26" x14ac:dyDescent="0.4">
      <c r="A146" t="s">
        <v>860</v>
      </c>
      <c r="B146" t="s">
        <v>239</v>
      </c>
      <c r="C146" t="s">
        <v>54</v>
      </c>
      <c r="D146" t="s">
        <v>861</v>
      </c>
      <c r="E146" t="s">
        <v>806</v>
      </c>
      <c r="F146">
        <v>55</v>
      </c>
      <c r="G146">
        <v>91</v>
      </c>
      <c r="H146">
        <v>35</v>
      </c>
      <c r="I146" t="s">
        <v>242</v>
      </c>
      <c r="J146" s="7">
        <f t="shared" si="18"/>
        <v>3.5</v>
      </c>
      <c r="K146" s="1">
        <v>45509</v>
      </c>
      <c r="L146" s="1">
        <f t="shared" si="19"/>
        <v>45509</v>
      </c>
      <c r="M146" t="s">
        <v>388</v>
      </c>
      <c r="N146" s="1">
        <f t="shared" si="20"/>
        <v>45434</v>
      </c>
      <c r="O146" t="s">
        <v>598</v>
      </c>
      <c r="P146" s="1">
        <f t="shared" si="21"/>
        <v>45705</v>
      </c>
      <c r="Q146" t="s">
        <v>862</v>
      </c>
      <c r="R146">
        <v>81</v>
      </c>
      <c r="S146">
        <v>19</v>
      </c>
      <c r="T146" t="s">
        <v>51</v>
      </c>
      <c r="U146" s="8">
        <v>283.5</v>
      </c>
      <c r="V146" s="8">
        <f t="shared" si="22"/>
        <v>192.5</v>
      </c>
      <c r="W146" t="str">
        <f t="shared" si="23"/>
        <v>Reorder Required</v>
      </c>
      <c r="X146" s="9">
        <f t="shared" si="24"/>
        <v>45505</v>
      </c>
      <c r="Y146">
        <f t="shared" si="25"/>
        <v>196</v>
      </c>
      <c r="Z146" t="str">
        <f t="shared" si="26"/>
        <v>Low Risk</v>
      </c>
    </row>
    <row r="147" spans="1:26" x14ac:dyDescent="0.4">
      <c r="A147" t="s">
        <v>863</v>
      </c>
      <c r="B147" t="s">
        <v>704</v>
      </c>
      <c r="C147" t="s">
        <v>169</v>
      </c>
      <c r="D147" t="s">
        <v>864</v>
      </c>
      <c r="E147" t="s">
        <v>865</v>
      </c>
      <c r="F147">
        <v>31</v>
      </c>
      <c r="G147">
        <v>87</v>
      </c>
      <c r="H147">
        <v>19</v>
      </c>
      <c r="I147" t="s">
        <v>147</v>
      </c>
      <c r="J147" s="7">
        <f t="shared" si="18"/>
        <v>8</v>
      </c>
      <c r="K147" t="s">
        <v>811</v>
      </c>
      <c r="L147" s="1">
        <f t="shared" si="19"/>
        <v>45435</v>
      </c>
      <c r="M147" t="s">
        <v>866</v>
      </c>
      <c r="N147" s="1">
        <f t="shared" si="20"/>
        <v>45486</v>
      </c>
      <c r="O147" s="1">
        <v>45296</v>
      </c>
      <c r="P147" s="1">
        <f t="shared" si="21"/>
        <v>45296</v>
      </c>
      <c r="Q147" t="s">
        <v>867</v>
      </c>
      <c r="R147">
        <v>41</v>
      </c>
      <c r="S147">
        <v>10</v>
      </c>
      <c r="T147" t="s">
        <v>51</v>
      </c>
      <c r="U147" s="8">
        <v>328</v>
      </c>
      <c r="V147" s="8">
        <f t="shared" si="22"/>
        <v>248</v>
      </c>
      <c r="W147" t="str">
        <f t="shared" si="23"/>
        <v>Reorder Required</v>
      </c>
      <c r="X147" s="9">
        <f t="shared" si="24"/>
        <v>45413</v>
      </c>
      <c r="Y147">
        <f t="shared" si="25"/>
        <v>-139</v>
      </c>
      <c r="Z147" t="str">
        <f t="shared" si="26"/>
        <v>Invalid Data</v>
      </c>
    </row>
    <row r="148" spans="1:26" x14ac:dyDescent="0.4">
      <c r="A148" t="s">
        <v>868</v>
      </c>
      <c r="B148" t="s">
        <v>869</v>
      </c>
      <c r="C148" t="s">
        <v>29</v>
      </c>
      <c r="D148" t="s">
        <v>870</v>
      </c>
      <c r="E148" t="s">
        <v>871</v>
      </c>
      <c r="F148">
        <v>63</v>
      </c>
      <c r="G148">
        <v>92</v>
      </c>
      <c r="H148">
        <v>26</v>
      </c>
      <c r="I148" t="s">
        <v>147</v>
      </c>
      <c r="J148" s="7">
        <f t="shared" si="18"/>
        <v>8</v>
      </c>
      <c r="K148" t="s">
        <v>228</v>
      </c>
      <c r="L148" s="1">
        <f t="shared" si="19"/>
        <v>45522</v>
      </c>
      <c r="M148" s="1">
        <v>45993</v>
      </c>
      <c r="N148" s="1">
        <f t="shared" si="20"/>
        <v>45993</v>
      </c>
      <c r="O148" t="s">
        <v>644</v>
      </c>
      <c r="P148" s="1">
        <f t="shared" si="21"/>
        <v>45411</v>
      </c>
      <c r="Q148" t="s">
        <v>872</v>
      </c>
      <c r="R148">
        <v>93</v>
      </c>
      <c r="S148">
        <v>99</v>
      </c>
      <c r="T148" t="s">
        <v>51</v>
      </c>
      <c r="U148" s="8">
        <v>744</v>
      </c>
      <c r="V148" s="8">
        <f t="shared" si="22"/>
        <v>504</v>
      </c>
      <c r="W148" t="str">
        <f t="shared" si="23"/>
        <v>Reorder Required</v>
      </c>
      <c r="X148" s="9">
        <f t="shared" si="24"/>
        <v>45505</v>
      </c>
      <c r="Y148">
        <f t="shared" si="25"/>
        <v>-111</v>
      </c>
      <c r="Z148" t="str">
        <f t="shared" si="26"/>
        <v>Invalid Data</v>
      </c>
    </row>
    <row r="149" spans="1:26" x14ac:dyDescent="0.4">
      <c r="A149" t="s">
        <v>873</v>
      </c>
      <c r="B149" t="s">
        <v>412</v>
      </c>
      <c r="C149" t="s">
        <v>169</v>
      </c>
      <c r="D149" t="s">
        <v>874</v>
      </c>
      <c r="E149" t="s">
        <v>781</v>
      </c>
      <c r="F149">
        <v>73</v>
      </c>
      <c r="G149">
        <v>31</v>
      </c>
      <c r="H149">
        <v>49</v>
      </c>
      <c r="I149" t="s">
        <v>39</v>
      </c>
      <c r="J149" s="7">
        <f t="shared" si="18"/>
        <v>6</v>
      </c>
      <c r="K149" t="s">
        <v>321</v>
      </c>
      <c r="L149" s="1">
        <f t="shared" si="19"/>
        <v>45683</v>
      </c>
      <c r="M149" s="1">
        <v>45325</v>
      </c>
      <c r="N149" s="1">
        <f t="shared" si="20"/>
        <v>45325</v>
      </c>
      <c r="O149" s="1">
        <v>45446</v>
      </c>
      <c r="P149" s="1">
        <f t="shared" si="21"/>
        <v>45446</v>
      </c>
      <c r="Q149" t="s">
        <v>875</v>
      </c>
      <c r="R149">
        <v>22</v>
      </c>
      <c r="S149">
        <v>47</v>
      </c>
      <c r="T149" t="s">
        <v>26</v>
      </c>
      <c r="U149" s="8">
        <v>132</v>
      </c>
      <c r="V149" s="8">
        <f t="shared" si="22"/>
        <v>438</v>
      </c>
      <c r="W149" t="str">
        <f t="shared" si="23"/>
        <v>Sufficient Stock</v>
      </c>
      <c r="X149" s="9">
        <f t="shared" si="24"/>
        <v>45658</v>
      </c>
      <c r="Y149">
        <f t="shared" si="25"/>
        <v>-237</v>
      </c>
      <c r="Z149" t="str">
        <f t="shared" si="26"/>
        <v>Invalid Data</v>
      </c>
    </row>
    <row r="150" spans="1:26" x14ac:dyDescent="0.4">
      <c r="A150" t="s">
        <v>876</v>
      </c>
      <c r="B150" t="s">
        <v>363</v>
      </c>
      <c r="C150" t="s">
        <v>112</v>
      </c>
      <c r="D150" t="s">
        <v>877</v>
      </c>
      <c r="E150" t="s">
        <v>692</v>
      </c>
      <c r="F150">
        <v>12</v>
      </c>
      <c r="G150">
        <v>86</v>
      </c>
      <c r="H150">
        <v>98</v>
      </c>
      <c r="I150" t="s">
        <v>57</v>
      </c>
      <c r="J150" s="7">
        <f t="shared" si="18"/>
        <v>4</v>
      </c>
      <c r="K150" s="1">
        <v>45575</v>
      </c>
      <c r="L150" s="1">
        <f t="shared" si="19"/>
        <v>45575</v>
      </c>
      <c r="M150" t="s">
        <v>23</v>
      </c>
      <c r="N150" s="1">
        <f t="shared" si="20"/>
        <v>45472</v>
      </c>
      <c r="O150" t="s">
        <v>842</v>
      </c>
      <c r="P150" s="1">
        <f t="shared" si="21"/>
        <v>45564</v>
      </c>
      <c r="Q150" t="s">
        <v>878</v>
      </c>
      <c r="R150">
        <v>75</v>
      </c>
      <c r="S150">
        <v>86</v>
      </c>
      <c r="T150" t="s">
        <v>26</v>
      </c>
      <c r="U150" s="8">
        <v>300</v>
      </c>
      <c r="V150" s="8">
        <f t="shared" si="22"/>
        <v>48</v>
      </c>
      <c r="W150" t="str">
        <f t="shared" si="23"/>
        <v>Reorder Required</v>
      </c>
      <c r="X150" s="9">
        <f t="shared" si="24"/>
        <v>45566</v>
      </c>
      <c r="Y150">
        <f t="shared" si="25"/>
        <v>-11</v>
      </c>
      <c r="Z150" t="str">
        <f t="shared" si="26"/>
        <v>Invalid Data</v>
      </c>
    </row>
    <row r="151" spans="1:26" x14ac:dyDescent="0.4">
      <c r="A151" t="s">
        <v>879</v>
      </c>
      <c r="B151" t="s">
        <v>296</v>
      </c>
      <c r="C151" t="s">
        <v>18</v>
      </c>
      <c r="D151" t="s">
        <v>880</v>
      </c>
      <c r="E151" t="s">
        <v>881</v>
      </c>
      <c r="F151">
        <v>53</v>
      </c>
      <c r="G151">
        <v>86</v>
      </c>
      <c r="H151">
        <v>54</v>
      </c>
      <c r="I151" t="s">
        <v>85</v>
      </c>
      <c r="J151" s="7">
        <f t="shared" si="18"/>
        <v>3</v>
      </c>
      <c r="K151" t="s">
        <v>882</v>
      </c>
      <c r="L151" s="1">
        <f t="shared" si="19"/>
        <v>45518</v>
      </c>
      <c r="M151" s="1">
        <v>45749</v>
      </c>
      <c r="N151" s="1">
        <f t="shared" si="20"/>
        <v>45749</v>
      </c>
      <c r="O151" s="1">
        <v>45454</v>
      </c>
      <c r="P151" s="1">
        <f t="shared" si="21"/>
        <v>45454</v>
      </c>
      <c r="Q151" t="s">
        <v>883</v>
      </c>
      <c r="R151">
        <v>44</v>
      </c>
      <c r="S151">
        <v>3</v>
      </c>
      <c r="T151" t="s">
        <v>26</v>
      </c>
      <c r="U151" s="8">
        <v>132</v>
      </c>
      <c r="V151" s="8">
        <f t="shared" si="22"/>
        <v>159</v>
      </c>
      <c r="W151" t="str">
        <f t="shared" si="23"/>
        <v>Reorder Required</v>
      </c>
      <c r="X151" s="9">
        <f t="shared" si="24"/>
        <v>45505</v>
      </c>
      <c r="Y151">
        <f t="shared" si="25"/>
        <v>-64</v>
      </c>
      <c r="Z151" t="str">
        <f t="shared" si="26"/>
        <v>Invalid Data</v>
      </c>
    </row>
    <row r="152" spans="1:26" x14ac:dyDescent="0.4">
      <c r="A152" t="s">
        <v>884</v>
      </c>
      <c r="B152" t="s">
        <v>885</v>
      </c>
      <c r="C152" t="s">
        <v>18</v>
      </c>
      <c r="D152" t="s">
        <v>886</v>
      </c>
      <c r="E152" t="s">
        <v>887</v>
      </c>
      <c r="F152">
        <v>68</v>
      </c>
      <c r="G152">
        <v>7</v>
      </c>
      <c r="H152">
        <v>37</v>
      </c>
      <c r="I152" t="s">
        <v>71</v>
      </c>
      <c r="J152" s="7">
        <f t="shared" si="18"/>
        <v>2.5</v>
      </c>
      <c r="K152" s="1">
        <v>45512</v>
      </c>
      <c r="L152" s="1">
        <f t="shared" si="19"/>
        <v>45512</v>
      </c>
      <c r="M152" s="1">
        <v>45600</v>
      </c>
      <c r="N152" s="1">
        <f t="shared" si="20"/>
        <v>45600</v>
      </c>
      <c r="O152" t="s">
        <v>158</v>
      </c>
      <c r="P152" s="1">
        <f t="shared" si="21"/>
        <v>45654</v>
      </c>
      <c r="Q152" t="s">
        <v>888</v>
      </c>
      <c r="R152">
        <v>69</v>
      </c>
      <c r="S152">
        <v>1</v>
      </c>
      <c r="T152" t="s">
        <v>26</v>
      </c>
      <c r="U152" s="8">
        <v>172.5</v>
      </c>
      <c r="V152" s="8">
        <f t="shared" si="22"/>
        <v>170</v>
      </c>
      <c r="W152" t="str">
        <f t="shared" si="23"/>
        <v>Sufficient Stock</v>
      </c>
      <c r="X152" s="9">
        <f t="shared" si="24"/>
        <v>45505</v>
      </c>
      <c r="Y152">
        <f t="shared" si="25"/>
        <v>142</v>
      </c>
      <c r="Z152" t="str">
        <f t="shared" si="26"/>
        <v>Medium Risk</v>
      </c>
    </row>
    <row r="153" spans="1:26" x14ac:dyDescent="0.4">
      <c r="A153" t="s">
        <v>889</v>
      </c>
      <c r="B153" t="s">
        <v>144</v>
      </c>
      <c r="C153" t="s">
        <v>77</v>
      </c>
      <c r="D153" t="s">
        <v>890</v>
      </c>
      <c r="E153" t="s">
        <v>891</v>
      </c>
      <c r="F153">
        <v>80</v>
      </c>
      <c r="G153">
        <v>9</v>
      </c>
      <c r="H153">
        <v>29</v>
      </c>
      <c r="I153" t="s">
        <v>892</v>
      </c>
      <c r="J153" s="7">
        <f t="shared" si="18"/>
        <v>8.1</v>
      </c>
      <c r="K153" t="s">
        <v>893</v>
      </c>
      <c r="L153" s="1">
        <f t="shared" si="19"/>
        <v>45530</v>
      </c>
      <c r="M153" t="s">
        <v>473</v>
      </c>
      <c r="N153" s="1">
        <f t="shared" si="20"/>
        <v>45616</v>
      </c>
      <c r="O153" s="1">
        <v>45545</v>
      </c>
      <c r="P153" s="1">
        <f t="shared" si="21"/>
        <v>45545</v>
      </c>
      <c r="Q153" t="s">
        <v>894</v>
      </c>
      <c r="R153">
        <v>54</v>
      </c>
      <c r="S153">
        <v>62</v>
      </c>
      <c r="T153" t="s">
        <v>51</v>
      </c>
      <c r="U153" s="8">
        <v>437.4</v>
      </c>
      <c r="V153" s="8">
        <f t="shared" si="22"/>
        <v>648</v>
      </c>
      <c r="W153" t="str">
        <f t="shared" si="23"/>
        <v>Sufficient Stock</v>
      </c>
      <c r="X153" s="9">
        <f t="shared" si="24"/>
        <v>45505</v>
      </c>
      <c r="Y153">
        <f t="shared" si="25"/>
        <v>15</v>
      </c>
      <c r="Z153" t="str">
        <f t="shared" si="26"/>
        <v>Critical</v>
      </c>
    </row>
    <row r="154" spans="1:26" x14ac:dyDescent="0.4">
      <c r="A154" t="s">
        <v>895</v>
      </c>
      <c r="B154" t="s">
        <v>814</v>
      </c>
      <c r="C154" t="s">
        <v>169</v>
      </c>
      <c r="D154" t="s">
        <v>896</v>
      </c>
      <c r="E154" t="s">
        <v>897</v>
      </c>
      <c r="F154">
        <v>92</v>
      </c>
      <c r="G154">
        <v>68</v>
      </c>
      <c r="H154">
        <v>79</v>
      </c>
      <c r="I154" t="s">
        <v>817</v>
      </c>
      <c r="J154" s="7">
        <f t="shared" si="18"/>
        <v>18</v>
      </c>
      <c r="K154" t="s">
        <v>898</v>
      </c>
      <c r="L154" s="1">
        <f t="shared" si="19"/>
        <v>45650</v>
      </c>
      <c r="M154" t="s">
        <v>228</v>
      </c>
      <c r="N154" s="1">
        <f t="shared" si="20"/>
        <v>45522</v>
      </c>
      <c r="O154" s="1">
        <v>45386</v>
      </c>
      <c r="P154" s="1">
        <f t="shared" si="21"/>
        <v>45386</v>
      </c>
      <c r="Q154" t="s">
        <v>899</v>
      </c>
      <c r="R154">
        <v>40</v>
      </c>
      <c r="S154">
        <v>57</v>
      </c>
      <c r="T154" t="s">
        <v>26</v>
      </c>
      <c r="U154" s="8">
        <v>720</v>
      </c>
      <c r="V154" s="8">
        <f t="shared" si="22"/>
        <v>1656</v>
      </c>
      <c r="W154" t="str">
        <f t="shared" si="23"/>
        <v>Sufficient Stock</v>
      </c>
      <c r="X154" s="9">
        <f t="shared" si="24"/>
        <v>45627</v>
      </c>
      <c r="Y154">
        <f t="shared" si="25"/>
        <v>-264</v>
      </c>
      <c r="Z154" t="str">
        <f t="shared" si="26"/>
        <v>Invalid Data</v>
      </c>
    </row>
    <row r="155" spans="1:26" x14ac:dyDescent="0.4">
      <c r="A155" t="s">
        <v>900</v>
      </c>
      <c r="B155" t="s">
        <v>233</v>
      </c>
      <c r="C155" t="s">
        <v>54</v>
      </c>
      <c r="D155" t="s">
        <v>901</v>
      </c>
      <c r="E155" t="s">
        <v>484</v>
      </c>
      <c r="F155">
        <v>31</v>
      </c>
      <c r="G155">
        <v>98</v>
      </c>
      <c r="H155">
        <v>72</v>
      </c>
      <c r="I155" t="s">
        <v>466</v>
      </c>
      <c r="J155" s="7">
        <f t="shared" si="18"/>
        <v>1.8</v>
      </c>
      <c r="K155" t="s">
        <v>893</v>
      </c>
      <c r="L155" s="1">
        <f t="shared" si="19"/>
        <v>45530</v>
      </c>
      <c r="M155" s="1">
        <v>45483</v>
      </c>
      <c r="N155" s="1">
        <f t="shared" si="20"/>
        <v>45483</v>
      </c>
      <c r="O155" s="1">
        <v>45394</v>
      </c>
      <c r="P155" s="1">
        <f t="shared" si="21"/>
        <v>45394</v>
      </c>
      <c r="Q155" t="s">
        <v>902</v>
      </c>
      <c r="R155">
        <v>91</v>
      </c>
      <c r="S155">
        <v>29</v>
      </c>
      <c r="T155" t="s">
        <v>51</v>
      </c>
      <c r="U155" s="8">
        <v>163.80000000000001</v>
      </c>
      <c r="V155" s="8">
        <f t="shared" si="22"/>
        <v>55.800000000000004</v>
      </c>
      <c r="W155" t="str">
        <f t="shared" si="23"/>
        <v>Reorder Required</v>
      </c>
      <c r="X155" s="9">
        <f t="shared" si="24"/>
        <v>45505</v>
      </c>
      <c r="Y155">
        <f t="shared" si="25"/>
        <v>-136</v>
      </c>
      <c r="Z155" t="str">
        <f t="shared" si="26"/>
        <v>Invalid Data</v>
      </c>
    </row>
    <row r="156" spans="1:26" x14ac:dyDescent="0.4">
      <c r="A156" t="s">
        <v>903</v>
      </c>
      <c r="B156" t="s">
        <v>482</v>
      </c>
      <c r="C156" t="s">
        <v>54</v>
      </c>
      <c r="D156" t="s">
        <v>904</v>
      </c>
      <c r="E156" t="s">
        <v>56</v>
      </c>
      <c r="F156">
        <v>31</v>
      </c>
      <c r="G156">
        <v>44</v>
      </c>
      <c r="H156">
        <v>9</v>
      </c>
      <c r="I156" t="s">
        <v>85</v>
      </c>
      <c r="J156" s="7">
        <f t="shared" si="18"/>
        <v>3</v>
      </c>
      <c r="K156" t="s">
        <v>200</v>
      </c>
      <c r="L156" s="1">
        <f t="shared" si="19"/>
        <v>45442</v>
      </c>
      <c r="M156" t="s">
        <v>347</v>
      </c>
      <c r="N156" s="1">
        <f t="shared" si="20"/>
        <v>45428</v>
      </c>
      <c r="O156" s="1">
        <v>45420</v>
      </c>
      <c r="P156" s="1">
        <f t="shared" si="21"/>
        <v>45420</v>
      </c>
      <c r="Q156" t="s">
        <v>905</v>
      </c>
      <c r="R156">
        <v>46</v>
      </c>
      <c r="S156">
        <v>9</v>
      </c>
      <c r="T156" t="s">
        <v>26</v>
      </c>
      <c r="U156" s="8">
        <v>138</v>
      </c>
      <c r="V156" s="8">
        <f t="shared" si="22"/>
        <v>93</v>
      </c>
      <c r="W156" t="str">
        <f t="shared" si="23"/>
        <v>Reorder Required</v>
      </c>
      <c r="X156" s="9">
        <f t="shared" si="24"/>
        <v>45413</v>
      </c>
      <c r="Y156">
        <f t="shared" si="25"/>
        <v>-22</v>
      </c>
      <c r="Z156" t="str">
        <f t="shared" si="26"/>
        <v>Invalid Data</v>
      </c>
    </row>
    <row r="157" spans="1:26" x14ac:dyDescent="0.4">
      <c r="A157" t="s">
        <v>906</v>
      </c>
      <c r="B157" t="s">
        <v>616</v>
      </c>
      <c r="C157" t="s">
        <v>54</v>
      </c>
      <c r="D157" t="s">
        <v>907</v>
      </c>
      <c r="E157" t="s">
        <v>908</v>
      </c>
      <c r="F157">
        <v>76</v>
      </c>
      <c r="G157">
        <v>97</v>
      </c>
      <c r="H157">
        <v>20</v>
      </c>
      <c r="I157" t="s">
        <v>134</v>
      </c>
      <c r="J157" s="7">
        <f t="shared" si="18"/>
        <v>7</v>
      </c>
      <c r="K157" t="s">
        <v>909</v>
      </c>
      <c r="L157" s="1">
        <f t="shared" si="19"/>
        <v>45378</v>
      </c>
      <c r="M157" t="s">
        <v>301</v>
      </c>
      <c r="N157" s="1">
        <f t="shared" si="20"/>
        <v>45528</v>
      </c>
      <c r="O157" s="1">
        <v>45601</v>
      </c>
      <c r="P157" s="1">
        <f t="shared" si="21"/>
        <v>45601</v>
      </c>
      <c r="Q157" t="s">
        <v>910</v>
      </c>
      <c r="R157">
        <v>52</v>
      </c>
      <c r="S157">
        <v>82</v>
      </c>
      <c r="T157" t="s">
        <v>26</v>
      </c>
      <c r="U157" s="8">
        <v>364</v>
      </c>
      <c r="V157" s="8">
        <f t="shared" si="22"/>
        <v>532</v>
      </c>
      <c r="W157" t="str">
        <f t="shared" si="23"/>
        <v>Reorder Required</v>
      </c>
      <c r="X157" s="9">
        <f t="shared" si="24"/>
        <v>45352</v>
      </c>
      <c r="Y157">
        <f t="shared" si="25"/>
        <v>223</v>
      </c>
      <c r="Z157" t="str">
        <f t="shared" si="26"/>
        <v>Low Risk</v>
      </c>
    </row>
    <row r="158" spans="1:26" x14ac:dyDescent="0.4">
      <c r="A158" t="s">
        <v>911</v>
      </c>
      <c r="B158" t="s">
        <v>912</v>
      </c>
      <c r="C158" t="s">
        <v>68</v>
      </c>
      <c r="D158" t="s">
        <v>913</v>
      </c>
      <c r="E158" t="s">
        <v>914</v>
      </c>
      <c r="F158">
        <v>57</v>
      </c>
      <c r="G158">
        <v>99</v>
      </c>
      <c r="H158">
        <v>23</v>
      </c>
      <c r="I158" t="s">
        <v>106</v>
      </c>
      <c r="J158" s="7">
        <f t="shared" si="18"/>
        <v>2</v>
      </c>
      <c r="K158" t="s">
        <v>915</v>
      </c>
      <c r="L158" s="1">
        <f t="shared" si="19"/>
        <v>45498</v>
      </c>
      <c r="M158" t="s">
        <v>916</v>
      </c>
      <c r="N158" s="1">
        <f t="shared" si="20"/>
        <v>45437</v>
      </c>
      <c r="O158" t="s">
        <v>637</v>
      </c>
      <c r="P158" s="1">
        <f t="shared" si="21"/>
        <v>45401</v>
      </c>
      <c r="Q158" t="s">
        <v>917</v>
      </c>
      <c r="R158">
        <v>89</v>
      </c>
      <c r="S158">
        <v>21</v>
      </c>
      <c r="T158" t="s">
        <v>42</v>
      </c>
      <c r="U158" s="8">
        <v>178</v>
      </c>
      <c r="V158" s="8">
        <f t="shared" si="22"/>
        <v>114</v>
      </c>
      <c r="W158" t="str">
        <f t="shared" si="23"/>
        <v>Reorder Required</v>
      </c>
      <c r="X158" s="9">
        <f t="shared" si="24"/>
        <v>45474</v>
      </c>
      <c r="Y158">
        <f t="shared" si="25"/>
        <v>-97</v>
      </c>
      <c r="Z158" t="str">
        <f t="shared" si="26"/>
        <v>Invalid Data</v>
      </c>
    </row>
    <row r="159" spans="1:26" x14ac:dyDescent="0.4">
      <c r="A159" t="s">
        <v>918</v>
      </c>
      <c r="B159" t="s">
        <v>663</v>
      </c>
      <c r="C159" t="s">
        <v>77</v>
      </c>
      <c r="D159" t="s">
        <v>919</v>
      </c>
      <c r="E159" t="s">
        <v>920</v>
      </c>
      <c r="F159">
        <v>92</v>
      </c>
      <c r="G159">
        <v>99</v>
      </c>
      <c r="H159">
        <v>93</v>
      </c>
      <c r="I159" t="s">
        <v>57</v>
      </c>
      <c r="J159" s="7">
        <f t="shared" si="18"/>
        <v>4</v>
      </c>
      <c r="K159" t="s">
        <v>48</v>
      </c>
      <c r="L159" s="1">
        <f t="shared" si="19"/>
        <v>45707</v>
      </c>
      <c r="M159" t="s">
        <v>866</v>
      </c>
      <c r="N159" s="1">
        <f t="shared" si="20"/>
        <v>45486</v>
      </c>
      <c r="O159" t="s">
        <v>360</v>
      </c>
      <c r="P159" s="1">
        <f t="shared" si="21"/>
        <v>45377</v>
      </c>
      <c r="Q159" t="s">
        <v>921</v>
      </c>
      <c r="R159">
        <v>43</v>
      </c>
      <c r="S159">
        <v>90</v>
      </c>
      <c r="T159" t="s">
        <v>26</v>
      </c>
      <c r="U159" s="8">
        <v>172</v>
      </c>
      <c r="V159" s="8">
        <f t="shared" si="22"/>
        <v>368</v>
      </c>
      <c r="W159" t="str">
        <f t="shared" si="23"/>
        <v>Reorder Required</v>
      </c>
      <c r="X159" s="9">
        <f t="shared" si="24"/>
        <v>45689</v>
      </c>
      <c r="Y159">
        <f t="shared" si="25"/>
        <v>-330</v>
      </c>
      <c r="Z159" t="str">
        <f t="shared" si="26"/>
        <v>Invalid Data</v>
      </c>
    </row>
    <row r="160" spans="1:26" x14ac:dyDescent="0.4">
      <c r="A160" t="s">
        <v>922</v>
      </c>
      <c r="B160" t="s">
        <v>923</v>
      </c>
      <c r="C160" t="s">
        <v>77</v>
      </c>
      <c r="D160" t="s">
        <v>924</v>
      </c>
      <c r="E160" t="s">
        <v>925</v>
      </c>
      <c r="F160">
        <v>88</v>
      </c>
      <c r="G160">
        <v>74</v>
      </c>
      <c r="H160">
        <v>97</v>
      </c>
      <c r="I160" t="s">
        <v>266</v>
      </c>
      <c r="J160" s="7">
        <f t="shared" si="18"/>
        <v>9</v>
      </c>
      <c r="K160" t="s">
        <v>164</v>
      </c>
      <c r="L160" s="1">
        <f t="shared" si="19"/>
        <v>45440</v>
      </c>
      <c r="M160" t="s">
        <v>157</v>
      </c>
      <c r="N160" s="1">
        <f t="shared" si="20"/>
        <v>45443</v>
      </c>
      <c r="O160" t="s">
        <v>301</v>
      </c>
      <c r="P160" s="1">
        <f t="shared" si="21"/>
        <v>45528</v>
      </c>
      <c r="Q160" t="s">
        <v>926</v>
      </c>
      <c r="R160">
        <v>79</v>
      </c>
      <c r="S160">
        <v>5</v>
      </c>
      <c r="T160" t="s">
        <v>51</v>
      </c>
      <c r="U160" s="8">
        <v>711</v>
      </c>
      <c r="V160" s="8">
        <f t="shared" si="22"/>
        <v>792</v>
      </c>
      <c r="W160" t="str">
        <f t="shared" si="23"/>
        <v>Sufficient Stock</v>
      </c>
      <c r="X160" s="9">
        <f t="shared" si="24"/>
        <v>45413</v>
      </c>
      <c r="Y160">
        <f t="shared" si="25"/>
        <v>88</v>
      </c>
      <c r="Z160" t="str">
        <f t="shared" si="26"/>
        <v>High Risk</v>
      </c>
    </row>
    <row r="161" spans="1:26" x14ac:dyDescent="0.4">
      <c r="A161" t="s">
        <v>927</v>
      </c>
      <c r="B161" t="s">
        <v>698</v>
      </c>
      <c r="C161" t="s">
        <v>54</v>
      </c>
      <c r="D161" t="s">
        <v>928</v>
      </c>
      <c r="E161" t="s">
        <v>929</v>
      </c>
      <c r="F161">
        <v>99</v>
      </c>
      <c r="G161">
        <v>8</v>
      </c>
      <c r="H161">
        <v>27</v>
      </c>
      <c r="I161" t="s">
        <v>220</v>
      </c>
      <c r="J161" s="7">
        <f t="shared" si="18"/>
        <v>5</v>
      </c>
      <c r="K161" t="s">
        <v>221</v>
      </c>
      <c r="L161" s="1">
        <f t="shared" si="19"/>
        <v>45489</v>
      </c>
      <c r="M161" t="s">
        <v>866</v>
      </c>
      <c r="N161" s="1">
        <f t="shared" si="20"/>
        <v>45486</v>
      </c>
      <c r="O161" s="1">
        <v>45573</v>
      </c>
      <c r="P161" s="1">
        <f t="shared" si="21"/>
        <v>45573</v>
      </c>
      <c r="Q161" t="s">
        <v>930</v>
      </c>
      <c r="R161">
        <v>41</v>
      </c>
      <c r="S161">
        <v>50</v>
      </c>
      <c r="T161" t="s">
        <v>26</v>
      </c>
      <c r="U161" s="8">
        <v>205</v>
      </c>
      <c r="V161" s="8">
        <f t="shared" si="22"/>
        <v>495</v>
      </c>
      <c r="W161" t="str">
        <f t="shared" si="23"/>
        <v>Sufficient Stock</v>
      </c>
      <c r="X161" s="9">
        <f t="shared" si="24"/>
        <v>45474</v>
      </c>
      <c r="Y161">
        <f t="shared" si="25"/>
        <v>84</v>
      </c>
      <c r="Z161" t="str">
        <f t="shared" si="26"/>
        <v>High Risk</v>
      </c>
    </row>
    <row r="162" spans="1:26" x14ac:dyDescent="0.4">
      <c r="A162" t="s">
        <v>931</v>
      </c>
      <c r="B162" t="s">
        <v>932</v>
      </c>
      <c r="C162" t="s">
        <v>77</v>
      </c>
      <c r="D162" t="s">
        <v>933</v>
      </c>
      <c r="E162" t="s">
        <v>934</v>
      </c>
      <c r="F162">
        <v>44</v>
      </c>
      <c r="G162">
        <v>84</v>
      </c>
      <c r="H162">
        <v>63</v>
      </c>
      <c r="I162" t="s">
        <v>71</v>
      </c>
      <c r="J162" s="7">
        <f t="shared" si="18"/>
        <v>2.5</v>
      </c>
      <c r="K162" t="s">
        <v>525</v>
      </c>
      <c r="L162" s="1">
        <f t="shared" si="19"/>
        <v>45502</v>
      </c>
      <c r="M162" s="1">
        <v>45600</v>
      </c>
      <c r="N162" s="1">
        <f t="shared" si="20"/>
        <v>45600</v>
      </c>
      <c r="O162" t="s">
        <v>935</v>
      </c>
      <c r="P162" s="1">
        <f t="shared" si="21"/>
        <v>45560</v>
      </c>
      <c r="Q162" t="s">
        <v>936</v>
      </c>
      <c r="R162">
        <v>51</v>
      </c>
      <c r="S162">
        <v>67</v>
      </c>
      <c r="T162" t="s">
        <v>26</v>
      </c>
      <c r="U162" s="8">
        <v>127.5</v>
      </c>
      <c r="V162" s="8">
        <f t="shared" si="22"/>
        <v>110</v>
      </c>
      <c r="W162" t="str">
        <f t="shared" si="23"/>
        <v>Reorder Required</v>
      </c>
      <c r="X162" s="9">
        <f t="shared" si="24"/>
        <v>45474</v>
      </c>
      <c r="Y162">
        <f t="shared" si="25"/>
        <v>58</v>
      </c>
      <c r="Z162" t="str">
        <f t="shared" si="26"/>
        <v>High Risk</v>
      </c>
    </row>
    <row r="163" spans="1:26" x14ac:dyDescent="0.4">
      <c r="A163" t="s">
        <v>937</v>
      </c>
      <c r="B163" t="s">
        <v>255</v>
      </c>
      <c r="C163" t="s">
        <v>29</v>
      </c>
      <c r="D163" t="s">
        <v>938</v>
      </c>
      <c r="E163" t="s">
        <v>939</v>
      </c>
      <c r="F163">
        <v>48</v>
      </c>
      <c r="G163">
        <v>77</v>
      </c>
      <c r="H163">
        <v>81</v>
      </c>
      <c r="I163" t="s">
        <v>940</v>
      </c>
      <c r="J163" s="7">
        <f t="shared" si="18"/>
        <v>31</v>
      </c>
      <c r="K163" t="s">
        <v>366</v>
      </c>
      <c r="L163" s="1">
        <f t="shared" si="19"/>
        <v>45685</v>
      </c>
      <c r="M163" s="1">
        <v>45422</v>
      </c>
      <c r="N163" s="1">
        <f t="shared" si="20"/>
        <v>45422</v>
      </c>
      <c r="O163" s="1">
        <v>45485</v>
      </c>
      <c r="P163" s="1">
        <f t="shared" si="21"/>
        <v>45485</v>
      </c>
      <c r="Q163" t="s">
        <v>941</v>
      </c>
      <c r="R163">
        <v>70</v>
      </c>
      <c r="S163">
        <v>74</v>
      </c>
      <c r="T163" t="s">
        <v>42</v>
      </c>
      <c r="U163" s="8">
        <v>2170</v>
      </c>
      <c r="V163" s="8">
        <f t="shared" si="22"/>
        <v>1488</v>
      </c>
      <c r="W163" t="str">
        <f t="shared" si="23"/>
        <v>Reorder Required</v>
      </c>
      <c r="X163" s="9">
        <f t="shared" si="24"/>
        <v>45658</v>
      </c>
      <c r="Y163">
        <f t="shared" si="25"/>
        <v>-200</v>
      </c>
      <c r="Z163" t="str">
        <f t="shared" si="26"/>
        <v>Invalid Data</v>
      </c>
    </row>
    <row r="164" spans="1:26" x14ac:dyDescent="0.4">
      <c r="A164" t="s">
        <v>942</v>
      </c>
      <c r="B164" t="s">
        <v>943</v>
      </c>
      <c r="C164" t="s">
        <v>68</v>
      </c>
      <c r="D164" t="s">
        <v>944</v>
      </c>
      <c r="E164" t="s">
        <v>665</v>
      </c>
      <c r="F164">
        <v>27</v>
      </c>
      <c r="G164">
        <v>92</v>
      </c>
      <c r="H164">
        <v>56</v>
      </c>
      <c r="I164" t="s">
        <v>945</v>
      </c>
      <c r="J164" s="7">
        <f t="shared" si="18"/>
        <v>6.5</v>
      </c>
      <c r="K164" t="s">
        <v>946</v>
      </c>
      <c r="L164" s="1">
        <f t="shared" si="19"/>
        <v>45400</v>
      </c>
      <c r="M164" t="s">
        <v>107</v>
      </c>
      <c r="N164" s="1">
        <f t="shared" si="20"/>
        <v>45584</v>
      </c>
      <c r="O164" t="s">
        <v>99</v>
      </c>
      <c r="P164" s="1">
        <f t="shared" si="21"/>
        <v>45644</v>
      </c>
      <c r="Q164" t="s">
        <v>947</v>
      </c>
      <c r="R164">
        <v>29</v>
      </c>
      <c r="S164">
        <v>32</v>
      </c>
      <c r="T164" t="s">
        <v>26</v>
      </c>
      <c r="U164" s="8">
        <v>188.5</v>
      </c>
      <c r="V164" s="8">
        <f t="shared" si="22"/>
        <v>175.5</v>
      </c>
      <c r="W164" t="str">
        <f t="shared" si="23"/>
        <v>Reorder Required</v>
      </c>
      <c r="X164" s="9">
        <f t="shared" si="24"/>
        <v>45383</v>
      </c>
      <c r="Y164">
        <f t="shared" si="25"/>
        <v>244</v>
      </c>
      <c r="Z164" t="str">
        <f t="shared" si="26"/>
        <v>Low Risk</v>
      </c>
    </row>
    <row r="165" spans="1:26" x14ac:dyDescent="0.4">
      <c r="A165" t="s">
        <v>948</v>
      </c>
      <c r="B165" t="s">
        <v>36</v>
      </c>
      <c r="C165" t="s">
        <v>18</v>
      </c>
      <c r="D165" t="s">
        <v>949</v>
      </c>
      <c r="E165" t="s">
        <v>950</v>
      </c>
      <c r="F165">
        <v>34</v>
      </c>
      <c r="G165">
        <v>96</v>
      </c>
      <c r="H165">
        <v>76</v>
      </c>
      <c r="I165" t="s">
        <v>951</v>
      </c>
      <c r="J165" s="7">
        <f t="shared" si="18"/>
        <v>6.15</v>
      </c>
      <c r="K165" s="1">
        <v>45361</v>
      </c>
      <c r="L165" s="1">
        <f t="shared" si="19"/>
        <v>45361</v>
      </c>
      <c r="M165" s="1">
        <v>45455</v>
      </c>
      <c r="N165" s="1">
        <f t="shared" si="20"/>
        <v>45455</v>
      </c>
      <c r="O165" t="s">
        <v>479</v>
      </c>
      <c r="P165" s="1">
        <f t="shared" si="21"/>
        <v>45672</v>
      </c>
      <c r="Q165" t="s">
        <v>952</v>
      </c>
      <c r="R165">
        <v>90</v>
      </c>
      <c r="S165">
        <v>34</v>
      </c>
      <c r="T165" t="s">
        <v>26</v>
      </c>
      <c r="U165" s="8">
        <v>553.5</v>
      </c>
      <c r="V165" s="8">
        <f t="shared" si="22"/>
        <v>209.10000000000002</v>
      </c>
      <c r="W165" t="str">
        <f t="shared" si="23"/>
        <v>Reorder Required</v>
      </c>
      <c r="X165" s="9">
        <f t="shared" si="24"/>
        <v>45352</v>
      </c>
      <c r="Y165">
        <f t="shared" si="25"/>
        <v>311</v>
      </c>
      <c r="Z165" t="str">
        <f t="shared" si="26"/>
        <v>Low Risk</v>
      </c>
    </row>
    <row r="166" spans="1:26" x14ac:dyDescent="0.4">
      <c r="A166" t="s">
        <v>953</v>
      </c>
      <c r="B166" t="s">
        <v>375</v>
      </c>
      <c r="C166" t="s">
        <v>54</v>
      </c>
      <c r="D166" t="s">
        <v>954</v>
      </c>
      <c r="E166" t="s">
        <v>357</v>
      </c>
      <c r="F166">
        <v>41</v>
      </c>
      <c r="G166">
        <v>94</v>
      </c>
      <c r="H166">
        <v>4</v>
      </c>
      <c r="I166" t="s">
        <v>85</v>
      </c>
      <c r="J166" s="7">
        <f t="shared" si="18"/>
        <v>3</v>
      </c>
      <c r="K166" s="1">
        <v>45749</v>
      </c>
      <c r="L166" s="1">
        <f t="shared" si="19"/>
        <v>45749</v>
      </c>
      <c r="M166" t="s">
        <v>955</v>
      </c>
      <c r="N166" s="1">
        <f t="shared" si="20"/>
        <v>45499</v>
      </c>
      <c r="O166" t="s">
        <v>956</v>
      </c>
      <c r="P166" s="1">
        <f t="shared" si="21"/>
        <v>45405</v>
      </c>
      <c r="Q166" t="s">
        <v>957</v>
      </c>
      <c r="R166">
        <v>88</v>
      </c>
      <c r="S166">
        <v>92</v>
      </c>
      <c r="T166" t="s">
        <v>26</v>
      </c>
      <c r="U166" s="8">
        <v>264</v>
      </c>
      <c r="V166" s="8">
        <f t="shared" si="22"/>
        <v>123</v>
      </c>
      <c r="W166" t="str">
        <f t="shared" si="23"/>
        <v>Reorder Required</v>
      </c>
      <c r="X166" s="9">
        <f t="shared" si="24"/>
        <v>45748</v>
      </c>
      <c r="Y166">
        <f t="shared" si="25"/>
        <v>-344</v>
      </c>
      <c r="Z166" t="str">
        <f t="shared" si="26"/>
        <v>Invalid Data</v>
      </c>
    </row>
    <row r="167" spans="1:26" x14ac:dyDescent="0.4">
      <c r="A167" t="s">
        <v>958</v>
      </c>
      <c r="B167" t="s">
        <v>431</v>
      </c>
      <c r="C167" t="s">
        <v>29</v>
      </c>
      <c r="D167" t="s">
        <v>959</v>
      </c>
      <c r="E167" t="s">
        <v>56</v>
      </c>
      <c r="F167">
        <v>56</v>
      </c>
      <c r="G167">
        <v>12</v>
      </c>
      <c r="H167">
        <v>85</v>
      </c>
      <c r="I167" t="s">
        <v>220</v>
      </c>
      <c r="J167" s="7">
        <f t="shared" si="18"/>
        <v>5</v>
      </c>
      <c r="K167" s="1">
        <v>45577</v>
      </c>
      <c r="L167" s="1">
        <f t="shared" si="19"/>
        <v>45577</v>
      </c>
      <c r="M167" t="s">
        <v>300</v>
      </c>
      <c r="N167" s="1">
        <f t="shared" si="20"/>
        <v>45371</v>
      </c>
      <c r="O167" t="s">
        <v>637</v>
      </c>
      <c r="P167" s="1">
        <f t="shared" si="21"/>
        <v>45401</v>
      </c>
      <c r="Q167" t="s">
        <v>960</v>
      </c>
      <c r="R167">
        <v>52</v>
      </c>
      <c r="S167">
        <v>46</v>
      </c>
      <c r="T167" t="s">
        <v>51</v>
      </c>
      <c r="U167" s="8">
        <v>260</v>
      </c>
      <c r="V167" s="8">
        <f t="shared" si="22"/>
        <v>280</v>
      </c>
      <c r="W167" t="str">
        <f t="shared" si="23"/>
        <v>Sufficient Stock</v>
      </c>
      <c r="X167" s="9">
        <f t="shared" si="24"/>
        <v>45566</v>
      </c>
      <c r="Y167">
        <f t="shared" si="25"/>
        <v>-176</v>
      </c>
      <c r="Z167" t="str">
        <f t="shared" si="26"/>
        <v>Invalid Data</v>
      </c>
    </row>
    <row r="168" spans="1:26" x14ac:dyDescent="0.4">
      <c r="A168" t="s">
        <v>961</v>
      </c>
      <c r="B168" t="s">
        <v>962</v>
      </c>
      <c r="C168" t="s">
        <v>54</v>
      </c>
      <c r="D168" t="s">
        <v>963</v>
      </c>
      <c r="E168" t="s">
        <v>964</v>
      </c>
      <c r="F168">
        <v>22</v>
      </c>
      <c r="G168">
        <v>40</v>
      </c>
      <c r="H168">
        <v>7</v>
      </c>
      <c r="I168" t="s">
        <v>220</v>
      </c>
      <c r="J168" s="7">
        <f t="shared" si="18"/>
        <v>5</v>
      </c>
      <c r="K168" s="1">
        <v>45635</v>
      </c>
      <c r="L168" s="1">
        <f t="shared" si="19"/>
        <v>45635</v>
      </c>
      <c r="M168" t="s">
        <v>509</v>
      </c>
      <c r="N168" s="1">
        <f t="shared" si="20"/>
        <v>45657</v>
      </c>
      <c r="O168" t="s">
        <v>321</v>
      </c>
      <c r="P168" s="1">
        <f t="shared" si="21"/>
        <v>45683</v>
      </c>
      <c r="Q168" t="s">
        <v>965</v>
      </c>
      <c r="R168">
        <v>98</v>
      </c>
      <c r="S168">
        <v>60</v>
      </c>
      <c r="T168" t="s">
        <v>51</v>
      </c>
      <c r="U168" s="8">
        <v>490</v>
      </c>
      <c r="V168" s="8">
        <f t="shared" si="22"/>
        <v>110</v>
      </c>
      <c r="W168" t="str">
        <f t="shared" si="23"/>
        <v>Reorder Required</v>
      </c>
      <c r="X168" s="9">
        <f t="shared" si="24"/>
        <v>45627</v>
      </c>
      <c r="Y168">
        <f t="shared" si="25"/>
        <v>48</v>
      </c>
      <c r="Z168" t="str">
        <f t="shared" si="26"/>
        <v>High Risk</v>
      </c>
    </row>
    <row r="169" spans="1:26" x14ac:dyDescent="0.4">
      <c r="A169" t="s">
        <v>966</v>
      </c>
      <c r="B169" t="s">
        <v>607</v>
      </c>
      <c r="C169" t="s">
        <v>68</v>
      </c>
      <c r="D169" t="s">
        <v>967</v>
      </c>
      <c r="E169" t="s">
        <v>968</v>
      </c>
      <c r="F169">
        <v>40</v>
      </c>
      <c r="G169">
        <v>2</v>
      </c>
      <c r="H169">
        <v>58</v>
      </c>
      <c r="I169" t="s">
        <v>466</v>
      </c>
      <c r="J169" s="7">
        <f t="shared" si="18"/>
        <v>1.8</v>
      </c>
      <c r="K169" t="s">
        <v>969</v>
      </c>
      <c r="L169" s="1">
        <f t="shared" si="19"/>
        <v>45596</v>
      </c>
      <c r="M169" t="s">
        <v>251</v>
      </c>
      <c r="N169" s="1">
        <f t="shared" si="20"/>
        <v>45517</v>
      </c>
      <c r="O169" s="1">
        <v>45515</v>
      </c>
      <c r="P169" s="1">
        <f t="shared" si="21"/>
        <v>45515</v>
      </c>
      <c r="Q169" t="s">
        <v>970</v>
      </c>
      <c r="R169">
        <v>71</v>
      </c>
      <c r="S169">
        <v>10</v>
      </c>
      <c r="T169" t="s">
        <v>51</v>
      </c>
      <c r="U169" s="8">
        <v>127.8</v>
      </c>
      <c r="V169" s="8">
        <f t="shared" si="22"/>
        <v>72</v>
      </c>
      <c r="W169" t="str">
        <f t="shared" si="23"/>
        <v>Sufficient Stock</v>
      </c>
      <c r="X169" s="9">
        <f t="shared" si="24"/>
        <v>45566</v>
      </c>
      <c r="Y169">
        <f t="shared" si="25"/>
        <v>-81</v>
      </c>
      <c r="Z169" t="str">
        <f t="shared" si="26"/>
        <v>Invalid Data</v>
      </c>
    </row>
    <row r="170" spans="1:26" x14ac:dyDescent="0.4">
      <c r="A170" t="s">
        <v>971</v>
      </c>
      <c r="B170" t="s">
        <v>144</v>
      </c>
      <c r="C170" t="s">
        <v>77</v>
      </c>
      <c r="D170" t="s">
        <v>972</v>
      </c>
      <c r="E170" t="s">
        <v>973</v>
      </c>
      <c r="F170">
        <v>50</v>
      </c>
      <c r="G170">
        <v>99</v>
      </c>
      <c r="H170">
        <v>73</v>
      </c>
      <c r="I170" t="s">
        <v>147</v>
      </c>
      <c r="J170" s="7">
        <f t="shared" si="18"/>
        <v>8</v>
      </c>
      <c r="K170" s="1">
        <v>45631</v>
      </c>
      <c r="L170" s="1">
        <f t="shared" si="19"/>
        <v>45631</v>
      </c>
      <c r="M170" t="s">
        <v>243</v>
      </c>
      <c r="N170" s="1">
        <f t="shared" si="20"/>
        <v>45527</v>
      </c>
      <c r="O170" t="s">
        <v>807</v>
      </c>
      <c r="P170" s="1">
        <f t="shared" si="21"/>
        <v>45429</v>
      </c>
      <c r="Q170" t="s">
        <v>974</v>
      </c>
      <c r="R170">
        <v>42</v>
      </c>
      <c r="S170">
        <v>1</v>
      </c>
      <c r="T170" t="s">
        <v>42</v>
      </c>
      <c r="U170" s="8">
        <v>336</v>
      </c>
      <c r="V170" s="8">
        <f t="shared" si="22"/>
        <v>400</v>
      </c>
      <c r="W170" t="str">
        <f t="shared" si="23"/>
        <v>Reorder Required</v>
      </c>
      <c r="X170" s="9">
        <f t="shared" si="24"/>
        <v>45627</v>
      </c>
      <c r="Y170">
        <f t="shared" si="25"/>
        <v>-202</v>
      </c>
      <c r="Z170" t="str">
        <f t="shared" si="26"/>
        <v>Invalid Data</v>
      </c>
    </row>
    <row r="171" spans="1:26" x14ac:dyDescent="0.4">
      <c r="A171" t="s">
        <v>975</v>
      </c>
      <c r="B171" t="s">
        <v>304</v>
      </c>
      <c r="C171" t="s">
        <v>54</v>
      </c>
      <c r="D171" t="s">
        <v>976</v>
      </c>
      <c r="E171" t="s">
        <v>977</v>
      </c>
      <c r="F171">
        <v>89</v>
      </c>
      <c r="G171">
        <v>92</v>
      </c>
      <c r="H171">
        <v>62</v>
      </c>
      <c r="I171" t="s">
        <v>978</v>
      </c>
      <c r="J171" s="7">
        <f t="shared" si="18"/>
        <v>4.8</v>
      </c>
      <c r="K171" s="1">
        <v>45325</v>
      </c>
      <c r="L171" s="1">
        <f t="shared" si="19"/>
        <v>45325</v>
      </c>
      <c r="M171" s="1">
        <v>45511</v>
      </c>
      <c r="N171" s="1">
        <f t="shared" si="20"/>
        <v>45511</v>
      </c>
      <c r="O171" s="1">
        <v>45607</v>
      </c>
      <c r="P171" s="1">
        <f t="shared" si="21"/>
        <v>45607</v>
      </c>
      <c r="Q171" t="s">
        <v>979</v>
      </c>
      <c r="R171">
        <v>46</v>
      </c>
      <c r="S171">
        <v>11</v>
      </c>
      <c r="T171" t="s">
        <v>42</v>
      </c>
      <c r="U171" s="8">
        <v>220.79999999999998</v>
      </c>
      <c r="V171" s="8">
        <f t="shared" si="22"/>
        <v>427.2</v>
      </c>
      <c r="W171" t="str">
        <f t="shared" si="23"/>
        <v>Reorder Required</v>
      </c>
      <c r="X171" s="9">
        <f t="shared" si="24"/>
        <v>45323</v>
      </c>
      <c r="Y171">
        <f t="shared" si="25"/>
        <v>282</v>
      </c>
      <c r="Z171" t="str">
        <f t="shared" si="26"/>
        <v>Low Risk</v>
      </c>
    </row>
    <row r="172" spans="1:26" x14ac:dyDescent="0.4">
      <c r="A172" t="s">
        <v>980</v>
      </c>
      <c r="B172" t="s">
        <v>932</v>
      </c>
      <c r="C172" t="s">
        <v>77</v>
      </c>
      <c r="D172" t="s">
        <v>981</v>
      </c>
      <c r="E172" t="s">
        <v>584</v>
      </c>
      <c r="F172">
        <v>76</v>
      </c>
      <c r="G172">
        <v>54</v>
      </c>
      <c r="H172">
        <v>76</v>
      </c>
      <c r="I172" t="s">
        <v>71</v>
      </c>
      <c r="J172" s="7">
        <f t="shared" si="18"/>
        <v>2.5</v>
      </c>
      <c r="K172" s="1">
        <v>45301</v>
      </c>
      <c r="L172" s="1">
        <f t="shared" si="19"/>
        <v>45301</v>
      </c>
      <c r="M172" t="s">
        <v>173</v>
      </c>
      <c r="N172" s="1">
        <f t="shared" si="20"/>
        <v>45521</v>
      </c>
      <c r="O172" t="s">
        <v>64</v>
      </c>
      <c r="P172" s="1">
        <f t="shared" si="21"/>
        <v>45438</v>
      </c>
      <c r="Q172" t="s">
        <v>982</v>
      </c>
      <c r="R172">
        <v>69</v>
      </c>
      <c r="S172">
        <v>27</v>
      </c>
      <c r="T172" t="s">
        <v>42</v>
      </c>
      <c r="U172" s="8">
        <v>172.5</v>
      </c>
      <c r="V172" s="8">
        <f t="shared" si="22"/>
        <v>190</v>
      </c>
      <c r="W172" t="str">
        <f t="shared" si="23"/>
        <v>Sufficient Stock</v>
      </c>
      <c r="X172" s="9">
        <f t="shared" si="24"/>
        <v>45292</v>
      </c>
      <c r="Y172">
        <f t="shared" si="25"/>
        <v>137</v>
      </c>
      <c r="Z172" t="str">
        <f t="shared" si="26"/>
        <v>Medium Risk</v>
      </c>
    </row>
    <row r="173" spans="1:26" x14ac:dyDescent="0.4">
      <c r="A173" t="s">
        <v>983</v>
      </c>
      <c r="B173" t="s">
        <v>984</v>
      </c>
      <c r="C173" t="s">
        <v>18</v>
      </c>
      <c r="D173" t="s">
        <v>985</v>
      </c>
      <c r="E173" t="s">
        <v>767</v>
      </c>
      <c r="F173">
        <v>67</v>
      </c>
      <c r="G173">
        <v>60</v>
      </c>
      <c r="H173">
        <v>21</v>
      </c>
      <c r="I173" t="s">
        <v>986</v>
      </c>
      <c r="J173" s="7">
        <f t="shared" si="18"/>
        <v>2.75</v>
      </c>
      <c r="K173" s="1">
        <v>45355</v>
      </c>
      <c r="L173" s="1">
        <f t="shared" si="19"/>
        <v>45355</v>
      </c>
      <c r="M173" t="s">
        <v>618</v>
      </c>
      <c r="N173" s="1">
        <f t="shared" si="20"/>
        <v>45432</v>
      </c>
      <c r="O173" s="1">
        <v>45452</v>
      </c>
      <c r="P173" s="1">
        <f t="shared" si="21"/>
        <v>45452</v>
      </c>
      <c r="Q173" t="s">
        <v>987</v>
      </c>
      <c r="R173">
        <v>30</v>
      </c>
      <c r="S173">
        <v>6</v>
      </c>
      <c r="T173" t="s">
        <v>51</v>
      </c>
      <c r="U173" s="8">
        <v>82.5</v>
      </c>
      <c r="V173" s="8">
        <f t="shared" si="22"/>
        <v>184.25</v>
      </c>
      <c r="W173" t="str">
        <f t="shared" si="23"/>
        <v>Sufficient Stock</v>
      </c>
      <c r="X173" s="9">
        <f t="shared" si="24"/>
        <v>45352</v>
      </c>
      <c r="Y173">
        <f t="shared" si="25"/>
        <v>97</v>
      </c>
      <c r="Z173" t="str">
        <f t="shared" si="26"/>
        <v>Medium Risk</v>
      </c>
    </row>
    <row r="174" spans="1:26" x14ac:dyDescent="0.4">
      <c r="A174" t="s">
        <v>988</v>
      </c>
      <c r="B174" t="s">
        <v>989</v>
      </c>
      <c r="C174" t="s">
        <v>29</v>
      </c>
      <c r="D174" t="s">
        <v>990</v>
      </c>
      <c r="E174" t="s">
        <v>991</v>
      </c>
      <c r="F174">
        <v>62</v>
      </c>
      <c r="G174">
        <v>78</v>
      </c>
      <c r="H174">
        <v>97</v>
      </c>
      <c r="I174" t="s">
        <v>591</v>
      </c>
      <c r="J174" s="7">
        <f t="shared" si="18"/>
        <v>10</v>
      </c>
      <c r="K174" s="1">
        <v>45508</v>
      </c>
      <c r="L174" s="1">
        <f t="shared" si="19"/>
        <v>45508</v>
      </c>
      <c r="M174" t="s">
        <v>802</v>
      </c>
      <c r="N174" s="1">
        <f t="shared" si="20"/>
        <v>45533</v>
      </c>
      <c r="O174" t="s">
        <v>360</v>
      </c>
      <c r="P174" s="1">
        <f t="shared" si="21"/>
        <v>45377</v>
      </c>
      <c r="Q174" t="s">
        <v>992</v>
      </c>
      <c r="R174">
        <v>62</v>
      </c>
      <c r="S174">
        <v>97</v>
      </c>
      <c r="T174" t="s">
        <v>26</v>
      </c>
      <c r="U174" s="8">
        <v>620</v>
      </c>
      <c r="V174" s="8">
        <f t="shared" si="22"/>
        <v>620</v>
      </c>
      <c r="W174" t="str">
        <f t="shared" si="23"/>
        <v>Reorder Required</v>
      </c>
      <c r="X174" s="9">
        <f t="shared" si="24"/>
        <v>45505</v>
      </c>
      <c r="Y174">
        <f t="shared" si="25"/>
        <v>-131</v>
      </c>
      <c r="Z174" t="str">
        <f t="shared" si="26"/>
        <v>Invalid Data</v>
      </c>
    </row>
    <row r="175" spans="1:26" x14ac:dyDescent="0.4">
      <c r="A175" t="s">
        <v>993</v>
      </c>
      <c r="B175" t="s">
        <v>994</v>
      </c>
      <c r="C175" t="s">
        <v>54</v>
      </c>
      <c r="D175" t="s">
        <v>995</v>
      </c>
      <c r="E175" t="s">
        <v>996</v>
      </c>
      <c r="F175">
        <v>75</v>
      </c>
      <c r="G175">
        <v>10</v>
      </c>
      <c r="H175">
        <v>68</v>
      </c>
      <c r="I175" t="s">
        <v>85</v>
      </c>
      <c r="J175" s="7">
        <f t="shared" si="18"/>
        <v>3</v>
      </c>
      <c r="K175" s="1">
        <v>45605</v>
      </c>
      <c r="L175" s="1">
        <f t="shared" si="19"/>
        <v>45605</v>
      </c>
      <c r="M175" s="1">
        <v>45931</v>
      </c>
      <c r="N175" s="1">
        <f t="shared" si="20"/>
        <v>45931</v>
      </c>
      <c r="O175" s="1">
        <v>45363</v>
      </c>
      <c r="P175" s="1">
        <f t="shared" si="21"/>
        <v>45363</v>
      </c>
      <c r="Q175" t="s">
        <v>997</v>
      </c>
      <c r="R175">
        <v>90</v>
      </c>
      <c r="S175">
        <v>42</v>
      </c>
      <c r="T175" t="s">
        <v>51</v>
      </c>
      <c r="U175" s="8">
        <v>270</v>
      </c>
      <c r="V175" s="8">
        <f t="shared" si="22"/>
        <v>225</v>
      </c>
      <c r="W175" t="str">
        <f t="shared" si="23"/>
        <v>Sufficient Stock</v>
      </c>
      <c r="X175" s="9">
        <f t="shared" si="24"/>
        <v>45597</v>
      </c>
      <c r="Y175">
        <f t="shared" si="25"/>
        <v>-242</v>
      </c>
      <c r="Z175" t="str">
        <f t="shared" si="26"/>
        <v>Invalid Data</v>
      </c>
    </row>
    <row r="176" spans="1:26" x14ac:dyDescent="0.4">
      <c r="A176" t="s">
        <v>998</v>
      </c>
      <c r="B176" t="s">
        <v>391</v>
      </c>
      <c r="C176" t="s">
        <v>29</v>
      </c>
      <c r="D176" t="s">
        <v>999</v>
      </c>
      <c r="E176" t="s">
        <v>1000</v>
      </c>
      <c r="F176">
        <v>75</v>
      </c>
      <c r="G176">
        <v>47</v>
      </c>
      <c r="H176">
        <v>33</v>
      </c>
      <c r="I176" t="s">
        <v>1001</v>
      </c>
      <c r="J176" s="7">
        <f t="shared" si="18"/>
        <v>12.5</v>
      </c>
      <c r="K176" t="s">
        <v>207</v>
      </c>
      <c r="L176" s="1">
        <f t="shared" si="19"/>
        <v>45469</v>
      </c>
      <c r="M176" s="1">
        <v>45547</v>
      </c>
      <c r="N176" s="1">
        <f t="shared" si="20"/>
        <v>45547</v>
      </c>
      <c r="O176" t="s">
        <v>811</v>
      </c>
      <c r="P176" s="1">
        <f t="shared" si="21"/>
        <v>45435</v>
      </c>
      <c r="Q176" t="s">
        <v>1002</v>
      </c>
      <c r="R176">
        <v>33</v>
      </c>
      <c r="S176">
        <v>12</v>
      </c>
      <c r="T176" t="s">
        <v>26</v>
      </c>
      <c r="U176" s="8">
        <v>412.5</v>
      </c>
      <c r="V176" s="8">
        <f t="shared" si="22"/>
        <v>937.5</v>
      </c>
      <c r="W176" t="str">
        <f t="shared" si="23"/>
        <v>Sufficient Stock</v>
      </c>
      <c r="X176" s="9">
        <f t="shared" si="24"/>
        <v>45444</v>
      </c>
      <c r="Y176">
        <f t="shared" si="25"/>
        <v>-34</v>
      </c>
      <c r="Z176" t="str">
        <f t="shared" si="26"/>
        <v>Invalid Data</v>
      </c>
    </row>
    <row r="177" spans="1:26" x14ac:dyDescent="0.4">
      <c r="A177" t="s">
        <v>1003</v>
      </c>
      <c r="B177" t="s">
        <v>545</v>
      </c>
      <c r="C177" t="s">
        <v>77</v>
      </c>
      <c r="D177" t="s">
        <v>1004</v>
      </c>
      <c r="E177" t="s">
        <v>977</v>
      </c>
      <c r="F177">
        <v>29</v>
      </c>
      <c r="G177">
        <v>32</v>
      </c>
      <c r="H177">
        <v>26</v>
      </c>
      <c r="I177" t="s">
        <v>71</v>
      </c>
      <c r="J177" s="7">
        <f t="shared" si="18"/>
        <v>2.5</v>
      </c>
      <c r="K177" t="s">
        <v>121</v>
      </c>
      <c r="L177" s="1">
        <f t="shared" si="19"/>
        <v>45556</v>
      </c>
      <c r="M177" t="s">
        <v>1005</v>
      </c>
      <c r="N177" s="1">
        <f t="shared" si="20"/>
        <v>45458</v>
      </c>
      <c r="O177" t="s">
        <v>434</v>
      </c>
      <c r="P177" s="1">
        <f t="shared" si="21"/>
        <v>45550</v>
      </c>
      <c r="Q177" t="s">
        <v>1006</v>
      </c>
      <c r="R177">
        <v>64</v>
      </c>
      <c r="S177">
        <v>85</v>
      </c>
      <c r="T177" t="s">
        <v>26</v>
      </c>
      <c r="U177" s="8">
        <v>160</v>
      </c>
      <c r="V177" s="8">
        <f t="shared" si="22"/>
        <v>72.5</v>
      </c>
      <c r="W177" t="str">
        <f t="shared" si="23"/>
        <v>Reorder Required</v>
      </c>
      <c r="X177" s="9">
        <f t="shared" si="24"/>
        <v>45536</v>
      </c>
      <c r="Y177">
        <f t="shared" si="25"/>
        <v>-6</v>
      </c>
      <c r="Z177" t="str">
        <f t="shared" si="26"/>
        <v>Invalid Data</v>
      </c>
    </row>
    <row r="178" spans="1:26" x14ac:dyDescent="0.4">
      <c r="A178" t="s">
        <v>1007</v>
      </c>
      <c r="B178" t="s">
        <v>218</v>
      </c>
      <c r="C178" t="s">
        <v>112</v>
      </c>
      <c r="D178" t="s">
        <v>1008</v>
      </c>
      <c r="E178" t="s">
        <v>1009</v>
      </c>
      <c r="F178">
        <v>34</v>
      </c>
      <c r="G178">
        <v>55</v>
      </c>
      <c r="H178">
        <v>22</v>
      </c>
      <c r="I178" t="s">
        <v>220</v>
      </c>
      <c r="J178" s="7">
        <f t="shared" si="18"/>
        <v>5</v>
      </c>
      <c r="K178" s="1">
        <v>45606</v>
      </c>
      <c r="L178" s="1">
        <f t="shared" si="19"/>
        <v>45606</v>
      </c>
      <c r="M178" t="s">
        <v>23</v>
      </c>
      <c r="N178" s="1">
        <f t="shared" si="20"/>
        <v>45472</v>
      </c>
      <c r="O178" t="s">
        <v>755</v>
      </c>
      <c r="P178" s="1">
        <f t="shared" si="21"/>
        <v>45611</v>
      </c>
      <c r="Q178" t="s">
        <v>1010</v>
      </c>
      <c r="R178">
        <v>77</v>
      </c>
      <c r="S178">
        <v>85</v>
      </c>
      <c r="T178" t="s">
        <v>51</v>
      </c>
      <c r="U178" s="8">
        <v>385</v>
      </c>
      <c r="V178" s="8">
        <f t="shared" si="22"/>
        <v>170</v>
      </c>
      <c r="W178" t="str">
        <f t="shared" si="23"/>
        <v>Reorder Required</v>
      </c>
      <c r="X178" s="9">
        <f t="shared" si="24"/>
        <v>45597</v>
      </c>
      <c r="Y178">
        <f t="shared" si="25"/>
        <v>5</v>
      </c>
      <c r="Z178" t="str">
        <f t="shared" si="26"/>
        <v>Critical</v>
      </c>
    </row>
    <row r="179" spans="1:26" x14ac:dyDescent="0.4">
      <c r="A179" t="s">
        <v>1011</v>
      </c>
      <c r="B179" t="s">
        <v>869</v>
      </c>
      <c r="C179" t="s">
        <v>29</v>
      </c>
      <c r="D179" t="s">
        <v>1012</v>
      </c>
      <c r="E179" t="s">
        <v>1013</v>
      </c>
      <c r="F179">
        <v>15</v>
      </c>
      <c r="G179">
        <v>66</v>
      </c>
      <c r="H179">
        <v>85</v>
      </c>
      <c r="I179" t="s">
        <v>147</v>
      </c>
      <c r="J179" s="7">
        <f t="shared" si="18"/>
        <v>8</v>
      </c>
      <c r="K179" t="s">
        <v>359</v>
      </c>
      <c r="L179" s="1">
        <f t="shared" si="19"/>
        <v>45583</v>
      </c>
      <c r="M179" s="1">
        <v>45358</v>
      </c>
      <c r="N179" s="1">
        <f t="shared" si="20"/>
        <v>45358</v>
      </c>
      <c r="O179" t="s">
        <v>1014</v>
      </c>
      <c r="P179" s="1">
        <f t="shared" si="21"/>
        <v>45366</v>
      </c>
      <c r="Q179" t="s">
        <v>1015</v>
      </c>
      <c r="R179">
        <v>60</v>
      </c>
      <c r="S179">
        <v>40</v>
      </c>
      <c r="T179" t="s">
        <v>42</v>
      </c>
      <c r="U179" s="8">
        <v>480</v>
      </c>
      <c r="V179" s="8">
        <f t="shared" si="22"/>
        <v>120</v>
      </c>
      <c r="W179" t="str">
        <f t="shared" si="23"/>
        <v>Reorder Required</v>
      </c>
      <c r="X179" s="9">
        <f t="shared" si="24"/>
        <v>45566</v>
      </c>
      <c r="Y179">
        <f t="shared" si="25"/>
        <v>-217</v>
      </c>
      <c r="Z179" t="str">
        <f t="shared" si="26"/>
        <v>Invalid Data</v>
      </c>
    </row>
    <row r="180" spans="1:26" x14ac:dyDescent="0.4">
      <c r="A180" t="s">
        <v>1016</v>
      </c>
      <c r="B180" t="s">
        <v>1017</v>
      </c>
      <c r="C180" t="s">
        <v>169</v>
      </c>
      <c r="D180" t="s">
        <v>1018</v>
      </c>
      <c r="E180" t="s">
        <v>1019</v>
      </c>
      <c r="F180">
        <v>88</v>
      </c>
      <c r="G180">
        <v>56</v>
      </c>
      <c r="H180">
        <v>81</v>
      </c>
      <c r="I180" t="s">
        <v>591</v>
      </c>
      <c r="J180" s="7">
        <f t="shared" si="18"/>
        <v>10</v>
      </c>
      <c r="K180" s="1">
        <v>45570</v>
      </c>
      <c r="L180" s="1">
        <f t="shared" si="19"/>
        <v>45570</v>
      </c>
      <c r="M180" s="1">
        <v>45568</v>
      </c>
      <c r="N180" s="1">
        <f t="shared" si="20"/>
        <v>45568</v>
      </c>
      <c r="O180" t="s">
        <v>636</v>
      </c>
      <c r="P180" s="1">
        <f t="shared" si="21"/>
        <v>45549</v>
      </c>
      <c r="Q180" t="s">
        <v>1020</v>
      </c>
      <c r="R180">
        <v>98</v>
      </c>
      <c r="S180">
        <v>86</v>
      </c>
      <c r="T180" t="s">
        <v>26</v>
      </c>
      <c r="U180" s="8">
        <v>980</v>
      </c>
      <c r="V180" s="8">
        <f t="shared" si="22"/>
        <v>880</v>
      </c>
      <c r="W180" t="str">
        <f t="shared" si="23"/>
        <v>Sufficient Stock</v>
      </c>
      <c r="X180" s="9">
        <f t="shared" si="24"/>
        <v>45566</v>
      </c>
      <c r="Y180">
        <f t="shared" si="25"/>
        <v>-21</v>
      </c>
      <c r="Z180" t="str">
        <f t="shared" si="26"/>
        <v>Invalid Data</v>
      </c>
    </row>
    <row r="181" spans="1:26" x14ac:dyDescent="0.4">
      <c r="A181" t="s">
        <v>1021</v>
      </c>
      <c r="B181" t="s">
        <v>923</v>
      </c>
      <c r="C181" t="s">
        <v>77</v>
      </c>
      <c r="D181" t="s">
        <v>1022</v>
      </c>
      <c r="E181" t="s">
        <v>1023</v>
      </c>
      <c r="F181">
        <v>40</v>
      </c>
      <c r="G181">
        <v>81</v>
      </c>
      <c r="H181">
        <v>40</v>
      </c>
      <c r="I181" t="s">
        <v>266</v>
      </c>
      <c r="J181" s="7">
        <f t="shared" si="18"/>
        <v>9</v>
      </c>
      <c r="K181" s="1">
        <v>45545</v>
      </c>
      <c r="L181" s="1">
        <f t="shared" si="19"/>
        <v>45545</v>
      </c>
      <c r="M181" t="s">
        <v>828</v>
      </c>
      <c r="N181" s="1">
        <f t="shared" si="20"/>
        <v>45410</v>
      </c>
      <c r="O181" t="s">
        <v>287</v>
      </c>
      <c r="P181" s="1">
        <f t="shared" si="21"/>
        <v>45595</v>
      </c>
      <c r="Q181" t="s">
        <v>1024</v>
      </c>
      <c r="R181">
        <v>40</v>
      </c>
      <c r="S181">
        <v>48</v>
      </c>
      <c r="T181" t="s">
        <v>42</v>
      </c>
      <c r="U181" s="8">
        <v>360</v>
      </c>
      <c r="V181" s="8">
        <f t="shared" si="22"/>
        <v>360</v>
      </c>
      <c r="W181" t="str">
        <f t="shared" si="23"/>
        <v>Reorder Required</v>
      </c>
      <c r="X181" s="9">
        <f t="shared" si="24"/>
        <v>45536</v>
      </c>
      <c r="Y181">
        <f t="shared" si="25"/>
        <v>50</v>
      </c>
      <c r="Z181" t="str">
        <f t="shared" si="26"/>
        <v>High Risk</v>
      </c>
    </row>
    <row r="182" spans="1:26" x14ac:dyDescent="0.4">
      <c r="A182" t="s">
        <v>1025</v>
      </c>
      <c r="B182" t="s">
        <v>789</v>
      </c>
      <c r="C182" t="s">
        <v>68</v>
      </c>
      <c r="D182" t="s">
        <v>1026</v>
      </c>
      <c r="E182" t="s">
        <v>1027</v>
      </c>
      <c r="F182">
        <v>10</v>
      </c>
      <c r="G182">
        <v>86</v>
      </c>
      <c r="H182">
        <v>23</v>
      </c>
      <c r="I182" t="s">
        <v>591</v>
      </c>
      <c r="J182" s="7">
        <f t="shared" si="18"/>
        <v>10</v>
      </c>
      <c r="K182" t="s">
        <v>23</v>
      </c>
      <c r="L182" s="1">
        <f t="shared" si="19"/>
        <v>45472</v>
      </c>
      <c r="M182" t="s">
        <v>402</v>
      </c>
      <c r="N182" s="1">
        <f t="shared" si="20"/>
        <v>45622</v>
      </c>
      <c r="O182" t="s">
        <v>115</v>
      </c>
      <c r="P182" s="1">
        <f t="shared" si="21"/>
        <v>45639</v>
      </c>
      <c r="Q182" t="s">
        <v>1028</v>
      </c>
      <c r="R182">
        <v>24</v>
      </c>
      <c r="S182">
        <v>52</v>
      </c>
      <c r="T182" t="s">
        <v>42</v>
      </c>
      <c r="U182" s="8">
        <v>240</v>
      </c>
      <c r="V182" s="8">
        <f t="shared" si="22"/>
        <v>100</v>
      </c>
      <c r="W182" t="str">
        <f t="shared" si="23"/>
        <v>Reorder Required</v>
      </c>
      <c r="X182" s="9">
        <f t="shared" si="24"/>
        <v>45444</v>
      </c>
      <c r="Y182">
        <f t="shared" si="25"/>
        <v>167</v>
      </c>
      <c r="Z182" t="str">
        <f t="shared" si="26"/>
        <v>Medium Risk</v>
      </c>
    </row>
    <row r="183" spans="1:26" x14ac:dyDescent="0.4">
      <c r="A183" t="s">
        <v>1029</v>
      </c>
      <c r="B183" t="s">
        <v>28</v>
      </c>
      <c r="C183" t="s">
        <v>29</v>
      </c>
      <c r="D183" t="s">
        <v>1030</v>
      </c>
      <c r="E183" t="s">
        <v>31</v>
      </c>
      <c r="F183">
        <v>21</v>
      </c>
      <c r="G183">
        <v>87</v>
      </c>
      <c r="H183">
        <v>12</v>
      </c>
      <c r="I183" t="s">
        <v>754</v>
      </c>
      <c r="J183" s="7">
        <f t="shared" si="18"/>
        <v>21</v>
      </c>
      <c r="K183" t="s">
        <v>341</v>
      </c>
      <c r="L183" s="1">
        <f t="shared" si="19"/>
        <v>45613</v>
      </c>
      <c r="M183" s="1">
        <v>45331</v>
      </c>
      <c r="N183" s="1">
        <f t="shared" si="20"/>
        <v>45331</v>
      </c>
      <c r="O183" s="1">
        <v>45482</v>
      </c>
      <c r="P183" s="1">
        <f t="shared" si="21"/>
        <v>45482</v>
      </c>
      <c r="Q183" t="s">
        <v>1031</v>
      </c>
      <c r="R183">
        <v>20</v>
      </c>
      <c r="S183">
        <v>38</v>
      </c>
      <c r="T183" t="s">
        <v>26</v>
      </c>
      <c r="U183" s="8">
        <v>420</v>
      </c>
      <c r="V183" s="8">
        <f t="shared" si="22"/>
        <v>441</v>
      </c>
      <c r="W183" t="str">
        <f t="shared" si="23"/>
        <v>Reorder Required</v>
      </c>
      <c r="X183" s="9">
        <f t="shared" si="24"/>
        <v>45597</v>
      </c>
      <c r="Y183">
        <f t="shared" si="25"/>
        <v>-131</v>
      </c>
      <c r="Z183" t="str">
        <f t="shared" si="26"/>
        <v>Invalid Data</v>
      </c>
    </row>
    <row r="184" spans="1:26" x14ac:dyDescent="0.4">
      <c r="A184" t="s">
        <v>1032</v>
      </c>
      <c r="B184" t="s">
        <v>168</v>
      </c>
      <c r="C184" t="s">
        <v>169</v>
      </c>
      <c r="D184" t="s">
        <v>1033</v>
      </c>
      <c r="E184" t="s">
        <v>1034</v>
      </c>
      <c r="F184">
        <v>75</v>
      </c>
      <c r="G184">
        <v>25</v>
      </c>
      <c r="H184">
        <v>99</v>
      </c>
      <c r="I184" t="s">
        <v>172</v>
      </c>
      <c r="J184" s="7">
        <f t="shared" si="18"/>
        <v>12</v>
      </c>
      <c r="K184" t="s">
        <v>1035</v>
      </c>
      <c r="L184" s="1">
        <f t="shared" si="19"/>
        <v>45585</v>
      </c>
      <c r="M184" t="s">
        <v>33</v>
      </c>
      <c r="N184" s="1">
        <f t="shared" si="20"/>
        <v>45441</v>
      </c>
      <c r="O184" t="s">
        <v>866</v>
      </c>
      <c r="P184" s="1">
        <f t="shared" si="21"/>
        <v>45486</v>
      </c>
      <c r="Q184" t="s">
        <v>1036</v>
      </c>
      <c r="R184">
        <v>89</v>
      </c>
      <c r="S184">
        <v>42</v>
      </c>
      <c r="T184" t="s">
        <v>51</v>
      </c>
      <c r="U184" s="8">
        <v>1068</v>
      </c>
      <c r="V184" s="8">
        <f t="shared" si="22"/>
        <v>900</v>
      </c>
      <c r="W184" t="str">
        <f t="shared" si="23"/>
        <v>Sufficient Stock</v>
      </c>
      <c r="X184" s="9">
        <f t="shared" si="24"/>
        <v>45566</v>
      </c>
      <c r="Y184">
        <f t="shared" si="25"/>
        <v>-99</v>
      </c>
      <c r="Z184" t="str">
        <f t="shared" si="26"/>
        <v>Invalid Data</v>
      </c>
    </row>
    <row r="185" spans="1:26" x14ac:dyDescent="0.4">
      <c r="A185" t="s">
        <v>1037</v>
      </c>
      <c r="B185" t="s">
        <v>704</v>
      </c>
      <c r="C185" t="s">
        <v>169</v>
      </c>
      <c r="D185" t="s">
        <v>1038</v>
      </c>
      <c r="E185" t="s">
        <v>1039</v>
      </c>
      <c r="F185">
        <v>56</v>
      </c>
      <c r="G185">
        <v>50</v>
      </c>
      <c r="H185">
        <v>80</v>
      </c>
      <c r="I185" t="s">
        <v>147</v>
      </c>
      <c r="J185" s="7">
        <f t="shared" si="18"/>
        <v>8</v>
      </c>
      <c r="K185" t="s">
        <v>214</v>
      </c>
      <c r="L185" s="1">
        <f t="shared" si="19"/>
        <v>45712</v>
      </c>
      <c r="M185" s="1">
        <v>45629</v>
      </c>
      <c r="N185" s="1">
        <f t="shared" si="20"/>
        <v>45629</v>
      </c>
      <c r="O185" t="s">
        <v>548</v>
      </c>
      <c r="P185" s="1">
        <f t="shared" si="21"/>
        <v>45587</v>
      </c>
      <c r="Q185" t="s">
        <v>1040</v>
      </c>
      <c r="R185">
        <v>99</v>
      </c>
      <c r="S185">
        <v>5</v>
      </c>
      <c r="T185" t="s">
        <v>26</v>
      </c>
      <c r="U185" s="8">
        <v>792</v>
      </c>
      <c r="V185" s="8">
        <f t="shared" si="22"/>
        <v>448</v>
      </c>
      <c r="W185" t="str">
        <f t="shared" si="23"/>
        <v>Sufficient Stock</v>
      </c>
      <c r="X185" s="9">
        <f t="shared" si="24"/>
        <v>45689</v>
      </c>
      <c r="Y185">
        <f t="shared" si="25"/>
        <v>-125</v>
      </c>
      <c r="Z185" t="str">
        <f t="shared" si="26"/>
        <v>Invalid Data</v>
      </c>
    </row>
    <row r="186" spans="1:26" x14ac:dyDescent="0.4">
      <c r="A186" t="s">
        <v>1041</v>
      </c>
      <c r="B186" t="s">
        <v>111</v>
      </c>
      <c r="C186" t="s">
        <v>112</v>
      </c>
      <c r="D186" t="s">
        <v>1042</v>
      </c>
      <c r="E186" t="s">
        <v>1043</v>
      </c>
      <c r="F186">
        <v>69</v>
      </c>
      <c r="G186">
        <v>65</v>
      </c>
      <c r="H186">
        <v>91</v>
      </c>
      <c r="I186" t="s">
        <v>85</v>
      </c>
      <c r="J186" s="7">
        <f t="shared" si="18"/>
        <v>3</v>
      </c>
      <c r="K186" s="1">
        <v>45419</v>
      </c>
      <c r="L186" s="1">
        <f t="shared" si="19"/>
        <v>45419</v>
      </c>
      <c r="M186" t="s">
        <v>955</v>
      </c>
      <c r="N186" s="1">
        <f t="shared" si="20"/>
        <v>45499</v>
      </c>
      <c r="O186" s="1">
        <v>45508</v>
      </c>
      <c r="P186" s="1">
        <f t="shared" si="21"/>
        <v>45508</v>
      </c>
      <c r="Q186" t="s">
        <v>1044</v>
      </c>
      <c r="R186">
        <v>98</v>
      </c>
      <c r="S186">
        <v>50</v>
      </c>
      <c r="T186" t="s">
        <v>42</v>
      </c>
      <c r="U186" s="8">
        <v>294</v>
      </c>
      <c r="V186" s="8">
        <f t="shared" si="22"/>
        <v>207</v>
      </c>
      <c r="W186" t="str">
        <f t="shared" si="23"/>
        <v>Sufficient Stock</v>
      </c>
      <c r="X186" s="9">
        <f t="shared" si="24"/>
        <v>45413</v>
      </c>
      <c r="Y186">
        <f t="shared" si="25"/>
        <v>89</v>
      </c>
      <c r="Z186" t="str">
        <f t="shared" si="26"/>
        <v>High Risk</v>
      </c>
    </row>
    <row r="187" spans="1:26" x14ac:dyDescent="0.4">
      <c r="A187" t="s">
        <v>1045</v>
      </c>
      <c r="B187" t="s">
        <v>1046</v>
      </c>
      <c r="C187" t="s">
        <v>18</v>
      </c>
      <c r="D187" t="s">
        <v>1047</v>
      </c>
      <c r="E187" t="s">
        <v>1048</v>
      </c>
      <c r="F187">
        <v>56</v>
      </c>
      <c r="G187">
        <v>53</v>
      </c>
      <c r="H187">
        <v>77</v>
      </c>
      <c r="I187" t="s">
        <v>21</v>
      </c>
      <c r="J187" s="7">
        <f t="shared" si="18"/>
        <v>4.5</v>
      </c>
      <c r="K187" s="1">
        <v>45633</v>
      </c>
      <c r="L187" s="1">
        <f t="shared" si="19"/>
        <v>45633</v>
      </c>
      <c r="M187" t="s">
        <v>1049</v>
      </c>
      <c r="N187" s="1">
        <f t="shared" si="20"/>
        <v>45497</v>
      </c>
      <c r="O187" t="s">
        <v>366</v>
      </c>
      <c r="P187" s="1">
        <f t="shared" si="21"/>
        <v>45685</v>
      </c>
      <c r="Q187" t="s">
        <v>1050</v>
      </c>
      <c r="R187">
        <v>69</v>
      </c>
      <c r="S187">
        <v>69</v>
      </c>
      <c r="T187" t="s">
        <v>51</v>
      </c>
      <c r="U187" s="8">
        <v>310.5</v>
      </c>
      <c r="V187" s="8">
        <f t="shared" si="22"/>
        <v>252</v>
      </c>
      <c r="W187" t="str">
        <f t="shared" si="23"/>
        <v>Sufficient Stock</v>
      </c>
      <c r="X187" s="9">
        <f t="shared" si="24"/>
        <v>45627</v>
      </c>
      <c r="Y187">
        <f t="shared" si="25"/>
        <v>52</v>
      </c>
      <c r="Z187" t="str">
        <f t="shared" si="26"/>
        <v>High Risk</v>
      </c>
    </row>
    <row r="188" spans="1:26" x14ac:dyDescent="0.4">
      <c r="A188" t="s">
        <v>1051</v>
      </c>
      <c r="B188" t="s">
        <v>103</v>
      </c>
      <c r="C188" t="s">
        <v>18</v>
      </c>
      <c r="D188" t="s">
        <v>1052</v>
      </c>
      <c r="E188" t="s">
        <v>472</v>
      </c>
      <c r="F188">
        <v>24</v>
      </c>
      <c r="G188">
        <v>69</v>
      </c>
      <c r="H188">
        <v>2</v>
      </c>
      <c r="I188" t="s">
        <v>106</v>
      </c>
      <c r="J188" s="7">
        <f t="shared" si="18"/>
        <v>2</v>
      </c>
      <c r="K188" s="1">
        <v>45422</v>
      </c>
      <c r="L188" s="1">
        <f t="shared" si="19"/>
        <v>45422</v>
      </c>
      <c r="M188" t="s">
        <v>1053</v>
      </c>
      <c r="N188" s="1">
        <f t="shared" si="20"/>
        <v>45395</v>
      </c>
      <c r="O188" t="s">
        <v>701</v>
      </c>
      <c r="P188" s="1">
        <f t="shared" si="21"/>
        <v>45649</v>
      </c>
      <c r="Q188" t="s">
        <v>1054</v>
      </c>
      <c r="R188">
        <v>20</v>
      </c>
      <c r="S188">
        <v>20</v>
      </c>
      <c r="T188" t="s">
        <v>42</v>
      </c>
      <c r="U188" s="8">
        <v>40</v>
      </c>
      <c r="V188" s="8">
        <f t="shared" si="22"/>
        <v>48</v>
      </c>
      <c r="W188" t="str">
        <f t="shared" si="23"/>
        <v>Reorder Required</v>
      </c>
      <c r="X188" s="9">
        <f t="shared" si="24"/>
        <v>45413</v>
      </c>
      <c r="Y188">
        <f t="shared" si="25"/>
        <v>227</v>
      </c>
      <c r="Z188" t="str">
        <f t="shared" si="26"/>
        <v>Low Risk</v>
      </c>
    </row>
    <row r="189" spans="1:26" x14ac:dyDescent="0.4">
      <c r="A189" t="s">
        <v>1055</v>
      </c>
      <c r="B189" t="s">
        <v>363</v>
      </c>
      <c r="C189" t="s">
        <v>112</v>
      </c>
      <c r="D189" t="s">
        <v>1056</v>
      </c>
      <c r="E189" t="s">
        <v>84</v>
      </c>
      <c r="F189">
        <v>30</v>
      </c>
      <c r="G189">
        <v>85</v>
      </c>
      <c r="H189">
        <v>21</v>
      </c>
      <c r="I189" t="s">
        <v>21</v>
      </c>
      <c r="J189" s="7">
        <f t="shared" si="18"/>
        <v>4.5</v>
      </c>
      <c r="K189" t="s">
        <v>1057</v>
      </c>
      <c r="L189" s="1">
        <f t="shared" si="19"/>
        <v>45645</v>
      </c>
      <c r="M189" t="s">
        <v>451</v>
      </c>
      <c r="N189" s="1">
        <f t="shared" si="20"/>
        <v>45559</v>
      </c>
      <c r="O189" t="s">
        <v>473</v>
      </c>
      <c r="P189" s="1">
        <f t="shared" si="21"/>
        <v>45616</v>
      </c>
      <c r="Q189" t="s">
        <v>1058</v>
      </c>
      <c r="R189">
        <v>32</v>
      </c>
      <c r="S189">
        <v>83</v>
      </c>
      <c r="T189" t="s">
        <v>26</v>
      </c>
      <c r="U189" s="8">
        <v>144</v>
      </c>
      <c r="V189" s="8">
        <f t="shared" si="22"/>
        <v>135</v>
      </c>
      <c r="W189" t="str">
        <f t="shared" si="23"/>
        <v>Reorder Required</v>
      </c>
      <c r="X189" s="9">
        <f t="shared" si="24"/>
        <v>45627</v>
      </c>
      <c r="Y189">
        <f t="shared" si="25"/>
        <v>-29</v>
      </c>
      <c r="Z189" t="str">
        <f t="shared" si="26"/>
        <v>Invalid Data</v>
      </c>
    </row>
    <row r="190" spans="1:26" x14ac:dyDescent="0.4">
      <c r="A190" t="s">
        <v>1059</v>
      </c>
      <c r="B190" t="s">
        <v>458</v>
      </c>
      <c r="C190" t="s">
        <v>29</v>
      </c>
      <c r="D190" t="s">
        <v>1060</v>
      </c>
      <c r="E190" t="s">
        <v>1061</v>
      </c>
      <c r="F190">
        <v>36</v>
      </c>
      <c r="G190">
        <v>90</v>
      </c>
      <c r="H190">
        <v>57</v>
      </c>
      <c r="I190" t="s">
        <v>461</v>
      </c>
      <c r="J190" s="7">
        <f t="shared" si="18"/>
        <v>25</v>
      </c>
      <c r="K190" s="1">
        <v>45608</v>
      </c>
      <c r="L190" s="1">
        <f t="shared" si="19"/>
        <v>45608</v>
      </c>
      <c r="M190" s="1">
        <v>45481</v>
      </c>
      <c r="N190" s="1">
        <f t="shared" si="20"/>
        <v>45481</v>
      </c>
      <c r="O190" t="s">
        <v>566</v>
      </c>
      <c r="P190" s="1">
        <f t="shared" si="21"/>
        <v>45430</v>
      </c>
      <c r="Q190" t="s">
        <v>1062</v>
      </c>
      <c r="R190">
        <v>35</v>
      </c>
      <c r="S190">
        <v>68</v>
      </c>
      <c r="T190" t="s">
        <v>42</v>
      </c>
      <c r="U190" s="8">
        <v>875</v>
      </c>
      <c r="V190" s="8">
        <f t="shared" si="22"/>
        <v>900</v>
      </c>
      <c r="W190" t="str">
        <f t="shared" si="23"/>
        <v>Reorder Required</v>
      </c>
      <c r="X190" s="9">
        <f t="shared" si="24"/>
        <v>45597</v>
      </c>
      <c r="Y190">
        <f t="shared" si="25"/>
        <v>-178</v>
      </c>
      <c r="Z190" t="str">
        <f t="shared" si="26"/>
        <v>Invalid Data</v>
      </c>
    </row>
    <row r="191" spans="1:26" x14ac:dyDescent="0.4">
      <c r="A191" t="s">
        <v>1063</v>
      </c>
      <c r="B191" t="s">
        <v>386</v>
      </c>
      <c r="C191" t="s">
        <v>112</v>
      </c>
      <c r="D191" t="s">
        <v>1064</v>
      </c>
      <c r="E191" t="s">
        <v>1065</v>
      </c>
      <c r="F191">
        <v>93</v>
      </c>
      <c r="G191">
        <v>76</v>
      </c>
      <c r="H191">
        <v>82</v>
      </c>
      <c r="I191" t="s">
        <v>71</v>
      </c>
      <c r="J191" s="7">
        <f t="shared" si="18"/>
        <v>2.5</v>
      </c>
      <c r="K191" t="s">
        <v>916</v>
      </c>
      <c r="L191" s="1">
        <f t="shared" si="19"/>
        <v>45437</v>
      </c>
      <c r="M191" t="s">
        <v>358</v>
      </c>
      <c r="N191" s="1">
        <f t="shared" si="20"/>
        <v>45501</v>
      </c>
      <c r="O191" t="s">
        <v>279</v>
      </c>
      <c r="P191" s="1">
        <f t="shared" si="21"/>
        <v>45676</v>
      </c>
      <c r="Q191" t="s">
        <v>1066</v>
      </c>
      <c r="R191">
        <v>76</v>
      </c>
      <c r="S191">
        <v>51</v>
      </c>
      <c r="T191" t="s">
        <v>42</v>
      </c>
      <c r="U191" s="8">
        <v>190</v>
      </c>
      <c r="V191" s="8">
        <f t="shared" si="22"/>
        <v>232.5</v>
      </c>
      <c r="W191" t="str">
        <f t="shared" si="23"/>
        <v>Sufficient Stock</v>
      </c>
      <c r="X191" s="9">
        <f t="shared" si="24"/>
        <v>45413</v>
      </c>
      <c r="Y191">
        <f t="shared" si="25"/>
        <v>239</v>
      </c>
      <c r="Z191" t="str">
        <f t="shared" si="26"/>
        <v>Low Risk</v>
      </c>
    </row>
    <row r="192" spans="1:26" x14ac:dyDescent="0.4">
      <c r="A192" t="s">
        <v>1067</v>
      </c>
      <c r="B192" t="s">
        <v>470</v>
      </c>
      <c r="C192" t="s">
        <v>77</v>
      </c>
      <c r="D192" t="s">
        <v>1068</v>
      </c>
      <c r="E192" t="s">
        <v>1069</v>
      </c>
      <c r="F192">
        <v>96</v>
      </c>
      <c r="G192">
        <v>38</v>
      </c>
      <c r="H192">
        <v>17</v>
      </c>
      <c r="I192" t="s">
        <v>134</v>
      </c>
      <c r="J192" s="7">
        <f t="shared" si="18"/>
        <v>7</v>
      </c>
      <c r="K192" t="s">
        <v>637</v>
      </c>
      <c r="L192" s="1">
        <f t="shared" si="19"/>
        <v>45401</v>
      </c>
      <c r="M192" s="1">
        <v>45301</v>
      </c>
      <c r="N192" s="1">
        <f t="shared" si="20"/>
        <v>45301</v>
      </c>
      <c r="O192" s="1">
        <v>45607</v>
      </c>
      <c r="P192" s="1">
        <f t="shared" si="21"/>
        <v>45607</v>
      </c>
      <c r="Q192" t="s">
        <v>1070</v>
      </c>
      <c r="R192">
        <v>72</v>
      </c>
      <c r="S192">
        <v>84</v>
      </c>
      <c r="T192" t="s">
        <v>51</v>
      </c>
      <c r="U192" s="8">
        <v>504</v>
      </c>
      <c r="V192" s="8">
        <f t="shared" si="22"/>
        <v>672</v>
      </c>
      <c r="W192" t="str">
        <f t="shared" si="23"/>
        <v>Sufficient Stock</v>
      </c>
      <c r="X192" s="9">
        <f t="shared" si="24"/>
        <v>45383</v>
      </c>
      <c r="Y192">
        <f t="shared" si="25"/>
        <v>206</v>
      </c>
      <c r="Z192" t="str">
        <f t="shared" si="26"/>
        <v>Low Risk</v>
      </c>
    </row>
    <row r="193" spans="1:26" x14ac:dyDescent="0.4">
      <c r="A193" t="s">
        <v>1071</v>
      </c>
      <c r="B193" t="s">
        <v>582</v>
      </c>
      <c r="C193" t="s">
        <v>68</v>
      </c>
      <c r="D193" t="s">
        <v>1072</v>
      </c>
      <c r="E193" t="s">
        <v>796</v>
      </c>
      <c r="F193">
        <v>60</v>
      </c>
      <c r="G193">
        <v>88</v>
      </c>
      <c r="H193">
        <v>65</v>
      </c>
      <c r="I193" t="s">
        <v>57</v>
      </c>
      <c r="J193" s="7">
        <f t="shared" si="18"/>
        <v>4</v>
      </c>
      <c r="K193" t="s">
        <v>802</v>
      </c>
      <c r="L193" s="1">
        <f t="shared" si="19"/>
        <v>45533</v>
      </c>
      <c r="M193" t="s">
        <v>467</v>
      </c>
      <c r="N193" s="1">
        <f t="shared" si="20"/>
        <v>45673</v>
      </c>
      <c r="O193" t="s">
        <v>1005</v>
      </c>
      <c r="P193" s="1">
        <f t="shared" si="21"/>
        <v>45458</v>
      </c>
      <c r="Q193" t="s">
        <v>1073</v>
      </c>
      <c r="R193">
        <v>94</v>
      </c>
      <c r="S193">
        <v>15</v>
      </c>
      <c r="T193" t="s">
        <v>51</v>
      </c>
      <c r="U193" s="8">
        <v>376</v>
      </c>
      <c r="V193" s="8">
        <f t="shared" si="22"/>
        <v>240</v>
      </c>
      <c r="W193" t="str">
        <f t="shared" si="23"/>
        <v>Reorder Required</v>
      </c>
      <c r="X193" s="9">
        <f t="shared" si="24"/>
        <v>45505</v>
      </c>
      <c r="Y193">
        <f t="shared" si="25"/>
        <v>-75</v>
      </c>
      <c r="Z193" t="str">
        <f t="shared" si="26"/>
        <v>Invalid Data</v>
      </c>
    </row>
    <row r="194" spans="1:26" x14ac:dyDescent="0.4">
      <c r="A194" t="s">
        <v>1074</v>
      </c>
      <c r="B194" t="s">
        <v>799</v>
      </c>
      <c r="C194" t="s">
        <v>77</v>
      </c>
      <c r="D194" t="s">
        <v>1075</v>
      </c>
      <c r="E194" t="s">
        <v>858</v>
      </c>
      <c r="F194">
        <v>97</v>
      </c>
      <c r="G194">
        <v>77</v>
      </c>
      <c r="H194">
        <v>13</v>
      </c>
      <c r="I194" t="s">
        <v>134</v>
      </c>
      <c r="J194" s="7">
        <f t="shared" si="18"/>
        <v>7</v>
      </c>
      <c r="K194" s="1">
        <v>45607</v>
      </c>
      <c r="L194" s="1">
        <f t="shared" si="19"/>
        <v>45607</v>
      </c>
      <c r="M194" t="s">
        <v>434</v>
      </c>
      <c r="N194" s="1">
        <f t="shared" si="20"/>
        <v>45550</v>
      </c>
      <c r="O194" s="1">
        <v>45329</v>
      </c>
      <c r="P194" s="1">
        <f t="shared" si="21"/>
        <v>45329</v>
      </c>
      <c r="Q194" t="s">
        <v>1076</v>
      </c>
      <c r="R194">
        <v>43</v>
      </c>
      <c r="S194">
        <v>40</v>
      </c>
      <c r="T194" t="s">
        <v>42</v>
      </c>
      <c r="U194" s="8">
        <v>301</v>
      </c>
      <c r="V194" s="8">
        <f t="shared" si="22"/>
        <v>679</v>
      </c>
      <c r="W194" t="str">
        <f t="shared" si="23"/>
        <v>Sufficient Stock</v>
      </c>
      <c r="X194" s="9">
        <f t="shared" si="24"/>
        <v>45597</v>
      </c>
      <c r="Y194">
        <f t="shared" si="25"/>
        <v>-278</v>
      </c>
      <c r="Z194" t="str">
        <f t="shared" si="26"/>
        <v>Invalid Data</v>
      </c>
    </row>
    <row r="195" spans="1:26" x14ac:dyDescent="0.4">
      <c r="A195" t="s">
        <v>1077</v>
      </c>
      <c r="B195" t="s">
        <v>595</v>
      </c>
      <c r="C195" t="s">
        <v>112</v>
      </c>
      <c r="D195" t="s">
        <v>1078</v>
      </c>
      <c r="E195" t="s">
        <v>1079</v>
      </c>
      <c r="F195">
        <v>11</v>
      </c>
      <c r="G195">
        <v>6</v>
      </c>
      <c r="H195">
        <v>100</v>
      </c>
      <c r="I195" t="s">
        <v>220</v>
      </c>
      <c r="J195" s="7">
        <f t="shared" ref="J195:J258" si="27">VALUE(SUBSTITUTE(I195,"$",""))</f>
        <v>5</v>
      </c>
      <c r="K195" s="1">
        <v>45415</v>
      </c>
      <c r="L195" s="1">
        <f t="shared" ref="L195:L258" si="28">IF(
ISNUMBER(K195),
K195,
DATE(
RIGHT(K195,4),
LEFT(K195,FIND("/",K195)-1),
MID(K195,FIND("/",K195)+1,FIND("/",K195,FIND("/",K195)+1)-FIND("/",K195)-1)
)
)</f>
        <v>45415</v>
      </c>
      <c r="M195" t="s">
        <v>1080</v>
      </c>
      <c r="N195" s="1">
        <f t="shared" ref="N195:N258" si="29">IF(
ISNUMBER(M195),
M195,
DATE(
RIGHT(M195,4),
LEFT(M195,FIND("/",M195)-1),
MID(M195,FIND("/",M195)+1,FIND("/",M195,FIND("/",M195)+1)-FIND("/",M195)-1)
)
)</f>
        <v>45551</v>
      </c>
      <c r="O195" t="s">
        <v>656</v>
      </c>
      <c r="P195" s="1">
        <f t="shared" ref="P195:P258" si="30">IF(
ISNUMBER(O195),
O195,
DATE(
RIGHT(O195,4),
LEFT(O195,FIND("/",O195)-1),
MID(O195,FIND("/",O195)+1,FIND("/",O195,FIND("/",O195)+1)-FIND("/",O195)-1)
)
)</f>
        <v>45347</v>
      </c>
      <c r="Q195" t="s">
        <v>1081</v>
      </c>
      <c r="R195">
        <v>88</v>
      </c>
      <c r="S195">
        <v>24</v>
      </c>
      <c r="T195" t="s">
        <v>26</v>
      </c>
      <c r="U195" s="8">
        <v>440</v>
      </c>
      <c r="V195" s="8">
        <f t="shared" ref="V195:V258" si="31">F195*J195</f>
        <v>55</v>
      </c>
      <c r="W195" t="str">
        <f t="shared" ref="W195:W258" si="32">IF(F195&lt;=G195,"Reorder Required","Sufficient Stock")</f>
        <v>Sufficient Stock</v>
      </c>
      <c r="X195" s="9">
        <f t="shared" ref="X195:X258" si="33">DATE(YEAR(L195),MONTH(L195),1)</f>
        <v>45413</v>
      </c>
      <c r="Y195">
        <f t="shared" ref="Y195:Y258" si="34">P195-L195</f>
        <v>-68</v>
      </c>
      <c r="Z195" t="str">
        <f t="shared" ref="Z195:Z258" si="35">IF(Y195&lt;0,"Invalid Data",
IF(Y195&lt;=30,"Critical",
IF(Y195&lt;=90,"High Risk",
IF(Y195&lt;=180,"Medium Risk",
IF(Y195&lt;=365,"Low Risk",
"Safe")))))</f>
        <v>Invalid Data</v>
      </c>
    </row>
    <row r="196" spans="1:26" x14ac:dyDescent="0.4">
      <c r="A196" t="s">
        <v>1082</v>
      </c>
      <c r="B196" t="s">
        <v>722</v>
      </c>
      <c r="C196" t="s">
        <v>54</v>
      </c>
      <c r="D196" t="s">
        <v>1083</v>
      </c>
      <c r="E196" t="s">
        <v>250</v>
      </c>
      <c r="F196">
        <v>14</v>
      </c>
      <c r="G196">
        <v>66</v>
      </c>
      <c r="H196">
        <v>1</v>
      </c>
      <c r="I196" t="s">
        <v>39</v>
      </c>
      <c r="J196" s="7">
        <f t="shared" si="27"/>
        <v>6</v>
      </c>
      <c r="K196" t="s">
        <v>251</v>
      </c>
      <c r="L196" s="1">
        <f t="shared" si="28"/>
        <v>45517</v>
      </c>
      <c r="M196" t="s">
        <v>115</v>
      </c>
      <c r="N196" s="1">
        <f t="shared" si="29"/>
        <v>45639</v>
      </c>
      <c r="O196" t="s">
        <v>135</v>
      </c>
      <c r="P196" s="1">
        <f t="shared" si="30"/>
        <v>45349</v>
      </c>
      <c r="Q196" t="s">
        <v>1084</v>
      </c>
      <c r="R196">
        <v>86</v>
      </c>
      <c r="S196">
        <v>15</v>
      </c>
      <c r="T196" t="s">
        <v>42</v>
      </c>
      <c r="U196" s="8">
        <v>516</v>
      </c>
      <c r="V196" s="8">
        <f t="shared" si="31"/>
        <v>84</v>
      </c>
      <c r="W196" t="str">
        <f t="shared" si="32"/>
        <v>Reorder Required</v>
      </c>
      <c r="X196" s="9">
        <f t="shared" si="33"/>
        <v>45505</v>
      </c>
      <c r="Y196">
        <f t="shared" si="34"/>
        <v>-168</v>
      </c>
      <c r="Z196" t="str">
        <f t="shared" si="35"/>
        <v>Invalid Data</v>
      </c>
    </row>
    <row r="197" spans="1:26" x14ac:dyDescent="0.4">
      <c r="A197" t="s">
        <v>1085</v>
      </c>
      <c r="B197" t="s">
        <v>1086</v>
      </c>
      <c r="C197" t="s">
        <v>68</v>
      </c>
      <c r="D197" t="s">
        <v>1087</v>
      </c>
      <c r="E197" t="s">
        <v>891</v>
      </c>
      <c r="F197">
        <v>88</v>
      </c>
      <c r="G197">
        <v>100</v>
      </c>
      <c r="H197">
        <v>17</v>
      </c>
      <c r="I197" t="s">
        <v>71</v>
      </c>
      <c r="J197" s="7">
        <f t="shared" si="27"/>
        <v>2.5</v>
      </c>
      <c r="K197" s="1">
        <v>45608</v>
      </c>
      <c r="L197" s="1">
        <f t="shared" si="28"/>
        <v>45608</v>
      </c>
      <c r="M197" t="s">
        <v>267</v>
      </c>
      <c r="N197" s="1">
        <f t="shared" si="29"/>
        <v>45593</v>
      </c>
      <c r="O197" s="1">
        <v>45547</v>
      </c>
      <c r="P197" s="1">
        <f t="shared" si="30"/>
        <v>45547</v>
      </c>
      <c r="Q197" t="s">
        <v>1088</v>
      </c>
      <c r="R197">
        <v>25</v>
      </c>
      <c r="S197">
        <v>28</v>
      </c>
      <c r="T197" t="s">
        <v>26</v>
      </c>
      <c r="U197" s="8">
        <v>62.5</v>
      </c>
      <c r="V197" s="8">
        <f t="shared" si="31"/>
        <v>220</v>
      </c>
      <c r="W197" t="str">
        <f t="shared" si="32"/>
        <v>Reorder Required</v>
      </c>
      <c r="X197" s="9">
        <f t="shared" si="33"/>
        <v>45597</v>
      </c>
      <c r="Y197">
        <f t="shared" si="34"/>
        <v>-61</v>
      </c>
      <c r="Z197" t="str">
        <f t="shared" si="35"/>
        <v>Invalid Data</v>
      </c>
    </row>
    <row r="198" spans="1:26" x14ac:dyDescent="0.4">
      <c r="A198" t="s">
        <v>1089</v>
      </c>
      <c r="B198" t="s">
        <v>621</v>
      </c>
      <c r="C198" t="s">
        <v>18</v>
      </c>
      <c r="D198" t="s">
        <v>1090</v>
      </c>
      <c r="E198" t="s">
        <v>171</v>
      </c>
      <c r="F198">
        <v>24</v>
      </c>
      <c r="G198">
        <v>15</v>
      </c>
      <c r="H198">
        <v>6</v>
      </c>
      <c r="I198" t="s">
        <v>624</v>
      </c>
      <c r="J198" s="7">
        <f t="shared" si="27"/>
        <v>4.75</v>
      </c>
      <c r="K198" t="s">
        <v>199</v>
      </c>
      <c r="L198" s="1">
        <f t="shared" si="28"/>
        <v>45710</v>
      </c>
      <c r="M198" t="s">
        <v>688</v>
      </c>
      <c r="N198" s="1">
        <f t="shared" si="29"/>
        <v>45459</v>
      </c>
      <c r="O198" s="1">
        <v>45478</v>
      </c>
      <c r="P198" s="1">
        <f t="shared" si="30"/>
        <v>45478</v>
      </c>
      <c r="Q198" t="s">
        <v>1091</v>
      </c>
      <c r="R198">
        <v>35</v>
      </c>
      <c r="S198">
        <v>4</v>
      </c>
      <c r="T198" t="s">
        <v>26</v>
      </c>
      <c r="U198" s="8">
        <v>166.25</v>
      </c>
      <c r="V198" s="8">
        <f t="shared" si="31"/>
        <v>114</v>
      </c>
      <c r="W198" t="str">
        <f t="shared" si="32"/>
        <v>Sufficient Stock</v>
      </c>
      <c r="X198" s="9">
        <f t="shared" si="33"/>
        <v>45689</v>
      </c>
      <c r="Y198">
        <f t="shared" si="34"/>
        <v>-232</v>
      </c>
      <c r="Z198" t="str">
        <f t="shared" si="35"/>
        <v>Invalid Data</v>
      </c>
    </row>
    <row r="199" spans="1:26" x14ac:dyDescent="0.4">
      <c r="A199" t="s">
        <v>1092</v>
      </c>
      <c r="B199" t="s">
        <v>263</v>
      </c>
      <c r="C199" t="s">
        <v>169</v>
      </c>
      <c r="D199" t="s">
        <v>1093</v>
      </c>
      <c r="E199" t="s">
        <v>1094</v>
      </c>
      <c r="F199">
        <v>93</v>
      </c>
      <c r="G199">
        <v>62</v>
      </c>
      <c r="H199">
        <v>65</v>
      </c>
      <c r="I199" t="s">
        <v>266</v>
      </c>
      <c r="J199" s="7">
        <f t="shared" si="27"/>
        <v>9</v>
      </c>
      <c r="K199" s="1">
        <v>45541</v>
      </c>
      <c r="L199" s="1">
        <f t="shared" si="28"/>
        <v>45541</v>
      </c>
      <c r="M199" t="s">
        <v>165</v>
      </c>
      <c r="N199" s="1">
        <f t="shared" si="29"/>
        <v>45465</v>
      </c>
      <c r="O199" t="s">
        <v>49</v>
      </c>
      <c r="P199" s="1">
        <f t="shared" si="30"/>
        <v>45399</v>
      </c>
      <c r="Q199" t="s">
        <v>1095</v>
      </c>
      <c r="R199">
        <v>78</v>
      </c>
      <c r="S199">
        <v>87</v>
      </c>
      <c r="T199" t="s">
        <v>51</v>
      </c>
      <c r="U199" s="8">
        <v>702</v>
      </c>
      <c r="V199" s="8">
        <f t="shared" si="31"/>
        <v>837</v>
      </c>
      <c r="W199" t="str">
        <f t="shared" si="32"/>
        <v>Sufficient Stock</v>
      </c>
      <c r="X199" s="9">
        <f t="shared" si="33"/>
        <v>45536</v>
      </c>
      <c r="Y199">
        <f t="shared" si="34"/>
        <v>-142</v>
      </c>
      <c r="Z199" t="str">
        <f t="shared" si="35"/>
        <v>Invalid Data</v>
      </c>
    </row>
    <row r="200" spans="1:26" x14ac:dyDescent="0.4">
      <c r="A200" t="s">
        <v>1096</v>
      </c>
      <c r="B200" t="s">
        <v>36</v>
      </c>
      <c r="C200" t="s">
        <v>18</v>
      </c>
      <c r="D200" t="s">
        <v>1097</v>
      </c>
      <c r="E200" t="s">
        <v>146</v>
      </c>
      <c r="F200">
        <v>68</v>
      </c>
      <c r="G200">
        <v>68</v>
      </c>
      <c r="H200">
        <v>97</v>
      </c>
      <c r="I200" t="s">
        <v>39</v>
      </c>
      <c r="J200" s="7">
        <f t="shared" si="27"/>
        <v>6</v>
      </c>
      <c r="K200" s="1">
        <v>45511</v>
      </c>
      <c r="L200" s="1">
        <f t="shared" si="28"/>
        <v>45511</v>
      </c>
      <c r="M200" t="s">
        <v>536</v>
      </c>
      <c r="N200" s="1">
        <f t="shared" si="29"/>
        <v>45488</v>
      </c>
      <c r="O200" t="s">
        <v>260</v>
      </c>
      <c r="P200" s="1">
        <f t="shared" si="30"/>
        <v>45466</v>
      </c>
      <c r="Q200" t="s">
        <v>1098</v>
      </c>
      <c r="R200">
        <v>37</v>
      </c>
      <c r="S200">
        <v>31</v>
      </c>
      <c r="T200" t="s">
        <v>26</v>
      </c>
      <c r="U200" s="8">
        <v>222</v>
      </c>
      <c r="V200" s="8">
        <f t="shared" si="31"/>
        <v>408</v>
      </c>
      <c r="W200" t="str">
        <f t="shared" si="32"/>
        <v>Reorder Required</v>
      </c>
      <c r="X200" s="9">
        <f t="shared" si="33"/>
        <v>45505</v>
      </c>
      <c r="Y200">
        <f t="shared" si="34"/>
        <v>-45</v>
      </c>
      <c r="Z200" t="str">
        <f t="shared" si="35"/>
        <v>Invalid Data</v>
      </c>
    </row>
    <row r="201" spans="1:26" x14ac:dyDescent="0.4">
      <c r="A201" t="s">
        <v>1099</v>
      </c>
      <c r="B201" t="s">
        <v>111</v>
      </c>
      <c r="C201" t="s">
        <v>112</v>
      </c>
      <c r="D201" t="s">
        <v>1100</v>
      </c>
      <c r="E201" t="s">
        <v>1013</v>
      </c>
      <c r="F201">
        <v>28</v>
      </c>
      <c r="G201">
        <v>94</v>
      </c>
      <c r="H201">
        <v>80</v>
      </c>
      <c r="I201" t="s">
        <v>1101</v>
      </c>
      <c r="J201" s="7">
        <f t="shared" si="27"/>
        <v>2.8</v>
      </c>
      <c r="K201" t="s">
        <v>811</v>
      </c>
      <c r="L201" s="1">
        <f t="shared" si="28"/>
        <v>45435</v>
      </c>
      <c r="M201" t="s">
        <v>444</v>
      </c>
      <c r="N201" s="1">
        <f t="shared" si="29"/>
        <v>45680</v>
      </c>
      <c r="O201" t="s">
        <v>792</v>
      </c>
      <c r="P201" s="1">
        <f t="shared" si="30"/>
        <v>45462</v>
      </c>
      <c r="Q201" t="s">
        <v>1102</v>
      </c>
      <c r="R201">
        <v>31</v>
      </c>
      <c r="S201">
        <v>1</v>
      </c>
      <c r="T201" t="s">
        <v>42</v>
      </c>
      <c r="U201" s="8">
        <v>86.8</v>
      </c>
      <c r="V201" s="8">
        <f t="shared" si="31"/>
        <v>78.399999999999991</v>
      </c>
      <c r="W201" t="str">
        <f t="shared" si="32"/>
        <v>Reorder Required</v>
      </c>
      <c r="X201" s="9">
        <f t="shared" si="33"/>
        <v>45413</v>
      </c>
      <c r="Y201">
        <f t="shared" si="34"/>
        <v>27</v>
      </c>
      <c r="Z201" t="str">
        <f t="shared" si="35"/>
        <v>Critical</v>
      </c>
    </row>
    <row r="202" spans="1:26" x14ac:dyDescent="0.4">
      <c r="A202" t="s">
        <v>1103</v>
      </c>
      <c r="B202" t="s">
        <v>1104</v>
      </c>
      <c r="C202" t="s">
        <v>54</v>
      </c>
      <c r="D202" t="s">
        <v>1105</v>
      </c>
      <c r="E202" t="s">
        <v>38</v>
      </c>
      <c r="F202">
        <v>21</v>
      </c>
      <c r="G202">
        <v>30</v>
      </c>
      <c r="H202">
        <v>32</v>
      </c>
      <c r="I202" t="s">
        <v>106</v>
      </c>
      <c r="J202" s="7">
        <f t="shared" si="27"/>
        <v>2</v>
      </c>
      <c r="K202" t="s">
        <v>1106</v>
      </c>
      <c r="L202" s="1">
        <f t="shared" si="28"/>
        <v>45679</v>
      </c>
      <c r="M202" s="1">
        <v>45840</v>
      </c>
      <c r="N202" s="1">
        <f t="shared" si="29"/>
        <v>45840</v>
      </c>
      <c r="O202" s="1">
        <v>45568</v>
      </c>
      <c r="P202" s="1">
        <f t="shared" si="30"/>
        <v>45568</v>
      </c>
      <c r="Q202" t="s">
        <v>1107</v>
      </c>
      <c r="R202">
        <v>43</v>
      </c>
      <c r="S202">
        <v>54</v>
      </c>
      <c r="T202" t="s">
        <v>42</v>
      </c>
      <c r="U202" s="8">
        <v>86</v>
      </c>
      <c r="V202" s="8">
        <f t="shared" si="31"/>
        <v>42</v>
      </c>
      <c r="W202" t="str">
        <f t="shared" si="32"/>
        <v>Reorder Required</v>
      </c>
      <c r="X202" s="9">
        <f t="shared" si="33"/>
        <v>45658</v>
      </c>
      <c r="Y202">
        <f t="shared" si="34"/>
        <v>-111</v>
      </c>
      <c r="Z202" t="str">
        <f t="shared" si="35"/>
        <v>Invalid Data</v>
      </c>
    </row>
    <row r="203" spans="1:26" x14ac:dyDescent="0.4">
      <c r="A203" t="s">
        <v>1108</v>
      </c>
      <c r="B203" t="s">
        <v>722</v>
      </c>
      <c r="C203" t="s">
        <v>54</v>
      </c>
      <c r="D203" t="s">
        <v>1109</v>
      </c>
      <c r="E203" t="s">
        <v>604</v>
      </c>
      <c r="F203">
        <v>92</v>
      </c>
      <c r="G203">
        <v>96</v>
      </c>
      <c r="H203">
        <v>56</v>
      </c>
      <c r="I203" t="s">
        <v>39</v>
      </c>
      <c r="J203" s="7">
        <f t="shared" si="27"/>
        <v>6</v>
      </c>
      <c r="K203" t="s">
        <v>92</v>
      </c>
      <c r="L203" s="1">
        <f t="shared" si="28"/>
        <v>45614</v>
      </c>
      <c r="M203" t="s">
        <v>1110</v>
      </c>
      <c r="N203" s="1">
        <f t="shared" si="29"/>
        <v>45468</v>
      </c>
      <c r="O203" t="s">
        <v>1111</v>
      </c>
      <c r="P203" s="1">
        <f t="shared" si="30"/>
        <v>45493</v>
      </c>
      <c r="Q203" t="s">
        <v>1112</v>
      </c>
      <c r="R203">
        <v>32</v>
      </c>
      <c r="S203">
        <v>22</v>
      </c>
      <c r="T203" t="s">
        <v>26</v>
      </c>
      <c r="U203" s="8">
        <v>192</v>
      </c>
      <c r="V203" s="8">
        <f t="shared" si="31"/>
        <v>552</v>
      </c>
      <c r="W203" t="str">
        <f t="shared" si="32"/>
        <v>Reorder Required</v>
      </c>
      <c r="X203" s="9">
        <f t="shared" si="33"/>
        <v>45597</v>
      </c>
      <c r="Y203">
        <f t="shared" si="34"/>
        <v>-121</v>
      </c>
      <c r="Z203" t="str">
        <f t="shared" si="35"/>
        <v>Invalid Data</v>
      </c>
    </row>
    <row r="204" spans="1:26" x14ac:dyDescent="0.4">
      <c r="A204" t="s">
        <v>1113</v>
      </c>
      <c r="B204" t="s">
        <v>989</v>
      </c>
      <c r="C204" t="s">
        <v>29</v>
      </c>
      <c r="D204" t="s">
        <v>1114</v>
      </c>
      <c r="E204" t="s">
        <v>1115</v>
      </c>
      <c r="F204">
        <v>68</v>
      </c>
      <c r="G204">
        <v>12</v>
      </c>
      <c r="H204">
        <v>42</v>
      </c>
      <c r="I204" t="s">
        <v>591</v>
      </c>
      <c r="J204" s="7">
        <f t="shared" si="27"/>
        <v>10</v>
      </c>
      <c r="K204" s="1">
        <v>45424</v>
      </c>
      <c r="L204" s="1">
        <f t="shared" si="28"/>
        <v>45424</v>
      </c>
      <c r="M204" t="s">
        <v>1116</v>
      </c>
      <c r="N204" s="1">
        <f t="shared" si="29"/>
        <v>45709</v>
      </c>
      <c r="O204" t="s">
        <v>293</v>
      </c>
      <c r="P204" s="1">
        <f t="shared" si="30"/>
        <v>45648</v>
      </c>
      <c r="Q204" t="s">
        <v>1117</v>
      </c>
      <c r="R204">
        <v>39</v>
      </c>
      <c r="S204">
        <v>6</v>
      </c>
      <c r="T204" t="s">
        <v>42</v>
      </c>
      <c r="U204" s="8">
        <v>390</v>
      </c>
      <c r="V204" s="8">
        <f t="shared" si="31"/>
        <v>680</v>
      </c>
      <c r="W204" t="str">
        <f t="shared" si="32"/>
        <v>Sufficient Stock</v>
      </c>
      <c r="X204" s="9">
        <f t="shared" si="33"/>
        <v>45413</v>
      </c>
      <c r="Y204">
        <f t="shared" si="34"/>
        <v>224</v>
      </c>
      <c r="Z204" t="str">
        <f t="shared" si="35"/>
        <v>Low Risk</v>
      </c>
    </row>
    <row r="205" spans="1:26" x14ac:dyDescent="0.4">
      <c r="A205" t="s">
        <v>1118</v>
      </c>
      <c r="B205" t="s">
        <v>332</v>
      </c>
      <c r="C205" t="s">
        <v>112</v>
      </c>
      <c r="D205" t="s">
        <v>1119</v>
      </c>
      <c r="E205" t="s">
        <v>1120</v>
      </c>
      <c r="F205">
        <v>46</v>
      </c>
      <c r="G205">
        <v>43</v>
      </c>
      <c r="H205">
        <v>46</v>
      </c>
      <c r="I205" t="s">
        <v>242</v>
      </c>
      <c r="J205" s="7">
        <f t="shared" si="27"/>
        <v>3.5</v>
      </c>
      <c r="K205" s="1">
        <v>45931</v>
      </c>
      <c r="L205" s="1">
        <f t="shared" si="28"/>
        <v>45931</v>
      </c>
      <c r="M205" s="1">
        <v>45422</v>
      </c>
      <c r="N205" s="1">
        <f t="shared" si="29"/>
        <v>45422</v>
      </c>
      <c r="O205" t="s">
        <v>712</v>
      </c>
      <c r="P205" s="1">
        <f t="shared" si="30"/>
        <v>45552</v>
      </c>
      <c r="Q205" t="s">
        <v>1121</v>
      </c>
      <c r="R205">
        <v>68</v>
      </c>
      <c r="S205">
        <v>59</v>
      </c>
      <c r="T205" t="s">
        <v>42</v>
      </c>
      <c r="U205" s="8">
        <v>238</v>
      </c>
      <c r="V205" s="8">
        <f t="shared" si="31"/>
        <v>161</v>
      </c>
      <c r="W205" t="str">
        <f t="shared" si="32"/>
        <v>Sufficient Stock</v>
      </c>
      <c r="X205" s="9">
        <f t="shared" si="33"/>
        <v>45931</v>
      </c>
      <c r="Y205">
        <f t="shared" si="34"/>
        <v>-379</v>
      </c>
      <c r="Z205" t="str">
        <f t="shared" si="35"/>
        <v>Invalid Data</v>
      </c>
    </row>
    <row r="206" spans="1:26" x14ac:dyDescent="0.4">
      <c r="A206" t="s">
        <v>1122</v>
      </c>
      <c r="B206" t="s">
        <v>233</v>
      </c>
      <c r="C206" t="s">
        <v>54</v>
      </c>
      <c r="D206" t="s">
        <v>1123</v>
      </c>
      <c r="E206" t="s">
        <v>1124</v>
      </c>
      <c r="F206">
        <v>47</v>
      </c>
      <c r="G206">
        <v>20</v>
      </c>
      <c r="H206">
        <v>65</v>
      </c>
      <c r="I206" t="s">
        <v>63</v>
      </c>
      <c r="J206" s="7">
        <f t="shared" si="27"/>
        <v>1.75</v>
      </c>
      <c r="K206" t="s">
        <v>279</v>
      </c>
      <c r="L206" s="1">
        <f t="shared" si="28"/>
        <v>45676</v>
      </c>
      <c r="M206" s="1">
        <v>45992</v>
      </c>
      <c r="N206" s="1">
        <f t="shared" si="29"/>
        <v>45992</v>
      </c>
      <c r="O206" t="s">
        <v>1125</v>
      </c>
      <c r="P206" s="1">
        <f t="shared" si="30"/>
        <v>45382</v>
      </c>
      <c r="Q206" t="s">
        <v>1126</v>
      </c>
      <c r="R206">
        <v>49</v>
      </c>
      <c r="S206">
        <v>19</v>
      </c>
      <c r="T206" t="s">
        <v>42</v>
      </c>
      <c r="U206" s="8">
        <v>85.75</v>
      </c>
      <c r="V206" s="8">
        <f t="shared" si="31"/>
        <v>82.25</v>
      </c>
      <c r="W206" t="str">
        <f t="shared" si="32"/>
        <v>Sufficient Stock</v>
      </c>
      <c r="X206" s="9">
        <f t="shared" si="33"/>
        <v>45658</v>
      </c>
      <c r="Y206">
        <f t="shared" si="34"/>
        <v>-294</v>
      </c>
      <c r="Z206" t="str">
        <f t="shared" si="35"/>
        <v>Invalid Data</v>
      </c>
    </row>
    <row r="207" spans="1:26" x14ac:dyDescent="0.4">
      <c r="A207" t="s">
        <v>1127</v>
      </c>
      <c r="B207" t="s">
        <v>248</v>
      </c>
      <c r="C207" t="s">
        <v>68</v>
      </c>
      <c r="D207" t="s">
        <v>1128</v>
      </c>
      <c r="E207" t="s">
        <v>313</v>
      </c>
      <c r="F207">
        <v>52</v>
      </c>
      <c r="G207">
        <v>88</v>
      </c>
      <c r="H207">
        <v>55</v>
      </c>
      <c r="I207" t="s">
        <v>39</v>
      </c>
      <c r="J207" s="7">
        <f t="shared" si="27"/>
        <v>6</v>
      </c>
      <c r="K207" t="s">
        <v>1129</v>
      </c>
      <c r="L207" s="1">
        <f t="shared" si="28"/>
        <v>45439</v>
      </c>
      <c r="M207" s="1">
        <v>45417</v>
      </c>
      <c r="N207" s="1">
        <f t="shared" si="29"/>
        <v>45417</v>
      </c>
      <c r="O207" t="s">
        <v>408</v>
      </c>
      <c r="P207" s="1">
        <f t="shared" si="30"/>
        <v>45609</v>
      </c>
      <c r="Q207" t="s">
        <v>1130</v>
      </c>
      <c r="R207">
        <v>100</v>
      </c>
      <c r="S207">
        <v>46</v>
      </c>
      <c r="T207" t="s">
        <v>26</v>
      </c>
      <c r="U207" s="8">
        <v>600</v>
      </c>
      <c r="V207" s="8">
        <f t="shared" si="31"/>
        <v>312</v>
      </c>
      <c r="W207" t="str">
        <f t="shared" si="32"/>
        <v>Reorder Required</v>
      </c>
      <c r="X207" s="9">
        <f t="shared" si="33"/>
        <v>45413</v>
      </c>
      <c r="Y207">
        <f t="shared" si="34"/>
        <v>170</v>
      </c>
      <c r="Z207" t="str">
        <f t="shared" si="35"/>
        <v>Medium Risk</v>
      </c>
    </row>
    <row r="208" spans="1:26" x14ac:dyDescent="0.4">
      <c r="A208" t="s">
        <v>1131</v>
      </c>
      <c r="B208" t="s">
        <v>210</v>
      </c>
      <c r="C208" t="s">
        <v>54</v>
      </c>
      <c r="D208" t="s">
        <v>1132</v>
      </c>
      <c r="E208" t="s">
        <v>133</v>
      </c>
      <c r="F208">
        <v>51</v>
      </c>
      <c r="G208">
        <v>62</v>
      </c>
      <c r="H208">
        <v>95</v>
      </c>
      <c r="I208" t="s">
        <v>39</v>
      </c>
      <c r="J208" s="7">
        <f t="shared" si="27"/>
        <v>6</v>
      </c>
      <c r="K208" s="1">
        <v>45477</v>
      </c>
      <c r="L208" s="1">
        <f t="shared" si="28"/>
        <v>45477</v>
      </c>
      <c r="M208" t="s">
        <v>236</v>
      </c>
      <c r="N208" s="1">
        <f t="shared" si="29"/>
        <v>45379</v>
      </c>
      <c r="O208" t="s">
        <v>479</v>
      </c>
      <c r="P208" s="1">
        <f t="shared" si="30"/>
        <v>45672</v>
      </c>
      <c r="Q208" t="s">
        <v>1133</v>
      </c>
      <c r="R208">
        <v>52</v>
      </c>
      <c r="S208">
        <v>21</v>
      </c>
      <c r="T208" t="s">
        <v>51</v>
      </c>
      <c r="U208" s="8">
        <v>312</v>
      </c>
      <c r="V208" s="8">
        <f t="shared" si="31"/>
        <v>306</v>
      </c>
      <c r="W208" t="str">
        <f t="shared" si="32"/>
        <v>Reorder Required</v>
      </c>
      <c r="X208" s="9">
        <f t="shared" si="33"/>
        <v>45474</v>
      </c>
      <c r="Y208">
        <f t="shared" si="34"/>
        <v>195</v>
      </c>
      <c r="Z208" t="str">
        <f t="shared" si="35"/>
        <v>Low Risk</v>
      </c>
    </row>
    <row r="209" spans="1:26" x14ac:dyDescent="0.4">
      <c r="A209" t="s">
        <v>1134</v>
      </c>
      <c r="B209" t="s">
        <v>76</v>
      </c>
      <c r="C209" t="s">
        <v>77</v>
      </c>
      <c r="D209" t="s">
        <v>1135</v>
      </c>
      <c r="E209" t="s">
        <v>1136</v>
      </c>
      <c r="F209">
        <v>14</v>
      </c>
      <c r="G209">
        <v>63</v>
      </c>
      <c r="H209">
        <v>74</v>
      </c>
      <c r="I209" t="s">
        <v>71</v>
      </c>
      <c r="J209" s="7">
        <f t="shared" si="27"/>
        <v>2.5</v>
      </c>
      <c r="K209" t="s">
        <v>828</v>
      </c>
      <c r="L209" s="1">
        <f t="shared" si="28"/>
        <v>45410</v>
      </c>
      <c r="M209" t="s">
        <v>48</v>
      </c>
      <c r="N209" s="1">
        <f t="shared" si="29"/>
        <v>45707</v>
      </c>
      <c r="O209" t="s">
        <v>367</v>
      </c>
      <c r="P209" s="1">
        <f t="shared" si="30"/>
        <v>45624</v>
      </c>
      <c r="Q209" t="s">
        <v>1137</v>
      </c>
      <c r="R209">
        <v>59</v>
      </c>
      <c r="S209">
        <v>63</v>
      </c>
      <c r="T209" t="s">
        <v>42</v>
      </c>
      <c r="U209" s="8">
        <v>147.5</v>
      </c>
      <c r="V209" s="8">
        <f t="shared" si="31"/>
        <v>35</v>
      </c>
      <c r="W209" t="str">
        <f t="shared" si="32"/>
        <v>Reorder Required</v>
      </c>
      <c r="X209" s="9">
        <f t="shared" si="33"/>
        <v>45383</v>
      </c>
      <c r="Y209">
        <f t="shared" si="34"/>
        <v>214</v>
      </c>
      <c r="Z209" t="str">
        <f t="shared" si="35"/>
        <v>Low Risk</v>
      </c>
    </row>
    <row r="210" spans="1:26" x14ac:dyDescent="0.4">
      <c r="A210" t="s">
        <v>1138</v>
      </c>
      <c r="B210" t="s">
        <v>82</v>
      </c>
      <c r="C210" t="s">
        <v>54</v>
      </c>
      <c r="D210" t="s">
        <v>1139</v>
      </c>
      <c r="E210" t="s">
        <v>887</v>
      </c>
      <c r="F210">
        <v>62</v>
      </c>
      <c r="G210">
        <v>44</v>
      </c>
      <c r="H210">
        <v>11</v>
      </c>
      <c r="I210" t="s">
        <v>1140</v>
      </c>
      <c r="J210" s="7">
        <f t="shared" si="27"/>
        <v>51.17</v>
      </c>
      <c r="K210" s="1">
        <v>45870</v>
      </c>
      <c r="L210" s="1">
        <f t="shared" si="28"/>
        <v>45870</v>
      </c>
      <c r="M210" t="s">
        <v>1141</v>
      </c>
      <c r="N210" s="1">
        <f t="shared" si="29"/>
        <v>45398</v>
      </c>
      <c r="O210" t="s">
        <v>866</v>
      </c>
      <c r="P210" s="1">
        <f t="shared" si="30"/>
        <v>45486</v>
      </c>
      <c r="Q210" t="s">
        <v>1142</v>
      </c>
      <c r="R210">
        <v>92</v>
      </c>
      <c r="S210">
        <v>37</v>
      </c>
      <c r="T210" t="s">
        <v>26</v>
      </c>
      <c r="U210" s="8">
        <v>4707.6400000000003</v>
      </c>
      <c r="V210" s="8">
        <f t="shared" si="31"/>
        <v>3172.54</v>
      </c>
      <c r="W210" t="str">
        <f t="shared" si="32"/>
        <v>Sufficient Stock</v>
      </c>
      <c r="X210" s="9">
        <f t="shared" si="33"/>
        <v>45870</v>
      </c>
      <c r="Y210">
        <f t="shared" si="34"/>
        <v>-384</v>
      </c>
      <c r="Z210" t="str">
        <f t="shared" si="35"/>
        <v>Invalid Data</v>
      </c>
    </row>
    <row r="211" spans="1:26" x14ac:dyDescent="0.4">
      <c r="A211" t="s">
        <v>1143</v>
      </c>
      <c r="B211" t="s">
        <v>733</v>
      </c>
      <c r="C211" t="s">
        <v>54</v>
      </c>
      <c r="D211" t="s">
        <v>1144</v>
      </c>
      <c r="E211" t="s">
        <v>1145</v>
      </c>
      <c r="F211">
        <v>40</v>
      </c>
      <c r="G211">
        <v>53</v>
      </c>
      <c r="H211">
        <v>7</v>
      </c>
      <c r="I211" t="s">
        <v>57</v>
      </c>
      <c r="J211" s="7">
        <f t="shared" si="27"/>
        <v>4</v>
      </c>
      <c r="K211" t="s">
        <v>1116</v>
      </c>
      <c r="L211" s="1">
        <f t="shared" si="28"/>
        <v>45709</v>
      </c>
      <c r="M211" s="1">
        <v>45446</v>
      </c>
      <c r="N211" s="1">
        <f t="shared" si="29"/>
        <v>45446</v>
      </c>
      <c r="O211" t="s">
        <v>1146</v>
      </c>
      <c r="P211" s="1">
        <f t="shared" si="30"/>
        <v>45464</v>
      </c>
      <c r="Q211" t="s">
        <v>1147</v>
      </c>
      <c r="R211">
        <v>70</v>
      </c>
      <c r="S211">
        <v>20</v>
      </c>
      <c r="T211" t="s">
        <v>42</v>
      </c>
      <c r="U211" s="8">
        <v>280</v>
      </c>
      <c r="V211" s="8">
        <f t="shared" si="31"/>
        <v>160</v>
      </c>
      <c r="W211" t="str">
        <f t="shared" si="32"/>
        <v>Reorder Required</v>
      </c>
      <c r="X211" s="9">
        <f t="shared" si="33"/>
        <v>45689</v>
      </c>
      <c r="Y211">
        <f t="shared" si="34"/>
        <v>-245</v>
      </c>
      <c r="Z211" t="str">
        <f t="shared" si="35"/>
        <v>Invalid Data</v>
      </c>
    </row>
    <row r="212" spans="1:26" x14ac:dyDescent="0.4">
      <c r="A212" t="s">
        <v>1148</v>
      </c>
      <c r="B212" t="s">
        <v>458</v>
      </c>
      <c r="C212" t="s">
        <v>29</v>
      </c>
      <c r="D212" t="s">
        <v>1149</v>
      </c>
      <c r="E212" t="s">
        <v>665</v>
      </c>
      <c r="F212">
        <v>50</v>
      </c>
      <c r="G212">
        <v>100</v>
      </c>
      <c r="H212">
        <v>91</v>
      </c>
      <c r="I212" t="s">
        <v>1150</v>
      </c>
      <c r="J212" s="7">
        <f t="shared" si="27"/>
        <v>25.5</v>
      </c>
      <c r="K212" t="s">
        <v>158</v>
      </c>
      <c r="L212" s="1">
        <f t="shared" si="28"/>
        <v>45654</v>
      </c>
      <c r="M212" t="s">
        <v>1151</v>
      </c>
      <c r="N212" s="1">
        <f t="shared" si="29"/>
        <v>45490</v>
      </c>
      <c r="O212" s="1">
        <v>45424</v>
      </c>
      <c r="P212" s="1">
        <f t="shared" si="30"/>
        <v>45424</v>
      </c>
      <c r="Q212" t="s">
        <v>1152</v>
      </c>
      <c r="R212">
        <v>29</v>
      </c>
      <c r="S212">
        <v>31</v>
      </c>
      <c r="T212" t="s">
        <v>51</v>
      </c>
      <c r="U212" s="8">
        <v>739.5</v>
      </c>
      <c r="V212" s="8">
        <f t="shared" si="31"/>
        <v>1275</v>
      </c>
      <c r="W212" t="str">
        <f t="shared" si="32"/>
        <v>Reorder Required</v>
      </c>
      <c r="X212" s="9">
        <f t="shared" si="33"/>
        <v>45627</v>
      </c>
      <c r="Y212">
        <f t="shared" si="34"/>
        <v>-230</v>
      </c>
      <c r="Z212" t="str">
        <f t="shared" si="35"/>
        <v>Invalid Data</v>
      </c>
    </row>
    <row r="213" spans="1:26" x14ac:dyDescent="0.4">
      <c r="A213" t="s">
        <v>1153</v>
      </c>
      <c r="B213" t="s">
        <v>17</v>
      </c>
      <c r="C213" t="s">
        <v>18</v>
      </c>
      <c r="D213" t="s">
        <v>1154</v>
      </c>
      <c r="E213" t="s">
        <v>371</v>
      </c>
      <c r="F213">
        <v>77</v>
      </c>
      <c r="G213">
        <v>20</v>
      </c>
      <c r="H213">
        <v>37</v>
      </c>
      <c r="I213" t="s">
        <v>1155</v>
      </c>
      <c r="J213" s="7">
        <f t="shared" si="27"/>
        <v>4.25</v>
      </c>
      <c r="K213" s="1">
        <v>45358</v>
      </c>
      <c r="L213" s="1">
        <f t="shared" si="28"/>
        <v>45358</v>
      </c>
      <c r="M213" s="1">
        <v>45446</v>
      </c>
      <c r="N213" s="1">
        <f t="shared" si="29"/>
        <v>45446</v>
      </c>
      <c r="O213" s="1">
        <v>45423</v>
      </c>
      <c r="P213" s="1">
        <f t="shared" si="30"/>
        <v>45423</v>
      </c>
      <c r="Q213" t="s">
        <v>1156</v>
      </c>
      <c r="R213">
        <v>42</v>
      </c>
      <c r="S213">
        <v>19</v>
      </c>
      <c r="T213" t="s">
        <v>42</v>
      </c>
      <c r="U213" s="8">
        <v>178.5</v>
      </c>
      <c r="V213" s="8">
        <f t="shared" si="31"/>
        <v>327.25</v>
      </c>
      <c r="W213" t="str">
        <f t="shared" si="32"/>
        <v>Sufficient Stock</v>
      </c>
      <c r="X213" s="9">
        <f t="shared" si="33"/>
        <v>45352</v>
      </c>
      <c r="Y213">
        <f t="shared" si="34"/>
        <v>65</v>
      </c>
      <c r="Z213" t="str">
        <f t="shared" si="35"/>
        <v>High Risk</v>
      </c>
    </row>
    <row r="214" spans="1:26" x14ac:dyDescent="0.4">
      <c r="A214" t="s">
        <v>1157</v>
      </c>
      <c r="B214" t="s">
        <v>124</v>
      </c>
      <c r="C214" t="s">
        <v>54</v>
      </c>
      <c r="D214" t="s">
        <v>1158</v>
      </c>
      <c r="E214" t="s">
        <v>1159</v>
      </c>
      <c r="F214">
        <v>31</v>
      </c>
      <c r="G214">
        <v>89</v>
      </c>
      <c r="H214">
        <v>7</v>
      </c>
      <c r="I214" t="s">
        <v>1160</v>
      </c>
      <c r="J214" s="7">
        <f t="shared" si="27"/>
        <v>5.9</v>
      </c>
      <c r="K214" t="s">
        <v>893</v>
      </c>
      <c r="L214" s="1">
        <f t="shared" si="28"/>
        <v>45530</v>
      </c>
      <c r="M214" s="1">
        <v>45485</v>
      </c>
      <c r="N214" s="1">
        <f t="shared" si="29"/>
        <v>45485</v>
      </c>
      <c r="O214" t="s">
        <v>736</v>
      </c>
      <c r="P214" s="1">
        <f t="shared" si="30"/>
        <v>45433</v>
      </c>
      <c r="Q214" t="s">
        <v>1161</v>
      </c>
      <c r="R214">
        <v>46</v>
      </c>
      <c r="S214">
        <v>54</v>
      </c>
      <c r="T214" t="s">
        <v>26</v>
      </c>
      <c r="U214" s="8">
        <v>271.40000000000003</v>
      </c>
      <c r="V214" s="8">
        <f t="shared" si="31"/>
        <v>182.9</v>
      </c>
      <c r="W214" t="str">
        <f t="shared" si="32"/>
        <v>Reorder Required</v>
      </c>
      <c r="X214" s="9">
        <f t="shared" si="33"/>
        <v>45505</v>
      </c>
      <c r="Y214">
        <f t="shared" si="34"/>
        <v>-97</v>
      </c>
      <c r="Z214" t="str">
        <f t="shared" si="35"/>
        <v>Invalid Data</v>
      </c>
    </row>
    <row r="215" spans="1:26" x14ac:dyDescent="0.4">
      <c r="A215" t="s">
        <v>1162</v>
      </c>
      <c r="B215" t="s">
        <v>210</v>
      </c>
      <c r="C215" t="s">
        <v>54</v>
      </c>
      <c r="D215" t="s">
        <v>1163</v>
      </c>
      <c r="E215" t="s">
        <v>1164</v>
      </c>
      <c r="F215">
        <v>35</v>
      </c>
      <c r="G215">
        <v>19</v>
      </c>
      <c r="H215">
        <v>30</v>
      </c>
      <c r="I215" t="s">
        <v>945</v>
      </c>
      <c r="J215" s="7">
        <f t="shared" si="27"/>
        <v>6.5</v>
      </c>
      <c r="K215" s="1">
        <v>45809</v>
      </c>
      <c r="L215" s="1">
        <f t="shared" si="28"/>
        <v>45809</v>
      </c>
      <c r="M215" t="s">
        <v>1165</v>
      </c>
      <c r="N215" s="1">
        <f t="shared" si="29"/>
        <v>45626</v>
      </c>
      <c r="O215" s="1">
        <v>45546</v>
      </c>
      <c r="P215" s="1">
        <f t="shared" si="30"/>
        <v>45546</v>
      </c>
      <c r="Q215" t="s">
        <v>1166</v>
      </c>
      <c r="R215">
        <v>88</v>
      </c>
      <c r="S215">
        <v>6</v>
      </c>
      <c r="T215" t="s">
        <v>42</v>
      </c>
      <c r="U215" s="8">
        <v>572</v>
      </c>
      <c r="V215" s="8">
        <f t="shared" si="31"/>
        <v>227.5</v>
      </c>
      <c r="W215" t="str">
        <f t="shared" si="32"/>
        <v>Sufficient Stock</v>
      </c>
      <c r="X215" s="9">
        <f t="shared" si="33"/>
        <v>45809</v>
      </c>
      <c r="Y215">
        <f t="shared" si="34"/>
        <v>-263</v>
      </c>
      <c r="Z215" t="str">
        <f t="shared" si="35"/>
        <v>Invalid Data</v>
      </c>
    </row>
    <row r="216" spans="1:26" x14ac:dyDescent="0.4">
      <c r="A216" t="s">
        <v>1167</v>
      </c>
      <c r="B216" t="s">
        <v>476</v>
      </c>
      <c r="C216" t="s">
        <v>54</v>
      </c>
      <c r="D216" t="s">
        <v>1168</v>
      </c>
      <c r="E216" t="s">
        <v>1169</v>
      </c>
      <c r="F216">
        <v>31</v>
      </c>
      <c r="G216">
        <v>54</v>
      </c>
      <c r="H216">
        <v>52</v>
      </c>
      <c r="I216" t="s">
        <v>57</v>
      </c>
      <c r="J216" s="7">
        <f t="shared" si="27"/>
        <v>4</v>
      </c>
      <c r="K216" t="s">
        <v>599</v>
      </c>
      <c r="L216" s="1">
        <f t="shared" si="28"/>
        <v>45708</v>
      </c>
      <c r="M216" s="1">
        <v>45516</v>
      </c>
      <c r="N216" s="1">
        <f t="shared" si="29"/>
        <v>45516</v>
      </c>
      <c r="O216" t="s">
        <v>115</v>
      </c>
      <c r="P216" s="1">
        <f t="shared" si="30"/>
        <v>45639</v>
      </c>
      <c r="Q216" t="s">
        <v>1170</v>
      </c>
      <c r="R216">
        <v>69</v>
      </c>
      <c r="S216">
        <v>77</v>
      </c>
      <c r="T216" t="s">
        <v>51</v>
      </c>
      <c r="U216" s="8">
        <v>276</v>
      </c>
      <c r="V216" s="8">
        <f t="shared" si="31"/>
        <v>124</v>
      </c>
      <c r="W216" t="str">
        <f t="shared" si="32"/>
        <v>Reorder Required</v>
      </c>
      <c r="X216" s="9">
        <f t="shared" si="33"/>
        <v>45689</v>
      </c>
      <c r="Y216">
        <f t="shared" si="34"/>
        <v>-69</v>
      </c>
      <c r="Z216" t="str">
        <f t="shared" si="35"/>
        <v>Invalid Data</v>
      </c>
    </row>
    <row r="217" spans="1:26" x14ac:dyDescent="0.4">
      <c r="A217" t="s">
        <v>1171</v>
      </c>
      <c r="B217" t="s">
        <v>386</v>
      </c>
      <c r="C217" t="s">
        <v>112</v>
      </c>
      <c r="D217" t="s">
        <v>1172</v>
      </c>
      <c r="E217" t="s">
        <v>535</v>
      </c>
      <c r="F217">
        <v>56</v>
      </c>
      <c r="G217">
        <v>62</v>
      </c>
      <c r="H217">
        <v>64</v>
      </c>
      <c r="I217" t="s">
        <v>71</v>
      </c>
      <c r="J217" s="7">
        <f t="shared" si="27"/>
        <v>2.5</v>
      </c>
      <c r="K217" t="s">
        <v>1173</v>
      </c>
      <c r="L217" s="1">
        <f t="shared" si="28"/>
        <v>45526</v>
      </c>
      <c r="M217" s="1">
        <v>45360</v>
      </c>
      <c r="N217" s="1">
        <f t="shared" si="29"/>
        <v>45360</v>
      </c>
      <c r="O217" t="s">
        <v>1174</v>
      </c>
      <c r="P217" s="1">
        <f t="shared" si="30"/>
        <v>45677</v>
      </c>
      <c r="Q217" t="s">
        <v>1175</v>
      </c>
      <c r="R217">
        <v>56</v>
      </c>
      <c r="S217">
        <v>73</v>
      </c>
      <c r="T217" t="s">
        <v>42</v>
      </c>
      <c r="U217" s="8">
        <v>140</v>
      </c>
      <c r="V217" s="8">
        <f t="shared" si="31"/>
        <v>140</v>
      </c>
      <c r="W217" t="str">
        <f t="shared" si="32"/>
        <v>Reorder Required</v>
      </c>
      <c r="X217" s="9">
        <f t="shared" si="33"/>
        <v>45505</v>
      </c>
      <c r="Y217">
        <f t="shared" si="34"/>
        <v>151</v>
      </c>
      <c r="Z217" t="str">
        <f t="shared" si="35"/>
        <v>Medium Risk</v>
      </c>
    </row>
    <row r="218" spans="1:26" x14ac:dyDescent="0.4">
      <c r="A218" t="s">
        <v>1176</v>
      </c>
      <c r="B218" t="s">
        <v>82</v>
      </c>
      <c r="C218" t="s">
        <v>77</v>
      </c>
      <c r="D218" t="s">
        <v>1177</v>
      </c>
      <c r="E218" t="s">
        <v>1178</v>
      </c>
      <c r="F218">
        <v>90</v>
      </c>
      <c r="G218">
        <v>62</v>
      </c>
      <c r="H218">
        <v>54</v>
      </c>
      <c r="I218" t="s">
        <v>85</v>
      </c>
      <c r="J218" s="7">
        <f t="shared" si="27"/>
        <v>3</v>
      </c>
      <c r="K218" t="s">
        <v>1174</v>
      </c>
      <c r="L218" s="1">
        <f t="shared" si="28"/>
        <v>45677</v>
      </c>
      <c r="M218" s="1">
        <v>45482</v>
      </c>
      <c r="N218" s="1">
        <f t="shared" si="29"/>
        <v>45482</v>
      </c>
      <c r="O218" t="s">
        <v>1179</v>
      </c>
      <c r="P218" s="1">
        <f t="shared" si="30"/>
        <v>45641</v>
      </c>
      <c r="Q218" t="s">
        <v>1180</v>
      </c>
      <c r="R218">
        <v>70</v>
      </c>
      <c r="S218">
        <v>83</v>
      </c>
      <c r="T218" t="s">
        <v>26</v>
      </c>
      <c r="U218" s="8">
        <v>210</v>
      </c>
      <c r="V218" s="8">
        <f t="shared" si="31"/>
        <v>270</v>
      </c>
      <c r="W218" t="str">
        <f t="shared" si="32"/>
        <v>Sufficient Stock</v>
      </c>
      <c r="X218" s="9">
        <f t="shared" si="33"/>
        <v>45658</v>
      </c>
      <c r="Y218">
        <f t="shared" si="34"/>
        <v>-36</v>
      </c>
      <c r="Z218" t="str">
        <f t="shared" si="35"/>
        <v>Invalid Data</v>
      </c>
    </row>
    <row r="219" spans="1:26" x14ac:dyDescent="0.4">
      <c r="A219" t="s">
        <v>1181</v>
      </c>
      <c r="B219" t="s">
        <v>784</v>
      </c>
      <c r="C219" t="s">
        <v>68</v>
      </c>
      <c r="D219" t="s">
        <v>1182</v>
      </c>
      <c r="E219" t="s">
        <v>1183</v>
      </c>
      <c r="F219">
        <v>79</v>
      </c>
      <c r="G219">
        <v>31</v>
      </c>
      <c r="H219">
        <v>66</v>
      </c>
      <c r="I219" t="s">
        <v>314</v>
      </c>
      <c r="J219" s="7">
        <f t="shared" si="27"/>
        <v>2.2999999999999998</v>
      </c>
      <c r="K219" s="1">
        <v>45569</v>
      </c>
      <c r="L219" s="1">
        <f t="shared" si="28"/>
        <v>45569</v>
      </c>
      <c r="M219" t="s">
        <v>244</v>
      </c>
      <c r="N219" s="1">
        <f t="shared" si="29"/>
        <v>45578</v>
      </c>
      <c r="O219" t="s">
        <v>421</v>
      </c>
      <c r="P219" s="1">
        <f t="shared" si="30"/>
        <v>45524</v>
      </c>
      <c r="Q219" t="s">
        <v>1184</v>
      </c>
      <c r="R219">
        <v>92</v>
      </c>
      <c r="S219">
        <v>13</v>
      </c>
      <c r="T219" t="s">
        <v>26</v>
      </c>
      <c r="U219" s="8">
        <v>211.6</v>
      </c>
      <c r="V219" s="8">
        <f t="shared" si="31"/>
        <v>181.7</v>
      </c>
      <c r="W219" t="str">
        <f t="shared" si="32"/>
        <v>Sufficient Stock</v>
      </c>
      <c r="X219" s="9">
        <f t="shared" si="33"/>
        <v>45566</v>
      </c>
      <c r="Y219">
        <f t="shared" si="34"/>
        <v>-45</v>
      </c>
      <c r="Z219" t="str">
        <f t="shared" si="35"/>
        <v>Invalid Data</v>
      </c>
    </row>
    <row r="220" spans="1:26" x14ac:dyDescent="0.4">
      <c r="A220" t="s">
        <v>1185</v>
      </c>
      <c r="B220" t="s">
        <v>1104</v>
      </c>
      <c r="C220" t="s">
        <v>54</v>
      </c>
      <c r="D220" t="s">
        <v>1186</v>
      </c>
      <c r="E220" t="s">
        <v>1187</v>
      </c>
      <c r="F220">
        <v>29</v>
      </c>
      <c r="G220">
        <v>83</v>
      </c>
      <c r="H220">
        <v>91</v>
      </c>
      <c r="I220" t="s">
        <v>106</v>
      </c>
      <c r="J220" s="7">
        <f t="shared" si="27"/>
        <v>2</v>
      </c>
      <c r="K220" t="s">
        <v>1188</v>
      </c>
      <c r="L220" s="1">
        <f t="shared" si="28"/>
        <v>45625</v>
      </c>
      <c r="M220" s="1">
        <v>45840</v>
      </c>
      <c r="N220" s="1">
        <f t="shared" si="29"/>
        <v>45840</v>
      </c>
      <c r="O220" s="1">
        <v>45748</v>
      </c>
      <c r="P220" s="1">
        <f t="shared" si="30"/>
        <v>45748</v>
      </c>
      <c r="Q220" t="s">
        <v>1189</v>
      </c>
      <c r="R220">
        <v>81</v>
      </c>
      <c r="S220">
        <v>53</v>
      </c>
      <c r="T220" t="s">
        <v>42</v>
      </c>
      <c r="U220" s="8">
        <v>162</v>
      </c>
      <c r="V220" s="8">
        <f t="shared" si="31"/>
        <v>58</v>
      </c>
      <c r="W220" t="str">
        <f t="shared" si="32"/>
        <v>Reorder Required</v>
      </c>
      <c r="X220" s="9">
        <f t="shared" si="33"/>
        <v>45597</v>
      </c>
      <c r="Y220">
        <f t="shared" si="34"/>
        <v>123</v>
      </c>
      <c r="Z220" t="str">
        <f t="shared" si="35"/>
        <v>Medium Risk</v>
      </c>
    </row>
    <row r="221" spans="1:26" x14ac:dyDescent="0.4">
      <c r="A221" t="s">
        <v>1190</v>
      </c>
      <c r="B221" t="s">
        <v>784</v>
      </c>
      <c r="C221" t="s">
        <v>68</v>
      </c>
      <c r="D221" t="s">
        <v>1191</v>
      </c>
      <c r="E221" t="s">
        <v>1192</v>
      </c>
      <c r="F221">
        <v>46</v>
      </c>
      <c r="G221">
        <v>51</v>
      </c>
      <c r="H221">
        <v>92</v>
      </c>
      <c r="I221" t="s">
        <v>314</v>
      </c>
      <c r="J221" s="7">
        <f t="shared" si="27"/>
        <v>2.2999999999999998</v>
      </c>
      <c r="K221" s="1">
        <v>45478</v>
      </c>
      <c r="L221" s="1">
        <f t="shared" si="28"/>
        <v>45478</v>
      </c>
      <c r="M221" t="s">
        <v>898</v>
      </c>
      <c r="N221" s="1">
        <f t="shared" si="29"/>
        <v>45650</v>
      </c>
      <c r="O221" s="1">
        <v>45541</v>
      </c>
      <c r="P221" s="1">
        <f t="shared" si="30"/>
        <v>45541</v>
      </c>
      <c r="Q221" t="s">
        <v>1193</v>
      </c>
      <c r="R221">
        <v>47</v>
      </c>
      <c r="S221">
        <v>25</v>
      </c>
      <c r="T221" t="s">
        <v>26</v>
      </c>
      <c r="U221" s="8">
        <v>108.1</v>
      </c>
      <c r="V221" s="8">
        <f t="shared" si="31"/>
        <v>105.8</v>
      </c>
      <c r="W221" t="str">
        <f t="shared" si="32"/>
        <v>Reorder Required</v>
      </c>
      <c r="X221" s="9">
        <f t="shared" si="33"/>
        <v>45474</v>
      </c>
      <c r="Y221">
        <f t="shared" si="34"/>
        <v>63</v>
      </c>
      <c r="Z221" t="str">
        <f t="shared" si="35"/>
        <v>High Risk</v>
      </c>
    </row>
    <row r="222" spans="1:26" x14ac:dyDescent="0.4">
      <c r="A222" t="s">
        <v>1194</v>
      </c>
      <c r="B222" t="s">
        <v>588</v>
      </c>
      <c r="C222" t="s">
        <v>54</v>
      </c>
      <c r="D222" t="s">
        <v>1195</v>
      </c>
      <c r="E222" t="s">
        <v>1196</v>
      </c>
      <c r="F222">
        <v>42</v>
      </c>
      <c r="G222">
        <v>4</v>
      </c>
      <c r="H222">
        <v>53</v>
      </c>
      <c r="I222" t="s">
        <v>591</v>
      </c>
      <c r="J222" s="7">
        <f t="shared" si="27"/>
        <v>10</v>
      </c>
      <c r="K222" s="1">
        <v>45931</v>
      </c>
      <c r="L222" s="1">
        <f t="shared" si="28"/>
        <v>45931</v>
      </c>
      <c r="M222" s="1">
        <v>45419</v>
      </c>
      <c r="N222" s="1">
        <f t="shared" si="29"/>
        <v>45419</v>
      </c>
      <c r="O222" s="1">
        <v>45630</v>
      </c>
      <c r="P222" s="1">
        <f t="shared" si="30"/>
        <v>45630</v>
      </c>
      <c r="Q222" t="s">
        <v>1197</v>
      </c>
      <c r="R222">
        <v>37</v>
      </c>
      <c r="S222">
        <v>53</v>
      </c>
      <c r="T222" t="s">
        <v>51</v>
      </c>
      <c r="U222" s="8">
        <v>370</v>
      </c>
      <c r="V222" s="8">
        <f t="shared" si="31"/>
        <v>420</v>
      </c>
      <c r="W222" t="str">
        <f t="shared" si="32"/>
        <v>Sufficient Stock</v>
      </c>
      <c r="X222" s="9">
        <f t="shared" si="33"/>
        <v>45931</v>
      </c>
      <c r="Y222">
        <f t="shared" si="34"/>
        <v>-301</v>
      </c>
      <c r="Z222" t="str">
        <f t="shared" si="35"/>
        <v>Invalid Data</v>
      </c>
    </row>
    <row r="223" spans="1:26" x14ac:dyDescent="0.4">
      <c r="A223" t="s">
        <v>1198</v>
      </c>
      <c r="B223" t="s">
        <v>470</v>
      </c>
      <c r="C223" t="s">
        <v>77</v>
      </c>
      <c r="D223" t="s">
        <v>1199</v>
      </c>
      <c r="E223" t="s">
        <v>964</v>
      </c>
      <c r="F223">
        <v>16</v>
      </c>
      <c r="G223">
        <v>56</v>
      </c>
      <c r="H223">
        <v>13</v>
      </c>
      <c r="I223" t="s">
        <v>1200</v>
      </c>
      <c r="J223" s="7">
        <f t="shared" si="27"/>
        <v>7.2</v>
      </c>
      <c r="K223" s="1">
        <v>45932</v>
      </c>
      <c r="L223" s="1">
        <f t="shared" si="28"/>
        <v>45932</v>
      </c>
      <c r="M223" s="1">
        <v>45568</v>
      </c>
      <c r="N223" s="1">
        <f t="shared" si="29"/>
        <v>45568</v>
      </c>
      <c r="O223" s="1">
        <v>45332</v>
      </c>
      <c r="P223" s="1">
        <f t="shared" si="30"/>
        <v>45332</v>
      </c>
      <c r="Q223" t="s">
        <v>1201</v>
      </c>
      <c r="R223">
        <v>56</v>
      </c>
      <c r="S223">
        <v>28</v>
      </c>
      <c r="T223" t="s">
        <v>26</v>
      </c>
      <c r="U223" s="8">
        <v>403.2</v>
      </c>
      <c r="V223" s="8">
        <f t="shared" si="31"/>
        <v>115.2</v>
      </c>
      <c r="W223" t="str">
        <f t="shared" si="32"/>
        <v>Reorder Required</v>
      </c>
      <c r="X223" s="9">
        <f t="shared" si="33"/>
        <v>45931</v>
      </c>
      <c r="Y223">
        <f t="shared" si="34"/>
        <v>-600</v>
      </c>
      <c r="Z223" t="str">
        <f t="shared" si="35"/>
        <v>Invalid Data</v>
      </c>
    </row>
    <row r="224" spans="1:26" x14ac:dyDescent="0.4">
      <c r="A224" t="s">
        <v>1202</v>
      </c>
      <c r="B224" t="s">
        <v>814</v>
      </c>
      <c r="C224" t="s">
        <v>169</v>
      </c>
      <c r="D224" t="s">
        <v>1203</v>
      </c>
      <c r="E224" t="s">
        <v>1204</v>
      </c>
      <c r="F224">
        <v>89</v>
      </c>
      <c r="G224">
        <v>95</v>
      </c>
      <c r="H224">
        <v>41</v>
      </c>
      <c r="I224" t="s">
        <v>817</v>
      </c>
      <c r="J224" s="7">
        <f t="shared" si="27"/>
        <v>18</v>
      </c>
      <c r="K224" t="s">
        <v>451</v>
      </c>
      <c r="L224" s="1">
        <f t="shared" si="28"/>
        <v>45559</v>
      </c>
      <c r="M224" s="1">
        <v>45450</v>
      </c>
      <c r="N224" s="1">
        <f t="shared" si="29"/>
        <v>45450</v>
      </c>
      <c r="O224" t="s">
        <v>1205</v>
      </c>
      <c r="P224" s="1">
        <f t="shared" si="30"/>
        <v>45580</v>
      </c>
      <c r="Q224" t="s">
        <v>1206</v>
      </c>
      <c r="R224">
        <v>76</v>
      </c>
      <c r="S224">
        <v>96</v>
      </c>
      <c r="T224" t="s">
        <v>26</v>
      </c>
      <c r="U224" s="8">
        <v>1368</v>
      </c>
      <c r="V224" s="8">
        <f t="shared" si="31"/>
        <v>1602</v>
      </c>
      <c r="W224" t="str">
        <f t="shared" si="32"/>
        <v>Reorder Required</v>
      </c>
      <c r="X224" s="9">
        <f t="shared" si="33"/>
        <v>45536</v>
      </c>
      <c r="Y224">
        <f t="shared" si="34"/>
        <v>21</v>
      </c>
      <c r="Z224" t="str">
        <f t="shared" si="35"/>
        <v>Critical</v>
      </c>
    </row>
    <row r="225" spans="1:26" x14ac:dyDescent="0.4">
      <c r="A225" t="s">
        <v>1207</v>
      </c>
      <c r="B225" t="s">
        <v>458</v>
      </c>
      <c r="C225" t="s">
        <v>29</v>
      </c>
      <c r="D225" t="s">
        <v>1208</v>
      </c>
      <c r="E225" t="s">
        <v>186</v>
      </c>
      <c r="F225">
        <v>20</v>
      </c>
      <c r="G225">
        <v>43</v>
      </c>
      <c r="H225">
        <v>43</v>
      </c>
      <c r="I225" t="s">
        <v>461</v>
      </c>
      <c r="J225" s="7">
        <f t="shared" si="27"/>
        <v>25</v>
      </c>
      <c r="K225" s="1">
        <v>45839</v>
      </c>
      <c r="L225" s="1">
        <f t="shared" si="28"/>
        <v>45839</v>
      </c>
      <c r="M225" t="s">
        <v>135</v>
      </c>
      <c r="N225" s="1">
        <f t="shared" si="29"/>
        <v>45349</v>
      </c>
      <c r="O225" t="s">
        <v>1209</v>
      </c>
      <c r="P225" s="1">
        <f t="shared" si="30"/>
        <v>45380</v>
      </c>
      <c r="Q225" t="s">
        <v>1210</v>
      </c>
      <c r="R225">
        <v>73</v>
      </c>
      <c r="S225">
        <v>6</v>
      </c>
      <c r="T225" t="s">
        <v>51</v>
      </c>
      <c r="U225" s="8">
        <v>1825</v>
      </c>
      <c r="V225" s="8">
        <f t="shared" si="31"/>
        <v>500</v>
      </c>
      <c r="W225" t="str">
        <f t="shared" si="32"/>
        <v>Reorder Required</v>
      </c>
      <c r="X225" s="9">
        <f t="shared" si="33"/>
        <v>45839</v>
      </c>
      <c r="Y225">
        <f t="shared" si="34"/>
        <v>-459</v>
      </c>
      <c r="Z225" t="str">
        <f t="shared" si="35"/>
        <v>Invalid Data</v>
      </c>
    </row>
    <row r="226" spans="1:26" x14ac:dyDescent="0.4">
      <c r="A226" t="s">
        <v>1211</v>
      </c>
      <c r="B226" t="s">
        <v>318</v>
      </c>
      <c r="C226" t="s">
        <v>29</v>
      </c>
      <c r="D226" t="s">
        <v>1212</v>
      </c>
      <c r="E226" t="s">
        <v>1027</v>
      </c>
      <c r="F226">
        <v>37</v>
      </c>
      <c r="G226">
        <v>94</v>
      </c>
      <c r="H226">
        <v>76</v>
      </c>
      <c r="I226" t="s">
        <v>320</v>
      </c>
      <c r="J226" s="7">
        <f t="shared" si="27"/>
        <v>15</v>
      </c>
      <c r="K226" t="s">
        <v>579</v>
      </c>
      <c r="L226" s="1">
        <f t="shared" si="28"/>
        <v>45460</v>
      </c>
      <c r="M226" t="s">
        <v>279</v>
      </c>
      <c r="N226" s="1">
        <f t="shared" si="29"/>
        <v>45676</v>
      </c>
      <c r="O226" s="1">
        <v>45749</v>
      </c>
      <c r="P226" s="1">
        <f t="shared" si="30"/>
        <v>45749</v>
      </c>
      <c r="Q226" t="s">
        <v>1213</v>
      </c>
      <c r="R226">
        <v>94</v>
      </c>
      <c r="S226">
        <v>66</v>
      </c>
      <c r="T226" t="s">
        <v>42</v>
      </c>
      <c r="U226" s="8">
        <v>1410</v>
      </c>
      <c r="V226" s="8">
        <f t="shared" si="31"/>
        <v>555</v>
      </c>
      <c r="W226" t="str">
        <f t="shared" si="32"/>
        <v>Reorder Required</v>
      </c>
      <c r="X226" s="9">
        <f t="shared" si="33"/>
        <v>45444</v>
      </c>
      <c r="Y226">
        <f t="shared" si="34"/>
        <v>289</v>
      </c>
      <c r="Z226" t="str">
        <f t="shared" si="35"/>
        <v>Low Risk</v>
      </c>
    </row>
    <row r="227" spans="1:26" x14ac:dyDescent="0.4">
      <c r="A227" t="s">
        <v>1214</v>
      </c>
      <c r="B227" t="s">
        <v>138</v>
      </c>
      <c r="C227" t="s">
        <v>18</v>
      </c>
      <c r="D227" t="s">
        <v>1215</v>
      </c>
      <c r="E227" t="s">
        <v>1216</v>
      </c>
      <c r="F227">
        <v>97</v>
      </c>
      <c r="G227">
        <v>41</v>
      </c>
      <c r="H227">
        <v>68</v>
      </c>
      <c r="I227" t="s">
        <v>47</v>
      </c>
      <c r="J227" s="7">
        <f t="shared" si="27"/>
        <v>1.5</v>
      </c>
      <c r="K227" t="s">
        <v>1217</v>
      </c>
      <c r="L227" s="1">
        <f t="shared" si="28"/>
        <v>45671</v>
      </c>
      <c r="M227" s="1">
        <v>45392</v>
      </c>
      <c r="N227" s="1">
        <f t="shared" si="29"/>
        <v>45392</v>
      </c>
      <c r="O227" s="1">
        <v>45839</v>
      </c>
      <c r="P227" s="1">
        <f t="shared" si="30"/>
        <v>45839</v>
      </c>
      <c r="Q227" t="s">
        <v>1218</v>
      </c>
      <c r="R227">
        <v>35</v>
      </c>
      <c r="S227">
        <v>16</v>
      </c>
      <c r="T227" t="s">
        <v>26</v>
      </c>
      <c r="U227" s="8">
        <v>52.5</v>
      </c>
      <c r="V227" s="8">
        <f t="shared" si="31"/>
        <v>145.5</v>
      </c>
      <c r="W227" t="str">
        <f t="shared" si="32"/>
        <v>Sufficient Stock</v>
      </c>
      <c r="X227" s="9">
        <f t="shared" si="33"/>
        <v>45658</v>
      </c>
      <c r="Y227">
        <f t="shared" si="34"/>
        <v>168</v>
      </c>
      <c r="Z227" t="str">
        <f t="shared" si="35"/>
        <v>Medium Risk</v>
      </c>
    </row>
    <row r="228" spans="1:26" x14ac:dyDescent="0.4">
      <c r="A228" t="s">
        <v>1219</v>
      </c>
      <c r="B228" t="s">
        <v>131</v>
      </c>
      <c r="C228" t="s">
        <v>77</v>
      </c>
      <c r="D228" t="s">
        <v>1220</v>
      </c>
      <c r="E228" t="s">
        <v>1221</v>
      </c>
      <c r="F228">
        <v>98</v>
      </c>
      <c r="G228">
        <v>77</v>
      </c>
      <c r="H228">
        <v>7</v>
      </c>
      <c r="I228" t="s">
        <v>134</v>
      </c>
      <c r="J228" s="7">
        <f t="shared" si="27"/>
        <v>7</v>
      </c>
      <c r="K228" s="1">
        <v>45332</v>
      </c>
      <c r="L228" s="1">
        <f t="shared" si="28"/>
        <v>45332</v>
      </c>
      <c r="M228" t="s">
        <v>229</v>
      </c>
      <c r="N228" s="1">
        <f t="shared" si="29"/>
        <v>45615</v>
      </c>
      <c r="O228" s="1">
        <v>45420</v>
      </c>
      <c r="P228" s="1">
        <f t="shared" si="30"/>
        <v>45420</v>
      </c>
      <c r="Q228" t="s">
        <v>1222</v>
      </c>
      <c r="R228">
        <v>92</v>
      </c>
      <c r="S228">
        <v>29</v>
      </c>
      <c r="T228" t="s">
        <v>26</v>
      </c>
      <c r="U228" s="8">
        <v>644</v>
      </c>
      <c r="V228" s="8">
        <f t="shared" si="31"/>
        <v>686</v>
      </c>
      <c r="W228" t="str">
        <f t="shared" si="32"/>
        <v>Sufficient Stock</v>
      </c>
      <c r="X228" s="9">
        <f t="shared" si="33"/>
        <v>45323</v>
      </c>
      <c r="Y228">
        <f t="shared" si="34"/>
        <v>88</v>
      </c>
      <c r="Z228" t="str">
        <f t="shared" si="35"/>
        <v>High Risk</v>
      </c>
    </row>
    <row r="229" spans="1:26" x14ac:dyDescent="0.4">
      <c r="A229" t="s">
        <v>1223</v>
      </c>
      <c r="B229" t="s">
        <v>350</v>
      </c>
      <c r="C229" t="s">
        <v>54</v>
      </c>
      <c r="D229" t="s">
        <v>1224</v>
      </c>
      <c r="E229" t="s">
        <v>1225</v>
      </c>
      <c r="F229">
        <v>37</v>
      </c>
      <c r="G229">
        <v>8</v>
      </c>
      <c r="H229">
        <v>50</v>
      </c>
      <c r="I229" t="s">
        <v>39</v>
      </c>
      <c r="J229" s="7">
        <f t="shared" si="27"/>
        <v>6</v>
      </c>
      <c r="K229" s="1">
        <v>45450</v>
      </c>
      <c r="L229" s="1">
        <f t="shared" si="28"/>
        <v>45450</v>
      </c>
      <c r="M229" t="s">
        <v>807</v>
      </c>
      <c r="N229" s="1">
        <f t="shared" si="29"/>
        <v>45429</v>
      </c>
      <c r="O229" t="s">
        <v>444</v>
      </c>
      <c r="P229" s="1">
        <f t="shared" si="30"/>
        <v>45680</v>
      </c>
      <c r="Q229" t="s">
        <v>1226</v>
      </c>
      <c r="R229">
        <v>47</v>
      </c>
      <c r="S229">
        <v>62</v>
      </c>
      <c r="T229" t="s">
        <v>26</v>
      </c>
      <c r="U229" s="8">
        <v>282</v>
      </c>
      <c r="V229" s="8">
        <f t="shared" si="31"/>
        <v>222</v>
      </c>
      <c r="W229" t="str">
        <f t="shared" si="32"/>
        <v>Sufficient Stock</v>
      </c>
      <c r="X229" s="9">
        <f t="shared" si="33"/>
        <v>45444</v>
      </c>
      <c r="Y229">
        <f t="shared" si="34"/>
        <v>230</v>
      </c>
      <c r="Z229" t="str">
        <f t="shared" si="35"/>
        <v>Low Risk</v>
      </c>
    </row>
    <row r="230" spans="1:26" x14ac:dyDescent="0.4">
      <c r="A230" t="s">
        <v>1227</v>
      </c>
      <c r="B230" t="s">
        <v>1228</v>
      </c>
      <c r="C230" t="s">
        <v>112</v>
      </c>
      <c r="D230" t="s">
        <v>1229</v>
      </c>
      <c r="E230" t="s">
        <v>1230</v>
      </c>
      <c r="F230">
        <v>97</v>
      </c>
      <c r="G230">
        <v>99</v>
      </c>
      <c r="H230">
        <v>96</v>
      </c>
      <c r="I230" t="s">
        <v>57</v>
      </c>
      <c r="J230" s="7">
        <f t="shared" si="27"/>
        <v>4</v>
      </c>
      <c r="K230" t="s">
        <v>181</v>
      </c>
      <c r="L230" s="1">
        <f t="shared" si="28"/>
        <v>45407</v>
      </c>
      <c r="M230" t="s">
        <v>1106</v>
      </c>
      <c r="N230" s="1">
        <f t="shared" si="29"/>
        <v>45679</v>
      </c>
      <c r="O230" t="s">
        <v>630</v>
      </c>
      <c r="P230" s="1">
        <f t="shared" si="30"/>
        <v>45623</v>
      </c>
      <c r="Q230" t="s">
        <v>1231</v>
      </c>
      <c r="R230">
        <v>57</v>
      </c>
      <c r="S230">
        <v>42</v>
      </c>
      <c r="T230" t="s">
        <v>42</v>
      </c>
      <c r="U230" s="8">
        <v>228</v>
      </c>
      <c r="V230" s="8">
        <f t="shared" si="31"/>
        <v>388</v>
      </c>
      <c r="W230" t="str">
        <f t="shared" si="32"/>
        <v>Reorder Required</v>
      </c>
      <c r="X230" s="9">
        <f t="shared" si="33"/>
        <v>45383</v>
      </c>
      <c r="Y230">
        <f t="shared" si="34"/>
        <v>216</v>
      </c>
      <c r="Z230" t="str">
        <f t="shared" si="35"/>
        <v>Low Risk</v>
      </c>
    </row>
    <row r="231" spans="1:26" x14ac:dyDescent="0.4">
      <c r="A231" t="s">
        <v>1232</v>
      </c>
      <c r="B231" t="s">
        <v>28</v>
      </c>
      <c r="C231" t="s">
        <v>29</v>
      </c>
      <c r="D231" t="s">
        <v>1233</v>
      </c>
      <c r="E231" t="s">
        <v>140</v>
      </c>
      <c r="F231">
        <v>97</v>
      </c>
      <c r="G231">
        <v>77</v>
      </c>
      <c r="H231">
        <v>99</v>
      </c>
      <c r="I231" t="s">
        <v>32</v>
      </c>
      <c r="J231" s="7">
        <f t="shared" si="27"/>
        <v>20</v>
      </c>
      <c r="K231" t="s">
        <v>346</v>
      </c>
      <c r="L231" s="1">
        <f t="shared" si="28"/>
        <v>45618</v>
      </c>
      <c r="M231" t="s">
        <v>1234</v>
      </c>
      <c r="N231" s="1">
        <f t="shared" si="29"/>
        <v>45406</v>
      </c>
      <c r="O231" t="s">
        <v>72</v>
      </c>
      <c r="P231" s="1">
        <f t="shared" si="30"/>
        <v>45369</v>
      </c>
      <c r="Q231" t="s">
        <v>1235</v>
      </c>
      <c r="R231">
        <v>74</v>
      </c>
      <c r="S231">
        <v>98</v>
      </c>
      <c r="T231" t="s">
        <v>42</v>
      </c>
      <c r="U231" s="8">
        <v>1480</v>
      </c>
      <c r="V231" s="8">
        <f t="shared" si="31"/>
        <v>1940</v>
      </c>
      <c r="W231" t="str">
        <f t="shared" si="32"/>
        <v>Sufficient Stock</v>
      </c>
      <c r="X231" s="9">
        <f t="shared" si="33"/>
        <v>45597</v>
      </c>
      <c r="Y231">
        <f t="shared" si="34"/>
        <v>-249</v>
      </c>
      <c r="Z231" t="str">
        <f t="shared" si="35"/>
        <v>Invalid Data</v>
      </c>
    </row>
    <row r="232" spans="1:26" x14ac:dyDescent="0.4">
      <c r="A232" t="s">
        <v>1236</v>
      </c>
      <c r="B232" t="s">
        <v>311</v>
      </c>
      <c r="C232" t="s">
        <v>54</v>
      </c>
      <c r="D232" t="s">
        <v>1237</v>
      </c>
      <c r="E232" t="s">
        <v>365</v>
      </c>
      <c r="F232">
        <v>90</v>
      </c>
      <c r="G232">
        <v>92</v>
      </c>
      <c r="H232">
        <v>56</v>
      </c>
      <c r="I232" t="s">
        <v>71</v>
      </c>
      <c r="J232" s="7">
        <f t="shared" si="27"/>
        <v>2.5</v>
      </c>
      <c r="K232" t="s">
        <v>358</v>
      </c>
      <c r="L232" s="1">
        <f t="shared" si="28"/>
        <v>45501</v>
      </c>
      <c r="M232" t="s">
        <v>786</v>
      </c>
      <c r="N232" s="1">
        <f t="shared" si="29"/>
        <v>45409</v>
      </c>
      <c r="O232" t="s">
        <v>1238</v>
      </c>
      <c r="P232" s="1">
        <f t="shared" si="30"/>
        <v>45365</v>
      </c>
      <c r="Q232" t="s">
        <v>1239</v>
      </c>
      <c r="R232">
        <v>71</v>
      </c>
      <c r="S232">
        <v>13</v>
      </c>
      <c r="T232" t="s">
        <v>51</v>
      </c>
      <c r="U232" s="8">
        <v>177.5</v>
      </c>
      <c r="V232" s="8">
        <f t="shared" si="31"/>
        <v>225</v>
      </c>
      <c r="W232" t="str">
        <f t="shared" si="32"/>
        <v>Reorder Required</v>
      </c>
      <c r="X232" s="9">
        <f t="shared" si="33"/>
        <v>45474</v>
      </c>
      <c r="Y232">
        <f t="shared" si="34"/>
        <v>-136</v>
      </c>
      <c r="Z232" t="str">
        <f t="shared" si="35"/>
        <v>Invalid Data</v>
      </c>
    </row>
    <row r="233" spans="1:26" x14ac:dyDescent="0.4">
      <c r="A233" t="s">
        <v>1240</v>
      </c>
      <c r="B233" t="s">
        <v>28</v>
      </c>
      <c r="C233" t="s">
        <v>29</v>
      </c>
      <c r="D233" t="s">
        <v>1241</v>
      </c>
      <c r="E233" t="s">
        <v>1242</v>
      </c>
      <c r="F233">
        <v>46</v>
      </c>
      <c r="G233">
        <v>31</v>
      </c>
      <c r="H233">
        <v>89</v>
      </c>
      <c r="I233" t="s">
        <v>32</v>
      </c>
      <c r="J233" s="7">
        <f t="shared" si="27"/>
        <v>20</v>
      </c>
      <c r="K233" s="1">
        <v>45748</v>
      </c>
      <c r="L233" s="1">
        <f t="shared" si="28"/>
        <v>45748</v>
      </c>
      <c r="M233" t="s">
        <v>549</v>
      </c>
      <c r="N233" s="1">
        <f t="shared" si="29"/>
        <v>45372</v>
      </c>
      <c r="O233" s="1">
        <v>45446</v>
      </c>
      <c r="P233" s="1">
        <f t="shared" si="30"/>
        <v>45446</v>
      </c>
      <c r="Q233" t="s">
        <v>1243</v>
      </c>
      <c r="R233">
        <v>59</v>
      </c>
      <c r="S233">
        <v>65</v>
      </c>
      <c r="T233" t="s">
        <v>42</v>
      </c>
      <c r="U233" s="8">
        <v>1180</v>
      </c>
      <c r="V233" s="8">
        <f t="shared" si="31"/>
        <v>920</v>
      </c>
      <c r="W233" t="str">
        <f t="shared" si="32"/>
        <v>Sufficient Stock</v>
      </c>
      <c r="X233" s="9">
        <f t="shared" si="33"/>
        <v>45748</v>
      </c>
      <c r="Y233">
        <f t="shared" si="34"/>
        <v>-302</v>
      </c>
      <c r="Z233" t="str">
        <f t="shared" si="35"/>
        <v>Invalid Data</v>
      </c>
    </row>
    <row r="234" spans="1:26" x14ac:dyDescent="0.4">
      <c r="A234" t="s">
        <v>1244</v>
      </c>
      <c r="B234" t="s">
        <v>476</v>
      </c>
      <c r="C234" t="s">
        <v>54</v>
      </c>
      <c r="D234" t="s">
        <v>1245</v>
      </c>
      <c r="E234" t="s">
        <v>1246</v>
      </c>
      <c r="F234">
        <v>40</v>
      </c>
      <c r="G234">
        <v>8</v>
      </c>
      <c r="H234">
        <v>98</v>
      </c>
      <c r="I234" t="s">
        <v>57</v>
      </c>
      <c r="J234" s="7">
        <f t="shared" si="27"/>
        <v>4</v>
      </c>
      <c r="K234" t="s">
        <v>955</v>
      </c>
      <c r="L234" s="1">
        <f t="shared" si="28"/>
        <v>45499</v>
      </c>
      <c r="M234" s="1">
        <v>45810</v>
      </c>
      <c r="N234" s="1">
        <f t="shared" si="29"/>
        <v>45810</v>
      </c>
      <c r="O234" s="1">
        <v>45541</v>
      </c>
      <c r="P234" s="1">
        <f t="shared" si="30"/>
        <v>45541</v>
      </c>
      <c r="Q234" t="s">
        <v>1247</v>
      </c>
      <c r="R234">
        <v>86</v>
      </c>
      <c r="S234">
        <v>12</v>
      </c>
      <c r="T234" t="s">
        <v>26</v>
      </c>
      <c r="U234" s="8">
        <v>344</v>
      </c>
      <c r="V234" s="8">
        <f t="shared" si="31"/>
        <v>160</v>
      </c>
      <c r="W234" t="str">
        <f t="shared" si="32"/>
        <v>Sufficient Stock</v>
      </c>
      <c r="X234" s="9">
        <f t="shared" si="33"/>
        <v>45474</v>
      </c>
      <c r="Y234">
        <f t="shared" si="34"/>
        <v>42</v>
      </c>
      <c r="Z234" t="str">
        <f t="shared" si="35"/>
        <v>High Risk</v>
      </c>
    </row>
    <row r="235" spans="1:26" x14ac:dyDescent="0.4">
      <c r="A235" t="s">
        <v>1248</v>
      </c>
      <c r="B235" t="s">
        <v>1249</v>
      </c>
      <c r="C235" t="s">
        <v>54</v>
      </c>
      <c r="D235" t="s">
        <v>1250</v>
      </c>
      <c r="E235" t="s">
        <v>1251</v>
      </c>
      <c r="F235">
        <v>77</v>
      </c>
      <c r="G235">
        <v>52</v>
      </c>
      <c r="H235">
        <v>28</v>
      </c>
      <c r="I235" t="s">
        <v>57</v>
      </c>
      <c r="J235" s="7">
        <f t="shared" si="27"/>
        <v>4</v>
      </c>
      <c r="K235" t="s">
        <v>1057</v>
      </c>
      <c r="L235" s="1">
        <f t="shared" si="28"/>
        <v>45645</v>
      </c>
      <c r="M235" t="s">
        <v>229</v>
      </c>
      <c r="N235" s="1">
        <f t="shared" si="29"/>
        <v>45615</v>
      </c>
      <c r="O235" s="1">
        <v>45296</v>
      </c>
      <c r="P235" s="1">
        <f t="shared" si="30"/>
        <v>45296</v>
      </c>
      <c r="Q235" t="s">
        <v>1252</v>
      </c>
      <c r="R235">
        <v>48</v>
      </c>
      <c r="S235">
        <v>43</v>
      </c>
      <c r="T235" t="s">
        <v>51</v>
      </c>
      <c r="U235" s="8">
        <v>192</v>
      </c>
      <c r="V235" s="8">
        <f t="shared" si="31"/>
        <v>308</v>
      </c>
      <c r="W235" t="str">
        <f t="shared" si="32"/>
        <v>Sufficient Stock</v>
      </c>
      <c r="X235" s="9">
        <f t="shared" si="33"/>
        <v>45627</v>
      </c>
      <c r="Y235">
        <f t="shared" si="34"/>
        <v>-349</v>
      </c>
      <c r="Z235" t="str">
        <f t="shared" si="35"/>
        <v>Invalid Data</v>
      </c>
    </row>
    <row r="236" spans="1:26" x14ac:dyDescent="0.4">
      <c r="A236" t="s">
        <v>1253</v>
      </c>
      <c r="B236" t="s">
        <v>138</v>
      </c>
      <c r="C236" t="s">
        <v>18</v>
      </c>
      <c r="D236" t="s">
        <v>1254</v>
      </c>
      <c r="E236" t="s">
        <v>1178</v>
      </c>
      <c r="F236">
        <v>62</v>
      </c>
      <c r="G236">
        <v>79</v>
      </c>
      <c r="H236">
        <v>23</v>
      </c>
      <c r="I236" t="s">
        <v>47</v>
      </c>
      <c r="J236" s="7">
        <f t="shared" si="27"/>
        <v>1.5</v>
      </c>
      <c r="K236" t="s">
        <v>322</v>
      </c>
      <c r="L236" s="1">
        <f t="shared" si="28"/>
        <v>45495</v>
      </c>
      <c r="M236" t="s">
        <v>592</v>
      </c>
      <c r="N236" s="1">
        <f t="shared" si="29"/>
        <v>45350</v>
      </c>
      <c r="O236" t="s">
        <v>359</v>
      </c>
      <c r="P236" s="1">
        <f t="shared" si="30"/>
        <v>45583</v>
      </c>
      <c r="Q236" t="s">
        <v>1255</v>
      </c>
      <c r="R236">
        <v>32</v>
      </c>
      <c r="S236">
        <v>80</v>
      </c>
      <c r="T236" t="s">
        <v>51</v>
      </c>
      <c r="U236" s="8">
        <v>48</v>
      </c>
      <c r="V236" s="8">
        <f t="shared" si="31"/>
        <v>93</v>
      </c>
      <c r="W236" t="str">
        <f t="shared" si="32"/>
        <v>Reorder Required</v>
      </c>
      <c r="X236" s="9">
        <f t="shared" si="33"/>
        <v>45474</v>
      </c>
      <c r="Y236">
        <f t="shared" si="34"/>
        <v>88</v>
      </c>
      <c r="Z236" t="str">
        <f t="shared" si="35"/>
        <v>High Risk</v>
      </c>
    </row>
    <row r="237" spans="1:26" x14ac:dyDescent="0.4">
      <c r="A237" t="s">
        <v>1256</v>
      </c>
      <c r="B237" t="s">
        <v>255</v>
      </c>
      <c r="C237" t="s">
        <v>29</v>
      </c>
      <c r="D237" t="s">
        <v>1257</v>
      </c>
      <c r="E237" t="s">
        <v>1258</v>
      </c>
      <c r="F237">
        <v>59</v>
      </c>
      <c r="G237">
        <v>17</v>
      </c>
      <c r="H237">
        <v>1</v>
      </c>
      <c r="I237" t="s">
        <v>258</v>
      </c>
      <c r="J237" s="7">
        <f t="shared" si="27"/>
        <v>30</v>
      </c>
      <c r="K237" t="s">
        <v>397</v>
      </c>
      <c r="L237" s="1">
        <f t="shared" si="28"/>
        <v>45494</v>
      </c>
      <c r="M237" t="s">
        <v>893</v>
      </c>
      <c r="N237" s="1">
        <f t="shared" si="29"/>
        <v>45530</v>
      </c>
      <c r="O237" s="1">
        <v>45363</v>
      </c>
      <c r="P237" s="1">
        <f t="shared" si="30"/>
        <v>45363</v>
      </c>
      <c r="Q237" t="s">
        <v>1259</v>
      </c>
      <c r="R237">
        <v>69</v>
      </c>
      <c r="S237">
        <v>82</v>
      </c>
      <c r="T237" t="s">
        <v>51</v>
      </c>
      <c r="U237" s="8">
        <v>2070</v>
      </c>
      <c r="V237" s="8">
        <f t="shared" si="31"/>
        <v>1770</v>
      </c>
      <c r="W237" t="str">
        <f t="shared" si="32"/>
        <v>Sufficient Stock</v>
      </c>
      <c r="X237" s="9">
        <f t="shared" si="33"/>
        <v>45474</v>
      </c>
      <c r="Y237">
        <f t="shared" si="34"/>
        <v>-131</v>
      </c>
      <c r="Z237" t="str">
        <f t="shared" si="35"/>
        <v>Invalid Data</v>
      </c>
    </row>
    <row r="238" spans="1:26" x14ac:dyDescent="0.4">
      <c r="A238" t="s">
        <v>1260</v>
      </c>
      <c r="B238" t="s">
        <v>588</v>
      </c>
      <c r="C238" t="s">
        <v>54</v>
      </c>
      <c r="D238" t="s">
        <v>1261</v>
      </c>
      <c r="E238" t="s">
        <v>278</v>
      </c>
      <c r="F238">
        <v>23</v>
      </c>
      <c r="G238">
        <v>38</v>
      </c>
      <c r="H238">
        <v>54</v>
      </c>
      <c r="I238" t="s">
        <v>591</v>
      </c>
      <c r="J238" s="7">
        <f t="shared" si="27"/>
        <v>10</v>
      </c>
      <c r="K238" t="s">
        <v>719</v>
      </c>
      <c r="L238" s="1">
        <f t="shared" si="28"/>
        <v>45674</v>
      </c>
      <c r="M238" t="s">
        <v>730</v>
      </c>
      <c r="N238" s="1">
        <f t="shared" si="29"/>
        <v>45487</v>
      </c>
      <c r="O238" t="s">
        <v>643</v>
      </c>
      <c r="P238" s="1">
        <f t="shared" si="30"/>
        <v>45397</v>
      </c>
      <c r="Q238" t="s">
        <v>1262</v>
      </c>
      <c r="R238">
        <v>40</v>
      </c>
      <c r="S238">
        <v>15</v>
      </c>
      <c r="T238" t="s">
        <v>51</v>
      </c>
      <c r="U238" s="8">
        <v>400</v>
      </c>
      <c r="V238" s="8">
        <f t="shared" si="31"/>
        <v>230</v>
      </c>
      <c r="W238" t="str">
        <f t="shared" si="32"/>
        <v>Reorder Required</v>
      </c>
      <c r="X238" s="9">
        <f t="shared" si="33"/>
        <v>45658</v>
      </c>
      <c r="Y238">
        <f t="shared" si="34"/>
        <v>-277</v>
      </c>
      <c r="Z238" t="str">
        <f t="shared" si="35"/>
        <v>Invalid Data</v>
      </c>
    </row>
    <row r="239" spans="1:26" x14ac:dyDescent="0.4">
      <c r="A239" t="s">
        <v>1263</v>
      </c>
      <c r="B239" t="s">
        <v>1228</v>
      </c>
      <c r="C239" t="s">
        <v>112</v>
      </c>
      <c r="D239" t="s">
        <v>1264</v>
      </c>
      <c r="E239" t="s">
        <v>724</v>
      </c>
      <c r="F239">
        <v>39</v>
      </c>
      <c r="G239">
        <v>16</v>
      </c>
      <c r="H239">
        <v>57</v>
      </c>
      <c r="I239" t="s">
        <v>57</v>
      </c>
      <c r="J239" s="7">
        <f t="shared" si="27"/>
        <v>4</v>
      </c>
      <c r="K239" t="s">
        <v>192</v>
      </c>
      <c r="L239" s="1">
        <f t="shared" si="28"/>
        <v>45647</v>
      </c>
      <c r="M239" s="1">
        <v>45539</v>
      </c>
      <c r="N239" s="1">
        <f t="shared" si="29"/>
        <v>45539</v>
      </c>
      <c r="O239" t="s">
        <v>165</v>
      </c>
      <c r="P239" s="1">
        <f t="shared" si="30"/>
        <v>45465</v>
      </c>
      <c r="Q239" t="s">
        <v>1265</v>
      </c>
      <c r="R239">
        <v>98</v>
      </c>
      <c r="S239">
        <v>12</v>
      </c>
      <c r="T239" t="s">
        <v>51</v>
      </c>
      <c r="U239" s="8">
        <v>392</v>
      </c>
      <c r="V239" s="8">
        <f t="shared" si="31"/>
        <v>156</v>
      </c>
      <c r="W239" t="str">
        <f t="shared" si="32"/>
        <v>Sufficient Stock</v>
      </c>
      <c r="X239" s="9">
        <f t="shared" si="33"/>
        <v>45627</v>
      </c>
      <c r="Y239">
        <f t="shared" si="34"/>
        <v>-182</v>
      </c>
      <c r="Z239" t="str">
        <f t="shared" si="35"/>
        <v>Invalid Data</v>
      </c>
    </row>
    <row r="240" spans="1:26" x14ac:dyDescent="0.4">
      <c r="A240" t="s">
        <v>1266</v>
      </c>
      <c r="B240" t="s">
        <v>799</v>
      </c>
      <c r="C240" t="s">
        <v>77</v>
      </c>
      <c r="D240" t="s">
        <v>1267</v>
      </c>
      <c r="E240" t="s">
        <v>250</v>
      </c>
      <c r="F240">
        <v>68</v>
      </c>
      <c r="G240">
        <v>29</v>
      </c>
      <c r="H240">
        <v>31</v>
      </c>
      <c r="I240" t="s">
        <v>134</v>
      </c>
      <c r="J240" s="7">
        <f t="shared" si="27"/>
        <v>7</v>
      </c>
      <c r="K240" s="1">
        <v>45451</v>
      </c>
      <c r="L240" s="1">
        <f t="shared" si="28"/>
        <v>45451</v>
      </c>
      <c r="M240" s="1">
        <v>45357</v>
      </c>
      <c r="N240" s="1">
        <f t="shared" si="29"/>
        <v>45357</v>
      </c>
      <c r="O240" s="1">
        <v>45544</v>
      </c>
      <c r="P240" s="1">
        <f t="shared" si="30"/>
        <v>45544</v>
      </c>
      <c r="Q240" t="s">
        <v>1268</v>
      </c>
      <c r="R240">
        <v>53</v>
      </c>
      <c r="S240">
        <v>20</v>
      </c>
      <c r="T240" t="s">
        <v>42</v>
      </c>
      <c r="U240" s="8">
        <v>371</v>
      </c>
      <c r="V240" s="8">
        <f t="shared" si="31"/>
        <v>476</v>
      </c>
      <c r="W240" t="str">
        <f t="shared" si="32"/>
        <v>Sufficient Stock</v>
      </c>
      <c r="X240" s="9">
        <f t="shared" si="33"/>
        <v>45444</v>
      </c>
      <c r="Y240">
        <f t="shared" si="34"/>
        <v>93</v>
      </c>
      <c r="Z240" t="str">
        <f t="shared" si="35"/>
        <v>Medium Risk</v>
      </c>
    </row>
    <row r="241" spans="1:26" x14ac:dyDescent="0.4">
      <c r="A241" t="s">
        <v>1269</v>
      </c>
      <c r="B241" t="s">
        <v>669</v>
      </c>
      <c r="C241" t="s">
        <v>18</v>
      </c>
      <c r="D241" t="s">
        <v>1270</v>
      </c>
      <c r="E241" t="s">
        <v>1271</v>
      </c>
      <c r="F241">
        <v>75</v>
      </c>
      <c r="G241">
        <v>46</v>
      </c>
      <c r="H241">
        <v>75</v>
      </c>
      <c r="I241" t="s">
        <v>671</v>
      </c>
      <c r="J241" s="7">
        <f t="shared" si="27"/>
        <v>9.5</v>
      </c>
      <c r="K241" t="s">
        <v>893</v>
      </c>
      <c r="L241" s="1">
        <f t="shared" si="28"/>
        <v>45530</v>
      </c>
      <c r="M241" t="s">
        <v>179</v>
      </c>
      <c r="N241" s="1">
        <f t="shared" si="29"/>
        <v>45565</v>
      </c>
      <c r="O241" t="s">
        <v>1272</v>
      </c>
      <c r="P241" s="1">
        <f t="shared" si="30"/>
        <v>45591</v>
      </c>
      <c r="Q241" t="s">
        <v>1273</v>
      </c>
      <c r="R241">
        <v>43</v>
      </c>
      <c r="S241">
        <v>77</v>
      </c>
      <c r="T241" t="s">
        <v>42</v>
      </c>
      <c r="U241" s="8">
        <v>408.5</v>
      </c>
      <c r="V241" s="8">
        <f t="shared" si="31"/>
        <v>712.5</v>
      </c>
      <c r="W241" t="str">
        <f t="shared" si="32"/>
        <v>Sufficient Stock</v>
      </c>
      <c r="X241" s="9">
        <f t="shared" si="33"/>
        <v>45505</v>
      </c>
      <c r="Y241">
        <f t="shared" si="34"/>
        <v>61</v>
      </c>
      <c r="Z241" t="str">
        <f t="shared" si="35"/>
        <v>High Risk</v>
      </c>
    </row>
    <row r="242" spans="1:26" x14ac:dyDescent="0.4">
      <c r="A242" t="s">
        <v>1274</v>
      </c>
      <c r="B242" t="s">
        <v>595</v>
      </c>
      <c r="C242" t="s">
        <v>112</v>
      </c>
      <c r="D242" t="s">
        <v>1275</v>
      </c>
      <c r="E242" t="s">
        <v>1276</v>
      </c>
      <c r="F242">
        <v>96</v>
      </c>
      <c r="G242">
        <v>16</v>
      </c>
      <c r="H242">
        <v>48</v>
      </c>
      <c r="I242" t="s">
        <v>220</v>
      </c>
      <c r="J242" s="7">
        <f t="shared" si="27"/>
        <v>5</v>
      </c>
      <c r="K242" s="1">
        <v>45393</v>
      </c>
      <c r="L242" s="1">
        <f t="shared" si="28"/>
        <v>45393</v>
      </c>
      <c r="M242" s="1">
        <v>45386</v>
      </c>
      <c r="N242" s="1">
        <f t="shared" si="29"/>
        <v>45386</v>
      </c>
      <c r="O242" t="s">
        <v>321</v>
      </c>
      <c r="P242" s="1">
        <f t="shared" si="30"/>
        <v>45683</v>
      </c>
      <c r="Q242" t="s">
        <v>1277</v>
      </c>
      <c r="R242">
        <v>45</v>
      </c>
      <c r="S242">
        <v>68</v>
      </c>
      <c r="T242" t="s">
        <v>51</v>
      </c>
      <c r="U242" s="8">
        <v>225</v>
      </c>
      <c r="V242" s="8">
        <f t="shared" si="31"/>
        <v>480</v>
      </c>
      <c r="W242" t="str">
        <f t="shared" si="32"/>
        <v>Sufficient Stock</v>
      </c>
      <c r="X242" s="9">
        <f t="shared" si="33"/>
        <v>45383</v>
      </c>
      <c r="Y242">
        <f t="shared" si="34"/>
        <v>290</v>
      </c>
      <c r="Z242" t="str">
        <f t="shared" si="35"/>
        <v>Low Risk</v>
      </c>
    </row>
    <row r="243" spans="1:26" x14ac:dyDescent="0.4">
      <c r="A243" t="s">
        <v>1278</v>
      </c>
      <c r="B243" t="s">
        <v>263</v>
      </c>
      <c r="C243" t="s">
        <v>169</v>
      </c>
      <c r="D243" t="s">
        <v>1279</v>
      </c>
      <c r="E243" t="s">
        <v>1280</v>
      </c>
      <c r="F243">
        <v>17</v>
      </c>
      <c r="G243">
        <v>38</v>
      </c>
      <c r="H243">
        <v>93</v>
      </c>
      <c r="I243" t="s">
        <v>266</v>
      </c>
      <c r="J243" s="7">
        <f t="shared" si="27"/>
        <v>9</v>
      </c>
      <c r="K243" t="s">
        <v>180</v>
      </c>
      <c r="L243" s="1">
        <f t="shared" si="28"/>
        <v>45702</v>
      </c>
      <c r="M243" t="s">
        <v>421</v>
      </c>
      <c r="N243" s="1">
        <f t="shared" si="29"/>
        <v>45524</v>
      </c>
      <c r="O243" t="s">
        <v>358</v>
      </c>
      <c r="P243" s="1">
        <f t="shared" si="30"/>
        <v>45501</v>
      </c>
      <c r="Q243" t="s">
        <v>1281</v>
      </c>
      <c r="R243">
        <v>100</v>
      </c>
      <c r="S243">
        <v>63</v>
      </c>
      <c r="T243" t="s">
        <v>51</v>
      </c>
      <c r="U243" s="8">
        <v>900</v>
      </c>
      <c r="V243" s="8">
        <f t="shared" si="31"/>
        <v>153</v>
      </c>
      <c r="W243" t="str">
        <f t="shared" si="32"/>
        <v>Reorder Required</v>
      </c>
      <c r="X243" s="9">
        <f t="shared" si="33"/>
        <v>45689</v>
      </c>
      <c r="Y243">
        <f t="shared" si="34"/>
        <v>-201</v>
      </c>
      <c r="Z243" t="str">
        <f t="shared" si="35"/>
        <v>Invalid Data</v>
      </c>
    </row>
    <row r="244" spans="1:26" x14ac:dyDescent="0.4">
      <c r="A244" t="s">
        <v>1282</v>
      </c>
      <c r="B244" t="s">
        <v>88</v>
      </c>
      <c r="C244" t="s">
        <v>77</v>
      </c>
      <c r="D244" t="s">
        <v>1283</v>
      </c>
      <c r="E244" t="s">
        <v>1284</v>
      </c>
      <c r="F244">
        <v>23</v>
      </c>
      <c r="G244">
        <v>38</v>
      </c>
      <c r="H244">
        <v>25</v>
      </c>
      <c r="I244" t="s">
        <v>91</v>
      </c>
      <c r="J244" s="7">
        <f t="shared" si="27"/>
        <v>1</v>
      </c>
      <c r="K244" t="s">
        <v>725</v>
      </c>
      <c r="L244" s="1">
        <f t="shared" si="28"/>
        <v>45425</v>
      </c>
      <c r="M244" t="s">
        <v>1116</v>
      </c>
      <c r="N244" s="1">
        <f t="shared" si="29"/>
        <v>45709</v>
      </c>
      <c r="O244" t="s">
        <v>479</v>
      </c>
      <c r="P244" s="1">
        <f t="shared" si="30"/>
        <v>45672</v>
      </c>
      <c r="Q244" t="s">
        <v>1285</v>
      </c>
      <c r="R244">
        <v>84</v>
      </c>
      <c r="S244">
        <v>78</v>
      </c>
      <c r="T244" t="s">
        <v>26</v>
      </c>
      <c r="U244" s="8">
        <v>84</v>
      </c>
      <c r="V244" s="8">
        <f t="shared" si="31"/>
        <v>23</v>
      </c>
      <c r="W244" t="str">
        <f t="shared" si="32"/>
        <v>Reorder Required</v>
      </c>
      <c r="X244" s="9">
        <f t="shared" si="33"/>
        <v>45413</v>
      </c>
      <c r="Y244">
        <f t="shared" si="34"/>
        <v>247</v>
      </c>
      <c r="Z244" t="str">
        <f t="shared" si="35"/>
        <v>Low Risk</v>
      </c>
    </row>
    <row r="245" spans="1:26" x14ac:dyDescent="0.4">
      <c r="A245" t="s">
        <v>1286</v>
      </c>
      <c r="B245" t="s">
        <v>733</v>
      </c>
      <c r="C245" t="s">
        <v>54</v>
      </c>
      <c r="D245" t="s">
        <v>1287</v>
      </c>
      <c r="E245" t="s">
        <v>513</v>
      </c>
      <c r="F245">
        <v>15</v>
      </c>
      <c r="G245">
        <v>27</v>
      </c>
      <c r="H245">
        <v>21</v>
      </c>
      <c r="I245" t="s">
        <v>57</v>
      </c>
      <c r="J245" s="7">
        <f t="shared" si="27"/>
        <v>4</v>
      </c>
      <c r="K245" s="1">
        <v>45602</v>
      </c>
      <c r="L245" s="1">
        <f t="shared" si="28"/>
        <v>45602</v>
      </c>
      <c r="M245" t="s">
        <v>1116</v>
      </c>
      <c r="N245" s="1">
        <f t="shared" si="29"/>
        <v>45709</v>
      </c>
      <c r="O245" s="1">
        <v>45360</v>
      </c>
      <c r="P245" s="1">
        <f t="shared" si="30"/>
        <v>45360</v>
      </c>
      <c r="Q245" t="s">
        <v>1288</v>
      </c>
      <c r="R245">
        <v>37</v>
      </c>
      <c r="S245">
        <v>67</v>
      </c>
      <c r="T245" t="s">
        <v>42</v>
      </c>
      <c r="U245" s="8">
        <v>148</v>
      </c>
      <c r="V245" s="8">
        <f t="shared" si="31"/>
        <v>60</v>
      </c>
      <c r="W245" t="str">
        <f t="shared" si="32"/>
        <v>Reorder Required</v>
      </c>
      <c r="X245" s="9">
        <f t="shared" si="33"/>
        <v>45597</v>
      </c>
      <c r="Y245">
        <f t="shared" si="34"/>
        <v>-242</v>
      </c>
      <c r="Z245" t="str">
        <f t="shared" si="35"/>
        <v>Invalid Data</v>
      </c>
    </row>
    <row r="246" spans="1:26" x14ac:dyDescent="0.4">
      <c r="A246" t="s">
        <v>1289</v>
      </c>
      <c r="B246" t="s">
        <v>1290</v>
      </c>
      <c r="C246" t="s">
        <v>169</v>
      </c>
      <c r="D246" t="s">
        <v>1291</v>
      </c>
      <c r="E246" t="s">
        <v>1292</v>
      </c>
      <c r="F246">
        <v>71</v>
      </c>
      <c r="G246">
        <v>7</v>
      </c>
      <c r="H246">
        <v>6</v>
      </c>
      <c r="I246" t="s">
        <v>1293</v>
      </c>
      <c r="J246" s="7">
        <f t="shared" si="27"/>
        <v>7.5</v>
      </c>
      <c r="K246" t="s">
        <v>802</v>
      </c>
      <c r="L246" s="1">
        <f t="shared" si="28"/>
        <v>45533</v>
      </c>
      <c r="M246" s="1">
        <v>45334</v>
      </c>
      <c r="N246" s="1">
        <f t="shared" si="29"/>
        <v>45334</v>
      </c>
      <c r="O246" s="1">
        <v>45391</v>
      </c>
      <c r="P246" s="1">
        <f t="shared" si="30"/>
        <v>45391</v>
      </c>
      <c r="Q246" t="s">
        <v>1294</v>
      </c>
      <c r="R246">
        <v>52</v>
      </c>
      <c r="S246">
        <v>68</v>
      </c>
      <c r="T246" t="s">
        <v>42</v>
      </c>
      <c r="U246" s="8">
        <v>390</v>
      </c>
      <c r="V246" s="8">
        <f t="shared" si="31"/>
        <v>532.5</v>
      </c>
      <c r="W246" t="str">
        <f t="shared" si="32"/>
        <v>Sufficient Stock</v>
      </c>
      <c r="X246" s="9">
        <f t="shared" si="33"/>
        <v>45505</v>
      </c>
      <c r="Y246">
        <f t="shared" si="34"/>
        <v>-142</v>
      </c>
      <c r="Z246" t="str">
        <f t="shared" si="35"/>
        <v>Invalid Data</v>
      </c>
    </row>
    <row r="247" spans="1:26" x14ac:dyDescent="0.4">
      <c r="A247" t="s">
        <v>1295</v>
      </c>
      <c r="B247" t="s">
        <v>76</v>
      </c>
      <c r="C247" t="s">
        <v>77</v>
      </c>
      <c r="D247" t="s">
        <v>1296</v>
      </c>
      <c r="E247" t="s">
        <v>1297</v>
      </c>
      <c r="F247">
        <v>97</v>
      </c>
      <c r="G247">
        <v>26</v>
      </c>
      <c r="H247">
        <v>15</v>
      </c>
      <c r="I247" t="s">
        <v>71</v>
      </c>
      <c r="J247" s="7">
        <f t="shared" si="27"/>
        <v>2.5</v>
      </c>
      <c r="K247" t="s">
        <v>222</v>
      </c>
      <c r="L247" s="1">
        <f t="shared" si="28"/>
        <v>45525</v>
      </c>
      <c r="M247" s="1">
        <v>45718</v>
      </c>
      <c r="N247" s="1">
        <f t="shared" si="29"/>
        <v>45718</v>
      </c>
      <c r="O247" s="1">
        <v>45576</v>
      </c>
      <c r="P247" s="1">
        <f t="shared" si="30"/>
        <v>45576</v>
      </c>
      <c r="Q247" t="s">
        <v>1298</v>
      </c>
      <c r="R247">
        <v>33</v>
      </c>
      <c r="S247">
        <v>58</v>
      </c>
      <c r="T247" t="s">
        <v>26</v>
      </c>
      <c r="U247" s="8">
        <v>82.5</v>
      </c>
      <c r="V247" s="8">
        <f t="shared" si="31"/>
        <v>242.5</v>
      </c>
      <c r="W247" t="str">
        <f t="shared" si="32"/>
        <v>Sufficient Stock</v>
      </c>
      <c r="X247" s="9">
        <f t="shared" si="33"/>
        <v>45505</v>
      </c>
      <c r="Y247">
        <f t="shared" si="34"/>
        <v>51</v>
      </c>
      <c r="Z247" t="str">
        <f t="shared" si="35"/>
        <v>High Risk</v>
      </c>
    </row>
    <row r="248" spans="1:26" x14ac:dyDescent="0.4">
      <c r="A248" t="s">
        <v>1299</v>
      </c>
      <c r="B248" t="s">
        <v>290</v>
      </c>
      <c r="C248" t="s">
        <v>54</v>
      </c>
      <c r="D248" t="s">
        <v>1300</v>
      </c>
      <c r="E248" t="s">
        <v>371</v>
      </c>
      <c r="F248">
        <v>29</v>
      </c>
      <c r="G248">
        <v>18</v>
      </c>
      <c r="H248">
        <v>86</v>
      </c>
      <c r="I248" t="s">
        <v>71</v>
      </c>
      <c r="J248" s="7">
        <f t="shared" si="27"/>
        <v>2.5</v>
      </c>
      <c r="K248" t="s">
        <v>420</v>
      </c>
      <c r="L248" s="1">
        <f t="shared" si="28"/>
        <v>45589</v>
      </c>
      <c r="M248" t="s">
        <v>141</v>
      </c>
      <c r="N248" s="1">
        <f t="shared" si="29"/>
        <v>45612</v>
      </c>
      <c r="O248" s="1">
        <v>45601</v>
      </c>
      <c r="P248" s="1">
        <f t="shared" si="30"/>
        <v>45601</v>
      </c>
      <c r="Q248" t="s">
        <v>1301</v>
      </c>
      <c r="R248">
        <v>53</v>
      </c>
      <c r="S248">
        <v>69</v>
      </c>
      <c r="T248" t="s">
        <v>51</v>
      </c>
      <c r="U248" s="8">
        <v>132.5</v>
      </c>
      <c r="V248" s="8">
        <f t="shared" si="31"/>
        <v>72.5</v>
      </c>
      <c r="W248" t="str">
        <f t="shared" si="32"/>
        <v>Sufficient Stock</v>
      </c>
      <c r="X248" s="9">
        <f t="shared" si="33"/>
        <v>45566</v>
      </c>
      <c r="Y248">
        <f t="shared" si="34"/>
        <v>12</v>
      </c>
      <c r="Z248" t="str">
        <f t="shared" si="35"/>
        <v>Critical</v>
      </c>
    </row>
    <row r="249" spans="1:26" x14ac:dyDescent="0.4">
      <c r="A249" t="s">
        <v>1302</v>
      </c>
      <c r="B249" t="s">
        <v>498</v>
      </c>
      <c r="C249" t="s">
        <v>54</v>
      </c>
      <c r="D249" t="s">
        <v>1303</v>
      </c>
      <c r="E249" t="s">
        <v>1271</v>
      </c>
      <c r="F249">
        <v>46</v>
      </c>
      <c r="G249">
        <v>64</v>
      </c>
      <c r="H249">
        <v>17</v>
      </c>
      <c r="I249" t="s">
        <v>1304</v>
      </c>
      <c r="J249" s="7">
        <f t="shared" si="27"/>
        <v>4.5999999999999996</v>
      </c>
      <c r="K249" s="1">
        <v>45294</v>
      </c>
      <c r="L249" s="1">
        <f t="shared" si="28"/>
        <v>45294</v>
      </c>
      <c r="M249" s="1">
        <v>45809</v>
      </c>
      <c r="N249" s="1">
        <f t="shared" si="29"/>
        <v>45809</v>
      </c>
      <c r="O249" t="s">
        <v>450</v>
      </c>
      <c r="P249" s="1">
        <f t="shared" si="30"/>
        <v>45688</v>
      </c>
      <c r="Q249" t="s">
        <v>1305</v>
      </c>
      <c r="R249">
        <v>96</v>
      </c>
      <c r="S249">
        <v>55</v>
      </c>
      <c r="T249" t="s">
        <v>26</v>
      </c>
      <c r="U249" s="8">
        <v>441.59999999999997</v>
      </c>
      <c r="V249" s="8">
        <f t="shared" si="31"/>
        <v>211.6</v>
      </c>
      <c r="W249" t="str">
        <f t="shared" si="32"/>
        <v>Reorder Required</v>
      </c>
      <c r="X249" s="9">
        <f t="shared" si="33"/>
        <v>45292</v>
      </c>
      <c r="Y249">
        <f t="shared" si="34"/>
        <v>394</v>
      </c>
      <c r="Z249" t="str">
        <f t="shared" si="35"/>
        <v>Safe</v>
      </c>
    </row>
    <row r="250" spans="1:26" x14ac:dyDescent="0.4">
      <c r="A250" t="s">
        <v>1306</v>
      </c>
      <c r="B250" t="s">
        <v>602</v>
      </c>
      <c r="C250" t="s">
        <v>77</v>
      </c>
      <c r="D250" t="s">
        <v>1307</v>
      </c>
      <c r="E250" t="s">
        <v>1019</v>
      </c>
      <c r="F250">
        <v>76</v>
      </c>
      <c r="G250">
        <v>15</v>
      </c>
      <c r="H250">
        <v>99</v>
      </c>
      <c r="I250" t="s">
        <v>671</v>
      </c>
      <c r="J250" s="7">
        <f t="shared" si="27"/>
        <v>9.5</v>
      </c>
      <c r="K250" s="1">
        <v>45659</v>
      </c>
      <c r="L250" s="1">
        <f t="shared" si="28"/>
        <v>45659</v>
      </c>
      <c r="M250" t="s">
        <v>955</v>
      </c>
      <c r="N250" s="1">
        <f t="shared" si="29"/>
        <v>45499</v>
      </c>
      <c r="O250" s="1">
        <v>45448</v>
      </c>
      <c r="P250" s="1">
        <f t="shared" si="30"/>
        <v>45448</v>
      </c>
      <c r="Q250" t="s">
        <v>1308</v>
      </c>
      <c r="R250">
        <v>60</v>
      </c>
      <c r="S250">
        <v>49</v>
      </c>
      <c r="T250" t="s">
        <v>26</v>
      </c>
      <c r="U250" s="8">
        <v>570</v>
      </c>
      <c r="V250" s="8">
        <f t="shared" si="31"/>
        <v>722</v>
      </c>
      <c r="W250" t="str">
        <f t="shared" si="32"/>
        <v>Sufficient Stock</v>
      </c>
      <c r="X250" s="9">
        <f t="shared" si="33"/>
        <v>45658</v>
      </c>
      <c r="Y250">
        <f t="shared" si="34"/>
        <v>-211</v>
      </c>
      <c r="Z250" t="str">
        <f t="shared" si="35"/>
        <v>Invalid Data</v>
      </c>
    </row>
    <row r="251" spans="1:26" x14ac:dyDescent="0.4">
      <c r="A251" t="s">
        <v>1309</v>
      </c>
      <c r="B251" t="s">
        <v>290</v>
      </c>
      <c r="C251" t="s">
        <v>54</v>
      </c>
      <c r="D251" t="s">
        <v>1310</v>
      </c>
      <c r="E251" t="s">
        <v>1019</v>
      </c>
      <c r="F251">
        <v>59</v>
      </c>
      <c r="G251">
        <v>91</v>
      </c>
      <c r="H251">
        <v>24</v>
      </c>
      <c r="I251" t="s">
        <v>71</v>
      </c>
      <c r="J251" s="7">
        <f t="shared" si="27"/>
        <v>2.5</v>
      </c>
      <c r="K251" t="s">
        <v>526</v>
      </c>
      <c r="L251" s="1">
        <f t="shared" si="28"/>
        <v>45592</v>
      </c>
      <c r="M251" t="s">
        <v>23</v>
      </c>
      <c r="N251" s="1">
        <f t="shared" si="29"/>
        <v>45472</v>
      </c>
      <c r="O251" t="s">
        <v>1311</v>
      </c>
      <c r="P251" s="1">
        <f t="shared" si="30"/>
        <v>45642</v>
      </c>
      <c r="Q251" t="s">
        <v>1312</v>
      </c>
      <c r="R251">
        <v>54</v>
      </c>
      <c r="S251">
        <v>87</v>
      </c>
      <c r="T251" t="s">
        <v>51</v>
      </c>
      <c r="U251" s="8">
        <v>135</v>
      </c>
      <c r="V251" s="8">
        <f t="shared" si="31"/>
        <v>147.5</v>
      </c>
      <c r="W251" t="str">
        <f t="shared" si="32"/>
        <v>Reorder Required</v>
      </c>
      <c r="X251" s="9">
        <f t="shared" si="33"/>
        <v>45566</v>
      </c>
      <c r="Y251">
        <f t="shared" si="34"/>
        <v>50</v>
      </c>
      <c r="Z251" t="str">
        <f t="shared" si="35"/>
        <v>High Risk</v>
      </c>
    </row>
    <row r="252" spans="1:26" x14ac:dyDescent="0.4">
      <c r="A252" t="s">
        <v>1313</v>
      </c>
      <c r="B252" t="s">
        <v>375</v>
      </c>
      <c r="C252" t="s">
        <v>54</v>
      </c>
      <c r="D252" t="s">
        <v>1314</v>
      </c>
      <c r="E252" t="s">
        <v>1315</v>
      </c>
      <c r="F252">
        <v>92</v>
      </c>
      <c r="G252">
        <v>54</v>
      </c>
      <c r="H252">
        <v>73</v>
      </c>
      <c r="I252" t="s">
        <v>1316</v>
      </c>
      <c r="J252" s="7">
        <f t="shared" si="27"/>
        <v>3.1</v>
      </c>
      <c r="K252" s="1">
        <v>45840</v>
      </c>
      <c r="L252" s="1">
        <f t="shared" si="28"/>
        <v>45840</v>
      </c>
      <c r="M252" t="s">
        <v>719</v>
      </c>
      <c r="N252" s="1">
        <f t="shared" si="29"/>
        <v>45674</v>
      </c>
      <c r="O252" t="s">
        <v>115</v>
      </c>
      <c r="P252" s="1">
        <f t="shared" si="30"/>
        <v>45639</v>
      </c>
      <c r="Q252" t="s">
        <v>1317</v>
      </c>
      <c r="R252">
        <v>79</v>
      </c>
      <c r="S252">
        <v>1</v>
      </c>
      <c r="T252" t="s">
        <v>42</v>
      </c>
      <c r="U252" s="8">
        <v>244.9</v>
      </c>
      <c r="V252" s="8">
        <f t="shared" si="31"/>
        <v>285.2</v>
      </c>
      <c r="W252" t="str">
        <f t="shared" si="32"/>
        <v>Sufficient Stock</v>
      </c>
      <c r="X252" s="9">
        <f t="shared" si="33"/>
        <v>45839</v>
      </c>
      <c r="Y252">
        <f t="shared" si="34"/>
        <v>-201</v>
      </c>
      <c r="Z252" t="str">
        <f t="shared" si="35"/>
        <v>Invalid Data</v>
      </c>
    </row>
    <row r="253" spans="1:26" x14ac:dyDescent="0.4">
      <c r="A253" t="s">
        <v>1318</v>
      </c>
      <c r="B253" t="s">
        <v>350</v>
      </c>
      <c r="C253" t="s">
        <v>54</v>
      </c>
      <c r="D253" t="s">
        <v>1319</v>
      </c>
      <c r="E253" t="s">
        <v>1187</v>
      </c>
      <c r="F253">
        <v>28</v>
      </c>
      <c r="G253">
        <v>27</v>
      </c>
      <c r="H253">
        <v>22</v>
      </c>
      <c r="I253" t="s">
        <v>39</v>
      </c>
      <c r="J253" s="7">
        <f t="shared" si="27"/>
        <v>6</v>
      </c>
      <c r="K253" t="s">
        <v>372</v>
      </c>
      <c r="L253" s="1">
        <f t="shared" si="28"/>
        <v>45427</v>
      </c>
      <c r="M253" t="s">
        <v>700</v>
      </c>
      <c r="N253" s="1">
        <f t="shared" si="29"/>
        <v>45519</v>
      </c>
      <c r="O253" s="1">
        <v>45601</v>
      </c>
      <c r="P253" s="1">
        <f t="shared" si="30"/>
        <v>45601</v>
      </c>
      <c r="Q253" t="s">
        <v>1320</v>
      </c>
      <c r="R253">
        <v>70</v>
      </c>
      <c r="S253">
        <v>30</v>
      </c>
      <c r="T253" t="s">
        <v>26</v>
      </c>
      <c r="U253" s="8">
        <v>420</v>
      </c>
      <c r="V253" s="8">
        <f t="shared" si="31"/>
        <v>168</v>
      </c>
      <c r="W253" t="str">
        <f t="shared" si="32"/>
        <v>Sufficient Stock</v>
      </c>
      <c r="X253" s="9">
        <f t="shared" si="33"/>
        <v>45413</v>
      </c>
      <c r="Y253">
        <f t="shared" si="34"/>
        <v>174</v>
      </c>
      <c r="Z253" t="str">
        <f t="shared" si="35"/>
        <v>Medium Risk</v>
      </c>
    </row>
    <row r="254" spans="1:26" x14ac:dyDescent="0.4">
      <c r="A254" t="s">
        <v>1321</v>
      </c>
      <c r="B254" t="s">
        <v>698</v>
      </c>
      <c r="C254" t="s">
        <v>54</v>
      </c>
      <c r="D254" t="s">
        <v>1322</v>
      </c>
      <c r="E254" t="s">
        <v>1323</v>
      </c>
      <c r="F254">
        <v>19</v>
      </c>
      <c r="G254">
        <v>47</v>
      </c>
      <c r="H254">
        <v>25</v>
      </c>
      <c r="I254" t="s">
        <v>220</v>
      </c>
      <c r="J254" s="7">
        <f t="shared" si="27"/>
        <v>5</v>
      </c>
      <c r="K254" t="s">
        <v>99</v>
      </c>
      <c r="L254" s="1">
        <f t="shared" si="28"/>
        <v>45644</v>
      </c>
      <c r="M254" t="s">
        <v>214</v>
      </c>
      <c r="N254" s="1">
        <f t="shared" si="29"/>
        <v>45712</v>
      </c>
      <c r="O254" t="s">
        <v>366</v>
      </c>
      <c r="P254" s="1">
        <f t="shared" si="30"/>
        <v>45685</v>
      </c>
      <c r="Q254" t="s">
        <v>1324</v>
      </c>
      <c r="R254">
        <v>96</v>
      </c>
      <c r="S254">
        <v>37</v>
      </c>
      <c r="T254" t="s">
        <v>26</v>
      </c>
      <c r="U254" s="8">
        <v>480</v>
      </c>
      <c r="V254" s="8">
        <f t="shared" si="31"/>
        <v>95</v>
      </c>
      <c r="W254" t="str">
        <f t="shared" si="32"/>
        <v>Reorder Required</v>
      </c>
      <c r="X254" s="9">
        <f t="shared" si="33"/>
        <v>45627</v>
      </c>
      <c r="Y254">
        <f t="shared" si="34"/>
        <v>41</v>
      </c>
      <c r="Z254" t="str">
        <f t="shared" si="35"/>
        <v>High Risk</v>
      </c>
    </row>
    <row r="255" spans="1:26" x14ac:dyDescent="0.4">
      <c r="A255" t="s">
        <v>1325</v>
      </c>
      <c r="B255" t="s">
        <v>325</v>
      </c>
      <c r="C255" t="s">
        <v>77</v>
      </c>
      <c r="D255" t="s">
        <v>1326</v>
      </c>
      <c r="E255" t="s">
        <v>950</v>
      </c>
      <c r="F255">
        <v>85</v>
      </c>
      <c r="G255">
        <v>28</v>
      </c>
      <c r="H255">
        <v>21</v>
      </c>
      <c r="I255" t="s">
        <v>85</v>
      </c>
      <c r="J255" s="7">
        <f t="shared" si="27"/>
        <v>3</v>
      </c>
      <c r="K255" t="s">
        <v>421</v>
      </c>
      <c r="L255" s="1">
        <f t="shared" si="28"/>
        <v>45524</v>
      </c>
      <c r="M255" t="s">
        <v>127</v>
      </c>
      <c r="N255" s="1">
        <f t="shared" si="29"/>
        <v>45473</v>
      </c>
      <c r="O255" s="1">
        <v>45632</v>
      </c>
      <c r="P255" s="1">
        <f t="shared" si="30"/>
        <v>45632</v>
      </c>
      <c r="Q255" t="s">
        <v>1327</v>
      </c>
      <c r="R255">
        <v>45</v>
      </c>
      <c r="S255">
        <v>89</v>
      </c>
      <c r="T255" t="s">
        <v>51</v>
      </c>
      <c r="U255" s="8">
        <v>135</v>
      </c>
      <c r="V255" s="8">
        <f t="shared" si="31"/>
        <v>255</v>
      </c>
      <c r="W255" t="str">
        <f t="shared" si="32"/>
        <v>Sufficient Stock</v>
      </c>
      <c r="X255" s="9">
        <f t="shared" si="33"/>
        <v>45505</v>
      </c>
      <c r="Y255">
        <f t="shared" si="34"/>
        <v>108</v>
      </c>
      <c r="Z255" t="str">
        <f t="shared" si="35"/>
        <v>Medium Risk</v>
      </c>
    </row>
    <row r="256" spans="1:26" x14ac:dyDescent="0.4">
      <c r="A256" t="s">
        <v>1328</v>
      </c>
      <c r="B256" t="s">
        <v>138</v>
      </c>
      <c r="C256" t="s">
        <v>18</v>
      </c>
      <c r="D256" t="s">
        <v>1329</v>
      </c>
      <c r="E256" t="s">
        <v>1330</v>
      </c>
      <c r="F256">
        <v>57</v>
      </c>
      <c r="G256">
        <v>63</v>
      </c>
      <c r="H256">
        <v>41</v>
      </c>
      <c r="I256" t="s">
        <v>47</v>
      </c>
      <c r="J256" s="7">
        <f t="shared" si="27"/>
        <v>1.5</v>
      </c>
      <c r="K256" t="s">
        <v>1331</v>
      </c>
      <c r="L256" s="1">
        <f t="shared" si="28"/>
        <v>45529</v>
      </c>
      <c r="M256" t="s">
        <v>598</v>
      </c>
      <c r="N256" s="1">
        <f t="shared" si="29"/>
        <v>45705</v>
      </c>
      <c r="O256" t="s">
        <v>287</v>
      </c>
      <c r="P256" s="1">
        <f t="shared" si="30"/>
        <v>45595</v>
      </c>
      <c r="Q256" t="s">
        <v>1332</v>
      </c>
      <c r="R256">
        <v>53</v>
      </c>
      <c r="S256">
        <v>94</v>
      </c>
      <c r="T256" t="s">
        <v>26</v>
      </c>
      <c r="U256" s="8">
        <v>79.5</v>
      </c>
      <c r="V256" s="8">
        <f t="shared" si="31"/>
        <v>85.5</v>
      </c>
      <c r="W256" t="str">
        <f t="shared" si="32"/>
        <v>Reorder Required</v>
      </c>
      <c r="X256" s="9">
        <f t="shared" si="33"/>
        <v>45505</v>
      </c>
      <c r="Y256">
        <f t="shared" si="34"/>
        <v>66</v>
      </c>
      <c r="Z256" t="str">
        <f t="shared" si="35"/>
        <v>High Risk</v>
      </c>
    </row>
    <row r="257" spans="1:26" x14ac:dyDescent="0.4">
      <c r="A257" t="s">
        <v>1333</v>
      </c>
      <c r="B257" t="s">
        <v>476</v>
      </c>
      <c r="C257" t="s">
        <v>54</v>
      </c>
      <c r="D257" t="s">
        <v>1334</v>
      </c>
      <c r="E257" t="s">
        <v>1335</v>
      </c>
      <c r="F257">
        <v>95</v>
      </c>
      <c r="G257">
        <v>29</v>
      </c>
      <c r="H257">
        <v>28</v>
      </c>
      <c r="I257" t="s">
        <v>57</v>
      </c>
      <c r="J257" s="7">
        <f t="shared" si="27"/>
        <v>4</v>
      </c>
      <c r="K257" t="s">
        <v>1111</v>
      </c>
      <c r="L257" s="1">
        <f t="shared" si="28"/>
        <v>45493</v>
      </c>
      <c r="M257" t="s">
        <v>467</v>
      </c>
      <c r="N257" s="1">
        <f t="shared" si="29"/>
        <v>45673</v>
      </c>
      <c r="O257" t="s">
        <v>618</v>
      </c>
      <c r="P257" s="1">
        <f t="shared" si="30"/>
        <v>45432</v>
      </c>
      <c r="Q257" t="s">
        <v>1336</v>
      </c>
      <c r="R257">
        <v>52</v>
      </c>
      <c r="S257">
        <v>46</v>
      </c>
      <c r="T257" t="s">
        <v>26</v>
      </c>
      <c r="U257" s="8">
        <v>208</v>
      </c>
      <c r="V257" s="8">
        <f t="shared" si="31"/>
        <v>380</v>
      </c>
      <c r="W257" t="str">
        <f t="shared" si="32"/>
        <v>Sufficient Stock</v>
      </c>
      <c r="X257" s="9">
        <f t="shared" si="33"/>
        <v>45474</v>
      </c>
      <c r="Y257">
        <f t="shared" si="34"/>
        <v>-61</v>
      </c>
      <c r="Z257" t="str">
        <f t="shared" si="35"/>
        <v>Invalid Data</v>
      </c>
    </row>
    <row r="258" spans="1:26" x14ac:dyDescent="0.4">
      <c r="A258" t="s">
        <v>1337</v>
      </c>
      <c r="B258" t="s">
        <v>17</v>
      </c>
      <c r="C258" t="s">
        <v>18</v>
      </c>
      <c r="D258" t="s">
        <v>1338</v>
      </c>
      <c r="E258" t="s">
        <v>1339</v>
      </c>
      <c r="F258">
        <v>84</v>
      </c>
      <c r="G258">
        <v>69</v>
      </c>
      <c r="H258">
        <v>77</v>
      </c>
      <c r="I258" t="s">
        <v>21</v>
      </c>
      <c r="J258" s="7">
        <f t="shared" si="27"/>
        <v>4.5</v>
      </c>
      <c r="K258" t="s">
        <v>1106</v>
      </c>
      <c r="L258" s="1">
        <f t="shared" si="28"/>
        <v>45679</v>
      </c>
      <c r="M258" t="s">
        <v>158</v>
      </c>
      <c r="N258" s="1">
        <f t="shared" si="29"/>
        <v>45654</v>
      </c>
      <c r="O258" s="1">
        <v>45297</v>
      </c>
      <c r="P258" s="1">
        <f t="shared" si="30"/>
        <v>45297</v>
      </c>
      <c r="Q258" t="s">
        <v>1340</v>
      </c>
      <c r="R258">
        <v>39</v>
      </c>
      <c r="S258">
        <v>69</v>
      </c>
      <c r="T258" t="s">
        <v>42</v>
      </c>
      <c r="U258" s="8">
        <v>175.5</v>
      </c>
      <c r="V258" s="8">
        <f t="shared" si="31"/>
        <v>378</v>
      </c>
      <c r="W258" t="str">
        <f t="shared" si="32"/>
        <v>Sufficient Stock</v>
      </c>
      <c r="X258" s="9">
        <f t="shared" si="33"/>
        <v>45658</v>
      </c>
      <c r="Y258">
        <f t="shared" si="34"/>
        <v>-382</v>
      </c>
      <c r="Z258" t="str">
        <f t="shared" si="35"/>
        <v>Invalid Data</v>
      </c>
    </row>
    <row r="259" spans="1:26" x14ac:dyDescent="0.4">
      <c r="A259" t="s">
        <v>1341</v>
      </c>
      <c r="B259" t="s">
        <v>627</v>
      </c>
      <c r="C259" t="s">
        <v>18</v>
      </c>
      <c r="D259" t="s">
        <v>1342</v>
      </c>
      <c r="E259" t="s">
        <v>613</v>
      </c>
      <c r="F259">
        <v>31</v>
      </c>
      <c r="G259">
        <v>32</v>
      </c>
      <c r="H259">
        <v>69</v>
      </c>
      <c r="I259" t="s">
        <v>106</v>
      </c>
      <c r="J259" s="7">
        <f t="shared" ref="J259:J322" si="36">VALUE(SUBSTITUTE(I259,"$",""))</f>
        <v>2</v>
      </c>
      <c r="K259" t="s">
        <v>462</v>
      </c>
      <c r="L259" s="1">
        <f t="shared" ref="L259:L322" si="37">IF(
ISNUMBER(K259),
K259,
DATE(
RIGHT(K259,4),
LEFT(K259,FIND("/",K259)-1),
MID(K259,FIND("/",K259)+1,FIND("/",K259,FIND("/",K259)+1)-FIND("/",K259)-1)
)
)</f>
        <v>45351</v>
      </c>
      <c r="M259" s="1">
        <v>45388</v>
      </c>
      <c r="N259" s="1">
        <f t="shared" ref="N259:N322" si="38">IF(
ISNUMBER(M259),
M259,
DATE(
RIGHT(M259,4),
LEFT(M259,FIND("/",M259)-1),
MID(M259,FIND("/",M259)+1,FIND("/",M259,FIND("/",M259)+1)-FIND("/",M259)-1)
)
)</f>
        <v>45388</v>
      </c>
      <c r="O259" t="s">
        <v>1343</v>
      </c>
      <c r="P259" s="1">
        <f t="shared" ref="P259:P322" si="39">IF(
ISNUMBER(O259),
O259,
DATE(
RIGHT(O259,4),
LEFT(O259,FIND("/",O259)-1),
MID(O259,FIND("/",O259)+1,FIND("/",O259,FIND("/",O259)+1)-FIND("/",O259)-1)
)
)</f>
        <v>45617</v>
      </c>
      <c r="Q259" t="s">
        <v>1344</v>
      </c>
      <c r="R259">
        <v>38</v>
      </c>
      <c r="S259">
        <v>23</v>
      </c>
      <c r="T259" t="s">
        <v>51</v>
      </c>
      <c r="U259" s="8">
        <v>76</v>
      </c>
      <c r="V259" s="8">
        <f t="shared" ref="V259:V322" si="40">F259*J259</f>
        <v>62</v>
      </c>
      <c r="W259" t="str">
        <f t="shared" ref="W259:W322" si="41">IF(F259&lt;=G259,"Reorder Required","Sufficient Stock")</f>
        <v>Reorder Required</v>
      </c>
      <c r="X259" s="9">
        <f t="shared" ref="X259:X322" si="42">DATE(YEAR(L259),MONTH(L259),1)</f>
        <v>45323</v>
      </c>
      <c r="Y259">
        <f t="shared" ref="Y259:Y322" si="43">P259-L259</f>
        <v>266</v>
      </c>
      <c r="Z259" t="str">
        <f t="shared" ref="Z259:Z322" si="44">IF(Y259&lt;0,"Invalid Data",
IF(Y259&lt;=30,"Critical",
IF(Y259&lt;=90,"High Risk",
IF(Y259&lt;=180,"Medium Risk",
IF(Y259&lt;=365,"Low Risk",
"Safe")))))</f>
        <v>Low Risk</v>
      </c>
    </row>
    <row r="260" spans="1:26" x14ac:dyDescent="0.4">
      <c r="A260" t="s">
        <v>1345</v>
      </c>
      <c r="B260" t="s">
        <v>225</v>
      </c>
      <c r="C260" t="s">
        <v>54</v>
      </c>
      <c r="D260" t="s">
        <v>1346</v>
      </c>
      <c r="E260" t="s">
        <v>1347</v>
      </c>
      <c r="F260">
        <v>41</v>
      </c>
      <c r="G260">
        <v>52</v>
      </c>
      <c r="H260">
        <v>75</v>
      </c>
      <c r="I260" t="s">
        <v>21</v>
      </c>
      <c r="J260" s="7">
        <f t="shared" si="36"/>
        <v>4.5</v>
      </c>
      <c r="K260" s="1">
        <v>45447</v>
      </c>
      <c r="L260" s="1">
        <f t="shared" si="37"/>
        <v>45447</v>
      </c>
      <c r="M260" t="s">
        <v>1234</v>
      </c>
      <c r="N260" s="1">
        <f t="shared" si="38"/>
        <v>45406</v>
      </c>
      <c r="O260" t="s">
        <v>244</v>
      </c>
      <c r="P260" s="1">
        <f t="shared" si="39"/>
        <v>45578</v>
      </c>
      <c r="Q260" t="s">
        <v>1348</v>
      </c>
      <c r="R260">
        <v>57</v>
      </c>
      <c r="S260">
        <v>62</v>
      </c>
      <c r="T260" t="s">
        <v>42</v>
      </c>
      <c r="U260" s="8">
        <v>256.5</v>
      </c>
      <c r="V260" s="8">
        <f t="shared" si="40"/>
        <v>184.5</v>
      </c>
      <c r="W260" t="str">
        <f t="shared" si="41"/>
        <v>Reorder Required</v>
      </c>
      <c r="X260" s="9">
        <f t="shared" si="42"/>
        <v>45444</v>
      </c>
      <c r="Y260">
        <f t="shared" si="43"/>
        <v>131</v>
      </c>
      <c r="Z260" t="str">
        <f t="shared" si="44"/>
        <v>Medium Risk</v>
      </c>
    </row>
    <row r="261" spans="1:26" x14ac:dyDescent="0.4">
      <c r="A261" t="s">
        <v>1349</v>
      </c>
      <c r="B261" t="s">
        <v>131</v>
      </c>
      <c r="C261" t="s">
        <v>77</v>
      </c>
      <c r="D261" t="s">
        <v>1350</v>
      </c>
      <c r="E261" t="s">
        <v>427</v>
      </c>
      <c r="F261">
        <v>97</v>
      </c>
      <c r="G261">
        <v>57</v>
      </c>
      <c r="H261">
        <v>84</v>
      </c>
      <c r="I261" t="s">
        <v>134</v>
      </c>
      <c r="J261" s="7">
        <f t="shared" si="36"/>
        <v>7</v>
      </c>
      <c r="K261" t="s">
        <v>1351</v>
      </c>
      <c r="L261" s="1">
        <f t="shared" si="37"/>
        <v>45562</v>
      </c>
      <c r="M261" t="s">
        <v>802</v>
      </c>
      <c r="N261" s="1">
        <f t="shared" si="38"/>
        <v>45533</v>
      </c>
      <c r="O261" s="1">
        <v>45810</v>
      </c>
      <c r="P261" s="1">
        <f t="shared" si="39"/>
        <v>45810</v>
      </c>
      <c r="Q261" t="s">
        <v>1352</v>
      </c>
      <c r="R261">
        <v>95</v>
      </c>
      <c r="S261">
        <v>28</v>
      </c>
      <c r="T261" t="s">
        <v>51</v>
      </c>
      <c r="U261" s="8">
        <v>665</v>
      </c>
      <c r="V261" s="8">
        <f t="shared" si="40"/>
        <v>679</v>
      </c>
      <c r="W261" t="str">
        <f t="shared" si="41"/>
        <v>Sufficient Stock</v>
      </c>
      <c r="X261" s="9">
        <f t="shared" si="42"/>
        <v>45536</v>
      </c>
      <c r="Y261">
        <f t="shared" si="43"/>
        <v>248</v>
      </c>
      <c r="Z261" t="str">
        <f t="shared" si="44"/>
        <v>Low Risk</v>
      </c>
    </row>
    <row r="262" spans="1:26" x14ac:dyDescent="0.4">
      <c r="A262" t="s">
        <v>1353</v>
      </c>
      <c r="B262" t="s">
        <v>1354</v>
      </c>
      <c r="C262" t="s">
        <v>77</v>
      </c>
      <c r="D262" t="s">
        <v>1355</v>
      </c>
      <c r="E262" t="s">
        <v>1356</v>
      </c>
      <c r="F262">
        <v>43</v>
      </c>
      <c r="G262">
        <v>88</v>
      </c>
      <c r="H262">
        <v>33</v>
      </c>
      <c r="I262" t="s">
        <v>91</v>
      </c>
      <c r="J262" s="7">
        <f t="shared" si="36"/>
        <v>1</v>
      </c>
      <c r="K262" t="s">
        <v>1357</v>
      </c>
      <c r="L262" s="1">
        <f t="shared" si="37"/>
        <v>45492</v>
      </c>
      <c r="M262" s="1">
        <v>45718</v>
      </c>
      <c r="N262" s="1">
        <f t="shared" si="38"/>
        <v>45718</v>
      </c>
      <c r="O262" t="s">
        <v>701</v>
      </c>
      <c r="P262" s="1">
        <f t="shared" si="39"/>
        <v>45649</v>
      </c>
      <c r="Q262" t="s">
        <v>1358</v>
      </c>
      <c r="R262">
        <v>84</v>
      </c>
      <c r="S262">
        <v>75</v>
      </c>
      <c r="T262" t="s">
        <v>26</v>
      </c>
      <c r="U262" s="8">
        <v>84</v>
      </c>
      <c r="V262" s="8">
        <f t="shared" si="40"/>
        <v>43</v>
      </c>
      <c r="W262" t="str">
        <f t="shared" si="41"/>
        <v>Reorder Required</v>
      </c>
      <c r="X262" s="9">
        <f t="shared" si="42"/>
        <v>45474</v>
      </c>
      <c r="Y262">
        <f t="shared" si="43"/>
        <v>157</v>
      </c>
      <c r="Z262" t="str">
        <f t="shared" si="44"/>
        <v>Medium Risk</v>
      </c>
    </row>
    <row r="263" spans="1:26" x14ac:dyDescent="0.4">
      <c r="A263" t="s">
        <v>1359</v>
      </c>
      <c r="B263" t="s">
        <v>607</v>
      </c>
      <c r="C263" t="s">
        <v>68</v>
      </c>
      <c r="D263" t="s">
        <v>1360</v>
      </c>
      <c r="E263" t="s">
        <v>97</v>
      </c>
      <c r="F263">
        <v>74</v>
      </c>
      <c r="G263">
        <v>4</v>
      </c>
      <c r="H263">
        <v>67</v>
      </c>
      <c r="I263" t="s">
        <v>466</v>
      </c>
      <c r="J263" s="7">
        <f t="shared" si="36"/>
        <v>1.8</v>
      </c>
      <c r="K263" t="s">
        <v>360</v>
      </c>
      <c r="L263" s="1">
        <f t="shared" si="37"/>
        <v>45377</v>
      </c>
      <c r="M263" t="s">
        <v>1053</v>
      </c>
      <c r="N263" s="1">
        <f t="shared" si="38"/>
        <v>45395</v>
      </c>
      <c r="O263" t="s">
        <v>100</v>
      </c>
      <c r="P263" s="1">
        <f t="shared" si="39"/>
        <v>45436</v>
      </c>
      <c r="Q263" t="s">
        <v>1361</v>
      </c>
      <c r="R263">
        <v>31</v>
      </c>
      <c r="S263">
        <v>34</v>
      </c>
      <c r="T263" t="s">
        <v>42</v>
      </c>
      <c r="U263" s="8">
        <v>55.800000000000004</v>
      </c>
      <c r="V263" s="8">
        <f t="shared" si="40"/>
        <v>133.20000000000002</v>
      </c>
      <c r="W263" t="str">
        <f t="shared" si="41"/>
        <v>Sufficient Stock</v>
      </c>
      <c r="X263" s="9">
        <f t="shared" si="42"/>
        <v>45352</v>
      </c>
      <c r="Y263">
        <f t="shared" si="43"/>
        <v>59</v>
      </c>
      <c r="Z263" t="str">
        <f t="shared" si="44"/>
        <v>High Risk</v>
      </c>
    </row>
    <row r="264" spans="1:26" x14ac:dyDescent="0.4">
      <c r="A264" t="s">
        <v>1362</v>
      </c>
      <c r="B264" t="s">
        <v>138</v>
      </c>
      <c r="C264" t="s">
        <v>18</v>
      </c>
      <c r="D264" t="s">
        <v>1363</v>
      </c>
      <c r="E264" t="s">
        <v>1364</v>
      </c>
      <c r="F264">
        <v>70</v>
      </c>
      <c r="G264">
        <v>96</v>
      </c>
      <c r="H264">
        <v>92</v>
      </c>
      <c r="I264" t="s">
        <v>47</v>
      </c>
      <c r="J264" s="7">
        <f t="shared" si="36"/>
        <v>1.5</v>
      </c>
      <c r="K264" t="s">
        <v>946</v>
      </c>
      <c r="L264" s="1">
        <f t="shared" si="37"/>
        <v>45400</v>
      </c>
      <c r="M264" t="s">
        <v>455</v>
      </c>
      <c r="N264" s="1">
        <f t="shared" si="38"/>
        <v>45590</v>
      </c>
      <c r="O264" t="s">
        <v>164</v>
      </c>
      <c r="P264" s="1">
        <f t="shared" si="39"/>
        <v>45440</v>
      </c>
      <c r="Q264" t="s">
        <v>1365</v>
      </c>
      <c r="R264">
        <v>27</v>
      </c>
      <c r="S264">
        <v>58</v>
      </c>
      <c r="T264" t="s">
        <v>42</v>
      </c>
      <c r="U264" s="8">
        <v>40.5</v>
      </c>
      <c r="V264" s="8">
        <f t="shared" si="40"/>
        <v>105</v>
      </c>
      <c r="W264" t="str">
        <f t="shared" si="41"/>
        <v>Reorder Required</v>
      </c>
      <c r="X264" s="9">
        <f t="shared" si="42"/>
        <v>45383</v>
      </c>
      <c r="Y264">
        <f t="shared" si="43"/>
        <v>40</v>
      </c>
      <c r="Z264" t="str">
        <f t="shared" si="44"/>
        <v>High Risk</v>
      </c>
    </row>
    <row r="265" spans="1:26" x14ac:dyDescent="0.4">
      <c r="A265" t="s">
        <v>1366</v>
      </c>
      <c r="B265" t="s">
        <v>602</v>
      </c>
      <c r="C265" t="s">
        <v>77</v>
      </c>
      <c r="D265" t="s">
        <v>1367</v>
      </c>
      <c r="E265" t="s">
        <v>1164</v>
      </c>
      <c r="F265">
        <v>69</v>
      </c>
      <c r="G265">
        <v>53</v>
      </c>
      <c r="H265">
        <v>32</v>
      </c>
      <c r="I265" t="s">
        <v>1368</v>
      </c>
      <c r="J265" s="7">
        <f t="shared" si="36"/>
        <v>9.1999999999999993</v>
      </c>
      <c r="K265" s="1">
        <v>45605</v>
      </c>
      <c r="L265" s="1">
        <f t="shared" si="37"/>
        <v>45605</v>
      </c>
      <c r="M265" t="s">
        <v>164</v>
      </c>
      <c r="N265" s="1">
        <f t="shared" si="38"/>
        <v>45440</v>
      </c>
      <c r="O265" t="s">
        <v>1369</v>
      </c>
      <c r="P265" s="1">
        <f t="shared" si="39"/>
        <v>45456</v>
      </c>
      <c r="Q265" t="s">
        <v>1370</v>
      </c>
      <c r="R265">
        <v>28</v>
      </c>
      <c r="S265">
        <v>56</v>
      </c>
      <c r="T265" t="s">
        <v>51</v>
      </c>
      <c r="U265" s="8">
        <v>257.59999999999997</v>
      </c>
      <c r="V265" s="8">
        <f t="shared" si="40"/>
        <v>634.79999999999995</v>
      </c>
      <c r="W265" t="str">
        <f t="shared" si="41"/>
        <v>Sufficient Stock</v>
      </c>
      <c r="X265" s="9">
        <f t="shared" si="42"/>
        <v>45597</v>
      </c>
      <c r="Y265">
        <f t="shared" si="43"/>
        <v>-149</v>
      </c>
      <c r="Z265" t="str">
        <f t="shared" si="44"/>
        <v>Invalid Data</v>
      </c>
    </row>
    <row r="266" spans="1:26" x14ac:dyDescent="0.4">
      <c r="A266" t="s">
        <v>1371</v>
      </c>
      <c r="B266" t="s">
        <v>425</v>
      </c>
      <c r="C266" t="s">
        <v>54</v>
      </c>
      <c r="D266" t="s">
        <v>1372</v>
      </c>
      <c r="E266" t="s">
        <v>1373</v>
      </c>
      <c r="F266">
        <v>67</v>
      </c>
      <c r="G266">
        <v>68</v>
      </c>
      <c r="H266">
        <v>50</v>
      </c>
      <c r="I266" t="s">
        <v>47</v>
      </c>
      <c r="J266" s="7">
        <f t="shared" si="36"/>
        <v>1.5</v>
      </c>
      <c r="K266" t="s">
        <v>435</v>
      </c>
      <c r="L266" s="1">
        <f t="shared" si="37"/>
        <v>45558</v>
      </c>
      <c r="M266" t="s">
        <v>1343</v>
      </c>
      <c r="N266" s="1">
        <f t="shared" si="38"/>
        <v>45617</v>
      </c>
      <c r="O266" s="1">
        <v>45539</v>
      </c>
      <c r="P266" s="1">
        <f t="shared" si="39"/>
        <v>45539</v>
      </c>
      <c r="Q266" t="s">
        <v>1374</v>
      </c>
      <c r="R266">
        <v>67</v>
      </c>
      <c r="S266">
        <v>82</v>
      </c>
      <c r="T266" t="s">
        <v>26</v>
      </c>
      <c r="U266" s="8">
        <v>100.5</v>
      </c>
      <c r="V266" s="8">
        <f t="shared" si="40"/>
        <v>100.5</v>
      </c>
      <c r="W266" t="str">
        <f t="shared" si="41"/>
        <v>Reorder Required</v>
      </c>
      <c r="X266" s="9">
        <f t="shared" si="42"/>
        <v>45536</v>
      </c>
      <c r="Y266">
        <f t="shared" si="43"/>
        <v>-19</v>
      </c>
      <c r="Z266" t="str">
        <f t="shared" si="44"/>
        <v>Invalid Data</v>
      </c>
    </row>
    <row r="267" spans="1:26" x14ac:dyDescent="0.4">
      <c r="A267" t="s">
        <v>1375</v>
      </c>
      <c r="B267" t="s">
        <v>296</v>
      </c>
      <c r="C267" t="s">
        <v>18</v>
      </c>
      <c r="D267" t="s">
        <v>1376</v>
      </c>
      <c r="E267" t="s">
        <v>565</v>
      </c>
      <c r="F267">
        <v>18</v>
      </c>
      <c r="G267">
        <v>62</v>
      </c>
      <c r="H267">
        <v>2</v>
      </c>
      <c r="I267" t="s">
        <v>85</v>
      </c>
      <c r="J267" s="7">
        <f t="shared" si="36"/>
        <v>3</v>
      </c>
      <c r="K267" t="s">
        <v>360</v>
      </c>
      <c r="L267" s="1">
        <f t="shared" si="37"/>
        <v>45377</v>
      </c>
      <c r="M267" t="s">
        <v>828</v>
      </c>
      <c r="N267" s="1">
        <f t="shared" si="38"/>
        <v>45410</v>
      </c>
      <c r="O267" s="1">
        <v>45452</v>
      </c>
      <c r="P267" s="1">
        <f t="shared" si="39"/>
        <v>45452</v>
      </c>
      <c r="Q267" t="s">
        <v>1377</v>
      </c>
      <c r="R267">
        <v>61</v>
      </c>
      <c r="S267">
        <v>78</v>
      </c>
      <c r="T267" t="s">
        <v>26</v>
      </c>
      <c r="U267" s="8">
        <v>183</v>
      </c>
      <c r="V267" s="8">
        <f t="shared" si="40"/>
        <v>54</v>
      </c>
      <c r="W267" t="str">
        <f t="shared" si="41"/>
        <v>Reorder Required</v>
      </c>
      <c r="X267" s="9">
        <f t="shared" si="42"/>
        <v>45352</v>
      </c>
      <c r="Y267">
        <f t="shared" si="43"/>
        <v>75</v>
      </c>
      <c r="Z267" t="str">
        <f t="shared" si="44"/>
        <v>High Risk</v>
      </c>
    </row>
    <row r="268" spans="1:26" x14ac:dyDescent="0.4">
      <c r="A268" t="s">
        <v>1378</v>
      </c>
      <c r="B268" t="s">
        <v>28</v>
      </c>
      <c r="C268" t="s">
        <v>29</v>
      </c>
      <c r="D268" t="s">
        <v>1379</v>
      </c>
      <c r="E268" t="s">
        <v>1380</v>
      </c>
      <c r="F268">
        <v>22</v>
      </c>
      <c r="G268">
        <v>89</v>
      </c>
      <c r="H268">
        <v>25</v>
      </c>
      <c r="I268" t="s">
        <v>754</v>
      </c>
      <c r="J268" s="7">
        <f t="shared" si="36"/>
        <v>21</v>
      </c>
      <c r="K268" t="s">
        <v>656</v>
      </c>
      <c r="L268" s="1">
        <f t="shared" si="37"/>
        <v>45347</v>
      </c>
      <c r="M268" t="s">
        <v>630</v>
      </c>
      <c r="N268" s="1">
        <f t="shared" si="38"/>
        <v>45623</v>
      </c>
      <c r="O268" t="s">
        <v>1111</v>
      </c>
      <c r="P268" s="1">
        <f t="shared" si="39"/>
        <v>45493</v>
      </c>
      <c r="Q268" t="s">
        <v>1381</v>
      </c>
      <c r="R268">
        <v>30</v>
      </c>
      <c r="S268">
        <v>62</v>
      </c>
      <c r="T268" t="s">
        <v>26</v>
      </c>
      <c r="U268" s="8">
        <v>630</v>
      </c>
      <c r="V268" s="8">
        <f t="shared" si="40"/>
        <v>462</v>
      </c>
      <c r="W268" t="str">
        <f t="shared" si="41"/>
        <v>Reorder Required</v>
      </c>
      <c r="X268" s="9">
        <f t="shared" si="42"/>
        <v>45323</v>
      </c>
      <c r="Y268">
        <f t="shared" si="43"/>
        <v>146</v>
      </c>
      <c r="Z268" t="str">
        <f t="shared" si="44"/>
        <v>Medium Risk</v>
      </c>
    </row>
    <row r="269" spans="1:26" x14ac:dyDescent="0.4">
      <c r="A269" t="s">
        <v>1382</v>
      </c>
      <c r="B269" t="s">
        <v>1383</v>
      </c>
      <c r="C269" t="s">
        <v>54</v>
      </c>
      <c r="D269" t="s">
        <v>1384</v>
      </c>
      <c r="E269" t="s">
        <v>1385</v>
      </c>
      <c r="F269">
        <v>88</v>
      </c>
      <c r="G269">
        <v>99</v>
      </c>
      <c r="H269">
        <v>41</v>
      </c>
      <c r="I269" t="s">
        <v>1386</v>
      </c>
      <c r="J269" s="7">
        <f t="shared" si="36"/>
        <v>5.5</v>
      </c>
      <c r="K269" t="s">
        <v>1387</v>
      </c>
      <c r="L269" s="1">
        <f t="shared" si="37"/>
        <v>45503</v>
      </c>
      <c r="M269" t="s">
        <v>618</v>
      </c>
      <c r="N269" s="1">
        <f t="shared" si="38"/>
        <v>45432</v>
      </c>
      <c r="O269" t="s">
        <v>397</v>
      </c>
      <c r="P269" s="1">
        <f t="shared" si="39"/>
        <v>45494</v>
      </c>
      <c r="Q269" t="s">
        <v>1388</v>
      </c>
      <c r="R269">
        <v>93</v>
      </c>
      <c r="S269">
        <v>99</v>
      </c>
      <c r="T269" t="s">
        <v>42</v>
      </c>
      <c r="U269" s="8">
        <v>511.5</v>
      </c>
      <c r="V269" s="8">
        <f t="shared" si="40"/>
        <v>484</v>
      </c>
      <c r="W269" t="str">
        <f t="shared" si="41"/>
        <v>Reorder Required</v>
      </c>
      <c r="X269" s="9">
        <f t="shared" si="42"/>
        <v>45474</v>
      </c>
      <c r="Y269">
        <f t="shared" si="43"/>
        <v>-9</v>
      </c>
      <c r="Z269" t="str">
        <f t="shared" si="44"/>
        <v>Invalid Data</v>
      </c>
    </row>
    <row r="270" spans="1:26" x14ac:dyDescent="0.4">
      <c r="A270" t="s">
        <v>1389</v>
      </c>
      <c r="B270" t="s">
        <v>677</v>
      </c>
      <c r="C270" t="s">
        <v>169</v>
      </c>
      <c r="D270" t="s">
        <v>1390</v>
      </c>
      <c r="E270" t="s">
        <v>1391</v>
      </c>
      <c r="F270">
        <v>78</v>
      </c>
      <c r="G270">
        <v>75</v>
      </c>
      <c r="H270">
        <v>3</v>
      </c>
      <c r="I270" t="s">
        <v>134</v>
      </c>
      <c r="J270" s="7">
        <f t="shared" si="36"/>
        <v>7</v>
      </c>
      <c r="K270" s="1">
        <v>45512</v>
      </c>
      <c r="L270" s="1">
        <f t="shared" si="37"/>
        <v>45512</v>
      </c>
      <c r="M270" t="s">
        <v>99</v>
      </c>
      <c r="N270" s="1">
        <f t="shared" si="38"/>
        <v>45644</v>
      </c>
      <c r="O270" s="1">
        <v>45419</v>
      </c>
      <c r="P270" s="1">
        <f t="shared" si="39"/>
        <v>45419</v>
      </c>
      <c r="Q270" t="s">
        <v>1392</v>
      </c>
      <c r="R270">
        <v>63</v>
      </c>
      <c r="S270">
        <v>100</v>
      </c>
      <c r="T270" t="s">
        <v>51</v>
      </c>
      <c r="U270" s="8">
        <v>441</v>
      </c>
      <c r="V270" s="8">
        <f t="shared" si="40"/>
        <v>546</v>
      </c>
      <c r="W270" t="str">
        <f t="shared" si="41"/>
        <v>Sufficient Stock</v>
      </c>
      <c r="X270" s="9">
        <f t="shared" si="42"/>
        <v>45505</v>
      </c>
      <c r="Y270">
        <f t="shared" si="43"/>
        <v>-93</v>
      </c>
      <c r="Z270" t="str">
        <f t="shared" si="44"/>
        <v>Invalid Data</v>
      </c>
    </row>
    <row r="271" spans="1:26" x14ac:dyDescent="0.4">
      <c r="A271" t="s">
        <v>1393</v>
      </c>
      <c r="B271" t="s">
        <v>248</v>
      </c>
      <c r="C271" t="s">
        <v>68</v>
      </c>
      <c r="D271" t="s">
        <v>1394</v>
      </c>
      <c r="E271" t="s">
        <v>1395</v>
      </c>
      <c r="F271">
        <v>83</v>
      </c>
      <c r="G271">
        <v>52</v>
      </c>
      <c r="H271">
        <v>32</v>
      </c>
      <c r="I271" t="s">
        <v>39</v>
      </c>
      <c r="J271" s="7">
        <f t="shared" si="36"/>
        <v>6</v>
      </c>
      <c r="K271" t="s">
        <v>383</v>
      </c>
      <c r="L271" s="1">
        <f t="shared" si="37"/>
        <v>45582</v>
      </c>
      <c r="M271" t="s">
        <v>893</v>
      </c>
      <c r="N271" s="1">
        <f t="shared" si="38"/>
        <v>45530</v>
      </c>
      <c r="O271" t="s">
        <v>549</v>
      </c>
      <c r="P271" s="1">
        <f t="shared" si="39"/>
        <v>45372</v>
      </c>
      <c r="Q271" t="s">
        <v>1396</v>
      </c>
      <c r="R271">
        <v>47</v>
      </c>
      <c r="S271">
        <v>7</v>
      </c>
      <c r="T271" t="s">
        <v>51</v>
      </c>
      <c r="U271" s="8">
        <v>282</v>
      </c>
      <c r="V271" s="8">
        <f t="shared" si="40"/>
        <v>498</v>
      </c>
      <c r="W271" t="str">
        <f t="shared" si="41"/>
        <v>Sufficient Stock</v>
      </c>
      <c r="X271" s="9">
        <f t="shared" si="42"/>
        <v>45566</v>
      </c>
      <c r="Y271">
        <f t="shared" si="43"/>
        <v>-210</v>
      </c>
      <c r="Z271" t="str">
        <f t="shared" si="44"/>
        <v>Invalid Data</v>
      </c>
    </row>
    <row r="272" spans="1:26" x14ac:dyDescent="0.4">
      <c r="A272" t="s">
        <v>1397</v>
      </c>
      <c r="B272" t="s">
        <v>989</v>
      </c>
      <c r="C272" t="s">
        <v>29</v>
      </c>
      <c r="D272" t="s">
        <v>1398</v>
      </c>
      <c r="E272" t="s">
        <v>1399</v>
      </c>
      <c r="F272">
        <v>42</v>
      </c>
      <c r="G272">
        <v>88</v>
      </c>
      <c r="H272">
        <v>17</v>
      </c>
      <c r="I272" t="s">
        <v>1400</v>
      </c>
      <c r="J272" s="7">
        <f t="shared" si="36"/>
        <v>10.5</v>
      </c>
      <c r="K272" t="s">
        <v>107</v>
      </c>
      <c r="L272" s="1">
        <f t="shared" si="37"/>
        <v>45584</v>
      </c>
      <c r="M272" s="1">
        <v>45455</v>
      </c>
      <c r="N272" s="1">
        <f t="shared" si="38"/>
        <v>45455</v>
      </c>
      <c r="O272" t="s">
        <v>213</v>
      </c>
      <c r="P272" s="1">
        <f t="shared" si="39"/>
        <v>45467</v>
      </c>
      <c r="Q272" t="s">
        <v>1401</v>
      </c>
      <c r="R272">
        <v>34</v>
      </c>
      <c r="S272">
        <v>51</v>
      </c>
      <c r="T272" t="s">
        <v>26</v>
      </c>
      <c r="U272" s="8">
        <v>357</v>
      </c>
      <c r="V272" s="8">
        <f t="shared" si="40"/>
        <v>441</v>
      </c>
      <c r="W272" t="str">
        <f t="shared" si="41"/>
        <v>Reorder Required</v>
      </c>
      <c r="X272" s="9">
        <f t="shared" si="42"/>
        <v>45566</v>
      </c>
      <c r="Y272">
        <f t="shared" si="43"/>
        <v>-117</v>
      </c>
      <c r="Z272" t="str">
        <f t="shared" si="44"/>
        <v>Invalid Data</v>
      </c>
    </row>
    <row r="273" spans="1:26" x14ac:dyDescent="0.4">
      <c r="A273" t="s">
        <v>1402</v>
      </c>
      <c r="B273" t="s">
        <v>539</v>
      </c>
      <c r="C273" t="s">
        <v>54</v>
      </c>
      <c r="D273" t="s">
        <v>1403</v>
      </c>
      <c r="E273" t="s">
        <v>357</v>
      </c>
      <c r="F273">
        <v>49</v>
      </c>
      <c r="G273">
        <v>46</v>
      </c>
      <c r="H273">
        <v>8</v>
      </c>
      <c r="I273" t="s">
        <v>85</v>
      </c>
      <c r="J273" s="7">
        <f t="shared" si="36"/>
        <v>3</v>
      </c>
      <c r="K273" t="s">
        <v>548</v>
      </c>
      <c r="L273" s="1">
        <f t="shared" si="37"/>
        <v>45587</v>
      </c>
      <c r="M273" t="s">
        <v>1125</v>
      </c>
      <c r="N273" s="1">
        <f t="shared" si="38"/>
        <v>45382</v>
      </c>
      <c r="O273" s="1">
        <v>45577</v>
      </c>
      <c r="P273" s="1">
        <f t="shared" si="39"/>
        <v>45577</v>
      </c>
      <c r="Q273" t="s">
        <v>1404</v>
      </c>
      <c r="R273">
        <v>82</v>
      </c>
      <c r="S273">
        <v>21</v>
      </c>
      <c r="T273" t="s">
        <v>26</v>
      </c>
      <c r="U273" s="8">
        <v>246</v>
      </c>
      <c r="V273" s="8">
        <f t="shared" si="40"/>
        <v>147</v>
      </c>
      <c r="W273" t="str">
        <f t="shared" si="41"/>
        <v>Sufficient Stock</v>
      </c>
      <c r="X273" s="9">
        <f t="shared" si="42"/>
        <v>45566</v>
      </c>
      <c r="Y273">
        <f t="shared" si="43"/>
        <v>-10</v>
      </c>
      <c r="Z273" t="str">
        <f t="shared" si="44"/>
        <v>Invalid Data</v>
      </c>
    </row>
    <row r="274" spans="1:26" x14ac:dyDescent="0.4">
      <c r="A274" t="s">
        <v>1405</v>
      </c>
      <c r="B274" t="s">
        <v>1406</v>
      </c>
      <c r="C274" t="s">
        <v>18</v>
      </c>
      <c r="D274" t="s">
        <v>1407</v>
      </c>
      <c r="E274" t="s">
        <v>547</v>
      </c>
      <c r="F274">
        <v>17</v>
      </c>
      <c r="G274">
        <v>88</v>
      </c>
      <c r="H274">
        <v>41</v>
      </c>
      <c r="I274" t="s">
        <v>71</v>
      </c>
      <c r="J274" s="7">
        <f t="shared" si="36"/>
        <v>2.5</v>
      </c>
      <c r="K274" t="s">
        <v>329</v>
      </c>
      <c r="L274" s="1">
        <f t="shared" si="37"/>
        <v>45586</v>
      </c>
      <c r="M274" t="s">
        <v>48</v>
      </c>
      <c r="N274" s="1">
        <f t="shared" si="38"/>
        <v>45707</v>
      </c>
      <c r="O274" t="s">
        <v>649</v>
      </c>
      <c r="P274" s="1">
        <f t="shared" si="39"/>
        <v>45675</v>
      </c>
      <c r="Q274" t="s">
        <v>1408</v>
      </c>
      <c r="R274">
        <v>45</v>
      </c>
      <c r="S274">
        <v>29</v>
      </c>
      <c r="T274" t="s">
        <v>42</v>
      </c>
      <c r="U274" s="8">
        <v>112.5</v>
      </c>
      <c r="V274" s="8">
        <f t="shared" si="40"/>
        <v>42.5</v>
      </c>
      <c r="W274" t="str">
        <f t="shared" si="41"/>
        <v>Reorder Required</v>
      </c>
      <c r="X274" s="9">
        <f t="shared" si="42"/>
        <v>45566</v>
      </c>
      <c r="Y274">
        <f t="shared" si="43"/>
        <v>89</v>
      </c>
      <c r="Z274" t="str">
        <f t="shared" si="44"/>
        <v>High Risk</v>
      </c>
    </row>
    <row r="275" spans="1:26" x14ac:dyDescent="0.4">
      <c r="A275" t="s">
        <v>1409</v>
      </c>
      <c r="B275" t="s">
        <v>820</v>
      </c>
      <c r="C275" t="s">
        <v>77</v>
      </c>
      <c r="D275" t="s">
        <v>1410</v>
      </c>
      <c r="E275" t="s">
        <v>1411</v>
      </c>
      <c r="F275">
        <v>52</v>
      </c>
      <c r="G275">
        <v>64</v>
      </c>
      <c r="H275">
        <v>54</v>
      </c>
      <c r="I275" t="s">
        <v>554</v>
      </c>
      <c r="J275" s="7">
        <f t="shared" si="36"/>
        <v>2.4</v>
      </c>
      <c r="K275" t="s">
        <v>346</v>
      </c>
      <c r="L275" s="1">
        <f t="shared" si="37"/>
        <v>45618</v>
      </c>
      <c r="M275" s="1">
        <v>45544</v>
      </c>
      <c r="N275" s="1">
        <f t="shared" si="38"/>
        <v>45544</v>
      </c>
      <c r="O275" t="s">
        <v>415</v>
      </c>
      <c r="P275" s="1">
        <f t="shared" si="39"/>
        <v>45588</v>
      </c>
      <c r="Q275" t="s">
        <v>1412</v>
      </c>
      <c r="R275">
        <v>21</v>
      </c>
      <c r="S275">
        <v>55</v>
      </c>
      <c r="T275" t="s">
        <v>42</v>
      </c>
      <c r="U275" s="8">
        <v>50.4</v>
      </c>
      <c r="V275" s="8">
        <f t="shared" si="40"/>
        <v>124.8</v>
      </c>
      <c r="W275" t="str">
        <f t="shared" si="41"/>
        <v>Reorder Required</v>
      </c>
      <c r="X275" s="9">
        <f t="shared" si="42"/>
        <v>45597</v>
      </c>
      <c r="Y275">
        <f t="shared" si="43"/>
        <v>-30</v>
      </c>
      <c r="Z275" t="str">
        <f t="shared" si="44"/>
        <v>Invalid Data</v>
      </c>
    </row>
    <row r="276" spans="1:26" x14ac:dyDescent="0.4">
      <c r="A276" t="s">
        <v>1413</v>
      </c>
      <c r="B276" t="s">
        <v>210</v>
      </c>
      <c r="C276" t="s">
        <v>54</v>
      </c>
      <c r="D276" t="s">
        <v>1414</v>
      </c>
      <c r="E276" t="s">
        <v>1399</v>
      </c>
      <c r="F276">
        <v>79</v>
      </c>
      <c r="G276">
        <v>45</v>
      </c>
      <c r="H276">
        <v>39</v>
      </c>
      <c r="I276" t="s">
        <v>39</v>
      </c>
      <c r="J276" s="7">
        <f t="shared" si="36"/>
        <v>6</v>
      </c>
      <c r="K276" t="s">
        <v>654</v>
      </c>
      <c r="L276" s="1">
        <f t="shared" si="37"/>
        <v>45594</v>
      </c>
      <c r="M276" s="1">
        <v>45484</v>
      </c>
      <c r="N276" s="1">
        <f t="shared" si="38"/>
        <v>45484</v>
      </c>
      <c r="O276" s="1">
        <v>45601</v>
      </c>
      <c r="P276" s="1">
        <f t="shared" si="39"/>
        <v>45601</v>
      </c>
      <c r="Q276" t="s">
        <v>1415</v>
      </c>
      <c r="R276">
        <v>55</v>
      </c>
      <c r="S276">
        <v>20</v>
      </c>
      <c r="T276" t="s">
        <v>42</v>
      </c>
      <c r="U276" s="8">
        <v>330</v>
      </c>
      <c r="V276" s="8">
        <f t="shared" si="40"/>
        <v>474</v>
      </c>
      <c r="W276" t="str">
        <f t="shared" si="41"/>
        <v>Sufficient Stock</v>
      </c>
      <c r="X276" s="9">
        <f t="shared" si="42"/>
        <v>45566</v>
      </c>
      <c r="Y276">
        <f t="shared" si="43"/>
        <v>7</v>
      </c>
      <c r="Z276" t="str">
        <f t="shared" si="44"/>
        <v>Critical</v>
      </c>
    </row>
    <row r="277" spans="1:26" x14ac:dyDescent="0.4">
      <c r="A277" t="s">
        <v>1416</v>
      </c>
      <c r="B277" t="s">
        <v>607</v>
      </c>
      <c r="C277" t="s">
        <v>68</v>
      </c>
      <c r="D277" t="s">
        <v>1417</v>
      </c>
      <c r="E277" t="s">
        <v>865</v>
      </c>
      <c r="F277">
        <v>35</v>
      </c>
      <c r="G277">
        <v>41</v>
      </c>
      <c r="H277">
        <v>84</v>
      </c>
      <c r="I277" t="s">
        <v>466</v>
      </c>
      <c r="J277" s="7">
        <f t="shared" si="36"/>
        <v>1.8</v>
      </c>
      <c r="K277" t="s">
        <v>173</v>
      </c>
      <c r="L277" s="1">
        <f t="shared" si="37"/>
        <v>45521</v>
      </c>
      <c r="M277" t="s">
        <v>358</v>
      </c>
      <c r="N277" s="1">
        <f t="shared" si="38"/>
        <v>45501</v>
      </c>
      <c r="O277" t="s">
        <v>1418</v>
      </c>
      <c r="P277" s="1">
        <f t="shared" si="39"/>
        <v>45619</v>
      </c>
      <c r="Q277" t="s">
        <v>1419</v>
      </c>
      <c r="R277">
        <v>62</v>
      </c>
      <c r="S277">
        <v>14</v>
      </c>
      <c r="T277" t="s">
        <v>42</v>
      </c>
      <c r="U277" s="8">
        <v>111.60000000000001</v>
      </c>
      <c r="V277" s="8">
        <f t="shared" si="40"/>
        <v>63</v>
      </c>
      <c r="W277" t="str">
        <f t="shared" si="41"/>
        <v>Reorder Required</v>
      </c>
      <c r="X277" s="9">
        <f t="shared" si="42"/>
        <v>45505</v>
      </c>
      <c r="Y277">
        <f t="shared" si="43"/>
        <v>98</v>
      </c>
      <c r="Z277" t="str">
        <f t="shared" si="44"/>
        <v>Medium Risk</v>
      </c>
    </row>
    <row r="278" spans="1:26" x14ac:dyDescent="0.4">
      <c r="A278" t="s">
        <v>1420</v>
      </c>
      <c r="B278" t="s">
        <v>233</v>
      </c>
      <c r="C278" t="s">
        <v>54</v>
      </c>
      <c r="D278" t="s">
        <v>1421</v>
      </c>
      <c r="E278" t="s">
        <v>1422</v>
      </c>
      <c r="F278">
        <v>76</v>
      </c>
      <c r="G278">
        <v>11</v>
      </c>
      <c r="H278">
        <v>15</v>
      </c>
      <c r="I278" t="s">
        <v>466</v>
      </c>
      <c r="J278" s="7">
        <f t="shared" si="36"/>
        <v>1.8</v>
      </c>
      <c r="K278" t="s">
        <v>1035</v>
      </c>
      <c r="L278" s="1">
        <f t="shared" si="37"/>
        <v>45585</v>
      </c>
      <c r="M278" t="s">
        <v>916</v>
      </c>
      <c r="N278" s="1">
        <f t="shared" si="38"/>
        <v>45437</v>
      </c>
      <c r="O278" t="s">
        <v>712</v>
      </c>
      <c r="P278" s="1">
        <f t="shared" si="39"/>
        <v>45552</v>
      </c>
      <c r="Q278" t="s">
        <v>1423</v>
      </c>
      <c r="R278">
        <v>22</v>
      </c>
      <c r="S278">
        <v>91</v>
      </c>
      <c r="T278" t="s">
        <v>51</v>
      </c>
      <c r="U278" s="8">
        <v>39.6</v>
      </c>
      <c r="V278" s="8">
        <f t="shared" si="40"/>
        <v>136.80000000000001</v>
      </c>
      <c r="W278" t="str">
        <f t="shared" si="41"/>
        <v>Sufficient Stock</v>
      </c>
      <c r="X278" s="9">
        <f t="shared" si="42"/>
        <v>45566</v>
      </c>
      <c r="Y278">
        <f t="shared" si="43"/>
        <v>-33</v>
      </c>
      <c r="Z278" t="str">
        <f t="shared" si="44"/>
        <v>Invalid Data</v>
      </c>
    </row>
    <row r="279" spans="1:26" x14ac:dyDescent="0.4">
      <c r="A279" t="s">
        <v>1424</v>
      </c>
      <c r="B279" t="s">
        <v>144</v>
      </c>
      <c r="C279" t="s">
        <v>77</v>
      </c>
      <c r="D279" t="s">
        <v>1425</v>
      </c>
      <c r="E279" t="s">
        <v>31</v>
      </c>
      <c r="F279">
        <v>93</v>
      </c>
      <c r="G279">
        <v>8</v>
      </c>
      <c r="H279">
        <v>51</v>
      </c>
      <c r="I279" t="s">
        <v>147</v>
      </c>
      <c r="J279" s="7">
        <f t="shared" si="36"/>
        <v>8</v>
      </c>
      <c r="K279" t="s">
        <v>592</v>
      </c>
      <c r="L279" s="1">
        <f t="shared" si="37"/>
        <v>45350</v>
      </c>
      <c r="M279" t="s">
        <v>372</v>
      </c>
      <c r="N279" s="1">
        <f t="shared" si="38"/>
        <v>45427</v>
      </c>
      <c r="O279" s="1">
        <v>45749</v>
      </c>
      <c r="P279" s="1">
        <f t="shared" si="39"/>
        <v>45749</v>
      </c>
      <c r="Q279" t="s">
        <v>1426</v>
      </c>
      <c r="R279">
        <v>93</v>
      </c>
      <c r="S279">
        <v>85</v>
      </c>
      <c r="T279" t="s">
        <v>42</v>
      </c>
      <c r="U279" s="8">
        <v>744</v>
      </c>
      <c r="V279" s="8">
        <f t="shared" si="40"/>
        <v>744</v>
      </c>
      <c r="W279" t="str">
        <f t="shared" si="41"/>
        <v>Sufficient Stock</v>
      </c>
      <c r="X279" s="9">
        <f t="shared" si="42"/>
        <v>45323</v>
      </c>
      <c r="Y279">
        <f t="shared" si="43"/>
        <v>399</v>
      </c>
      <c r="Z279" t="str">
        <f t="shared" si="44"/>
        <v>Safe</v>
      </c>
    </row>
    <row r="280" spans="1:26" x14ac:dyDescent="0.4">
      <c r="A280" t="s">
        <v>1427</v>
      </c>
      <c r="B280" t="s">
        <v>1428</v>
      </c>
      <c r="C280" t="s">
        <v>169</v>
      </c>
      <c r="D280" t="s">
        <v>1429</v>
      </c>
      <c r="E280" t="s">
        <v>1019</v>
      </c>
      <c r="F280">
        <v>40</v>
      </c>
      <c r="G280">
        <v>81</v>
      </c>
      <c r="H280">
        <v>78</v>
      </c>
      <c r="I280" t="s">
        <v>32</v>
      </c>
      <c r="J280" s="7">
        <f t="shared" si="36"/>
        <v>20</v>
      </c>
      <c r="K280" t="s">
        <v>598</v>
      </c>
      <c r="L280" s="1">
        <f t="shared" si="37"/>
        <v>45705</v>
      </c>
      <c r="M280" t="s">
        <v>221</v>
      </c>
      <c r="N280" s="1">
        <f t="shared" si="38"/>
        <v>45489</v>
      </c>
      <c r="O280" s="1">
        <v>45385</v>
      </c>
      <c r="P280" s="1">
        <f t="shared" si="39"/>
        <v>45385</v>
      </c>
      <c r="Q280" t="s">
        <v>1430</v>
      </c>
      <c r="R280">
        <v>39</v>
      </c>
      <c r="S280">
        <v>65</v>
      </c>
      <c r="T280" t="s">
        <v>42</v>
      </c>
      <c r="U280" s="8">
        <v>780</v>
      </c>
      <c r="V280" s="8">
        <f t="shared" si="40"/>
        <v>800</v>
      </c>
      <c r="W280" t="str">
        <f t="shared" si="41"/>
        <v>Reorder Required</v>
      </c>
      <c r="X280" s="9">
        <f t="shared" si="42"/>
        <v>45689</v>
      </c>
      <c r="Y280">
        <f t="shared" si="43"/>
        <v>-320</v>
      </c>
      <c r="Z280" t="str">
        <f t="shared" si="44"/>
        <v>Invalid Data</v>
      </c>
    </row>
    <row r="281" spans="1:26" x14ac:dyDescent="0.4">
      <c r="A281" t="s">
        <v>1431</v>
      </c>
      <c r="B281" t="s">
        <v>168</v>
      </c>
      <c r="C281" t="s">
        <v>169</v>
      </c>
      <c r="D281" t="s">
        <v>1432</v>
      </c>
      <c r="E281" t="s">
        <v>284</v>
      </c>
      <c r="F281">
        <v>19</v>
      </c>
      <c r="G281">
        <v>94</v>
      </c>
      <c r="H281">
        <v>17</v>
      </c>
      <c r="I281" t="s">
        <v>1433</v>
      </c>
      <c r="J281" s="7">
        <f t="shared" si="36"/>
        <v>11.5</v>
      </c>
      <c r="K281" t="s">
        <v>1173</v>
      </c>
      <c r="L281" s="1">
        <f t="shared" si="37"/>
        <v>45526</v>
      </c>
      <c r="M281" s="1">
        <v>45510</v>
      </c>
      <c r="N281" s="1">
        <f t="shared" si="38"/>
        <v>45510</v>
      </c>
      <c r="O281" t="s">
        <v>128</v>
      </c>
      <c r="P281" s="1">
        <f t="shared" si="39"/>
        <v>45457</v>
      </c>
      <c r="Q281" t="s">
        <v>1434</v>
      </c>
      <c r="R281">
        <v>96</v>
      </c>
      <c r="S281">
        <v>74</v>
      </c>
      <c r="T281" t="s">
        <v>26</v>
      </c>
      <c r="U281" s="8">
        <v>1104</v>
      </c>
      <c r="V281" s="8">
        <f t="shared" si="40"/>
        <v>218.5</v>
      </c>
      <c r="W281" t="str">
        <f t="shared" si="41"/>
        <v>Reorder Required</v>
      </c>
      <c r="X281" s="9">
        <f t="shared" si="42"/>
        <v>45505</v>
      </c>
      <c r="Y281">
        <f t="shared" si="43"/>
        <v>-69</v>
      </c>
      <c r="Z281" t="str">
        <f t="shared" si="44"/>
        <v>Invalid Data</v>
      </c>
    </row>
    <row r="282" spans="1:26" x14ac:dyDescent="0.4">
      <c r="A282" t="s">
        <v>1435</v>
      </c>
      <c r="B282" t="s">
        <v>912</v>
      </c>
      <c r="C282" t="s">
        <v>68</v>
      </c>
      <c r="D282" t="s">
        <v>1436</v>
      </c>
      <c r="E282" t="s">
        <v>1437</v>
      </c>
      <c r="F282">
        <v>70</v>
      </c>
      <c r="G282">
        <v>96</v>
      </c>
      <c r="H282">
        <v>21</v>
      </c>
      <c r="I282" t="s">
        <v>106</v>
      </c>
      <c r="J282" s="7">
        <f t="shared" si="36"/>
        <v>2</v>
      </c>
      <c r="K282" t="s">
        <v>402</v>
      </c>
      <c r="L282" s="1">
        <f t="shared" si="37"/>
        <v>45622</v>
      </c>
      <c r="M282" s="1">
        <v>45574</v>
      </c>
      <c r="N282" s="1">
        <f t="shared" si="38"/>
        <v>45574</v>
      </c>
      <c r="O282" s="1">
        <v>45359</v>
      </c>
      <c r="P282" s="1">
        <f t="shared" si="39"/>
        <v>45359</v>
      </c>
      <c r="Q282" t="s">
        <v>1438</v>
      </c>
      <c r="R282">
        <v>100</v>
      </c>
      <c r="S282">
        <v>15</v>
      </c>
      <c r="T282" t="s">
        <v>26</v>
      </c>
      <c r="U282" s="8">
        <v>200</v>
      </c>
      <c r="V282" s="8">
        <f t="shared" si="40"/>
        <v>140</v>
      </c>
      <c r="W282" t="str">
        <f t="shared" si="41"/>
        <v>Reorder Required</v>
      </c>
      <c r="X282" s="9">
        <f t="shared" si="42"/>
        <v>45597</v>
      </c>
      <c r="Y282">
        <f t="shared" si="43"/>
        <v>-263</v>
      </c>
      <c r="Z282" t="str">
        <f t="shared" si="44"/>
        <v>Invalid Data</v>
      </c>
    </row>
    <row r="283" spans="1:26" x14ac:dyDescent="0.4">
      <c r="A283" t="s">
        <v>1439</v>
      </c>
      <c r="B283" t="s">
        <v>1228</v>
      </c>
      <c r="C283" t="s">
        <v>112</v>
      </c>
      <c r="D283" t="s">
        <v>1440</v>
      </c>
      <c r="E283" t="s">
        <v>1441</v>
      </c>
      <c r="F283">
        <v>90</v>
      </c>
      <c r="G283">
        <v>52</v>
      </c>
      <c r="H283">
        <v>50</v>
      </c>
      <c r="I283" t="s">
        <v>57</v>
      </c>
      <c r="J283" s="7">
        <f t="shared" si="36"/>
        <v>4</v>
      </c>
      <c r="K283" t="s">
        <v>23</v>
      </c>
      <c r="L283" s="1">
        <f t="shared" si="37"/>
        <v>45472</v>
      </c>
      <c r="M283" t="s">
        <v>643</v>
      </c>
      <c r="N283" s="1">
        <f t="shared" si="38"/>
        <v>45397</v>
      </c>
      <c r="O283" s="1">
        <v>45478</v>
      </c>
      <c r="P283" s="1">
        <f t="shared" si="39"/>
        <v>45478</v>
      </c>
      <c r="Q283" t="s">
        <v>1442</v>
      </c>
      <c r="R283">
        <v>63</v>
      </c>
      <c r="S283">
        <v>14</v>
      </c>
      <c r="T283" t="s">
        <v>26</v>
      </c>
      <c r="U283" s="8">
        <v>252</v>
      </c>
      <c r="V283" s="8">
        <f t="shared" si="40"/>
        <v>360</v>
      </c>
      <c r="W283" t="str">
        <f t="shared" si="41"/>
        <v>Sufficient Stock</v>
      </c>
      <c r="X283" s="9">
        <f t="shared" si="42"/>
        <v>45444</v>
      </c>
      <c r="Y283">
        <f t="shared" si="43"/>
        <v>6</v>
      </c>
      <c r="Z283" t="str">
        <f t="shared" si="44"/>
        <v>Critical</v>
      </c>
    </row>
    <row r="284" spans="1:26" x14ac:dyDescent="0.4">
      <c r="A284" t="s">
        <v>1443</v>
      </c>
      <c r="B284" t="s">
        <v>1228</v>
      </c>
      <c r="C284" t="s">
        <v>112</v>
      </c>
      <c r="D284" t="s">
        <v>1444</v>
      </c>
      <c r="E284" t="s">
        <v>163</v>
      </c>
      <c r="F284">
        <v>77</v>
      </c>
      <c r="G284">
        <v>79</v>
      </c>
      <c r="H284">
        <v>65</v>
      </c>
      <c r="I284" t="s">
        <v>57</v>
      </c>
      <c r="J284" s="7">
        <f t="shared" si="36"/>
        <v>4</v>
      </c>
      <c r="K284" s="1">
        <v>45300</v>
      </c>
      <c r="L284" s="1">
        <f t="shared" si="37"/>
        <v>45300</v>
      </c>
      <c r="M284" t="s">
        <v>215</v>
      </c>
      <c r="N284" s="1">
        <f t="shared" si="38"/>
        <v>45368</v>
      </c>
      <c r="O284" t="s">
        <v>609</v>
      </c>
      <c r="P284" s="1">
        <f t="shared" si="39"/>
        <v>45504</v>
      </c>
      <c r="Q284" t="s">
        <v>1445</v>
      </c>
      <c r="R284">
        <v>62</v>
      </c>
      <c r="S284">
        <v>75</v>
      </c>
      <c r="T284" t="s">
        <v>42</v>
      </c>
      <c r="U284" s="8">
        <v>248</v>
      </c>
      <c r="V284" s="8">
        <f t="shared" si="40"/>
        <v>308</v>
      </c>
      <c r="W284" t="str">
        <f t="shared" si="41"/>
        <v>Reorder Required</v>
      </c>
      <c r="X284" s="9">
        <f t="shared" si="42"/>
        <v>45292</v>
      </c>
      <c r="Y284">
        <f t="shared" si="43"/>
        <v>204</v>
      </c>
      <c r="Z284" t="str">
        <f t="shared" si="44"/>
        <v>Low Risk</v>
      </c>
    </row>
    <row r="285" spans="1:26" x14ac:dyDescent="0.4">
      <c r="A285" t="s">
        <v>1446</v>
      </c>
      <c r="B285" t="s">
        <v>1447</v>
      </c>
      <c r="C285" t="s">
        <v>54</v>
      </c>
      <c r="D285" t="s">
        <v>1448</v>
      </c>
      <c r="E285" t="s">
        <v>1373</v>
      </c>
      <c r="F285">
        <v>38</v>
      </c>
      <c r="G285">
        <v>22</v>
      </c>
      <c r="H285">
        <v>71</v>
      </c>
      <c r="I285" t="s">
        <v>220</v>
      </c>
      <c r="J285" s="7">
        <f t="shared" si="36"/>
        <v>5</v>
      </c>
      <c r="K285" s="1">
        <v>45483</v>
      </c>
      <c r="L285" s="1">
        <f t="shared" si="37"/>
        <v>45483</v>
      </c>
      <c r="M285" t="s">
        <v>347</v>
      </c>
      <c r="N285" s="1">
        <f t="shared" si="38"/>
        <v>45428</v>
      </c>
      <c r="O285" s="1">
        <v>45509</v>
      </c>
      <c r="P285" s="1">
        <f t="shared" si="39"/>
        <v>45509</v>
      </c>
      <c r="Q285" t="s">
        <v>1449</v>
      </c>
      <c r="R285">
        <v>33</v>
      </c>
      <c r="S285">
        <v>62</v>
      </c>
      <c r="T285" t="s">
        <v>51</v>
      </c>
      <c r="U285" s="8">
        <v>165</v>
      </c>
      <c r="V285" s="8">
        <f t="shared" si="40"/>
        <v>190</v>
      </c>
      <c r="W285" t="str">
        <f t="shared" si="41"/>
        <v>Sufficient Stock</v>
      </c>
      <c r="X285" s="9">
        <f t="shared" si="42"/>
        <v>45474</v>
      </c>
      <c r="Y285">
        <f t="shared" si="43"/>
        <v>26</v>
      </c>
      <c r="Z285" t="str">
        <f t="shared" si="44"/>
        <v>Critical</v>
      </c>
    </row>
    <row r="286" spans="1:26" x14ac:dyDescent="0.4">
      <c r="A286" t="s">
        <v>1450</v>
      </c>
      <c r="B286" t="s">
        <v>677</v>
      </c>
      <c r="C286" t="s">
        <v>169</v>
      </c>
      <c r="D286" t="s">
        <v>1451</v>
      </c>
      <c r="E286" t="s">
        <v>1452</v>
      </c>
      <c r="F286">
        <v>93</v>
      </c>
      <c r="G286">
        <v>25</v>
      </c>
      <c r="H286">
        <v>23</v>
      </c>
      <c r="I286" t="s">
        <v>134</v>
      </c>
      <c r="J286" s="7">
        <f t="shared" si="36"/>
        <v>7</v>
      </c>
      <c r="K286" t="s">
        <v>1146</v>
      </c>
      <c r="L286" s="1">
        <f t="shared" si="37"/>
        <v>45464</v>
      </c>
      <c r="M286" t="s">
        <v>173</v>
      </c>
      <c r="N286" s="1">
        <f t="shared" si="38"/>
        <v>45521</v>
      </c>
      <c r="O286" t="s">
        <v>644</v>
      </c>
      <c r="P286" s="1">
        <f t="shared" si="39"/>
        <v>45411</v>
      </c>
      <c r="Q286" t="s">
        <v>1453</v>
      </c>
      <c r="R286">
        <v>72</v>
      </c>
      <c r="S286">
        <v>83</v>
      </c>
      <c r="T286" t="s">
        <v>42</v>
      </c>
      <c r="U286" s="8">
        <v>504</v>
      </c>
      <c r="V286" s="8">
        <f t="shared" si="40"/>
        <v>651</v>
      </c>
      <c r="W286" t="str">
        <f t="shared" si="41"/>
        <v>Sufficient Stock</v>
      </c>
      <c r="X286" s="9">
        <f t="shared" si="42"/>
        <v>45444</v>
      </c>
      <c r="Y286">
        <f t="shared" si="43"/>
        <v>-53</v>
      </c>
      <c r="Z286" t="str">
        <f t="shared" si="44"/>
        <v>Invalid Data</v>
      </c>
    </row>
    <row r="287" spans="1:26" x14ac:dyDescent="0.4">
      <c r="A287" t="s">
        <v>1454</v>
      </c>
      <c r="B287" t="s">
        <v>1455</v>
      </c>
      <c r="C287" t="s">
        <v>77</v>
      </c>
      <c r="D287" t="s">
        <v>1456</v>
      </c>
      <c r="E287" t="s">
        <v>1457</v>
      </c>
      <c r="F287">
        <v>23</v>
      </c>
      <c r="G287">
        <v>100</v>
      </c>
      <c r="H287">
        <v>77</v>
      </c>
      <c r="I287" t="s">
        <v>106</v>
      </c>
      <c r="J287" s="7">
        <f t="shared" si="36"/>
        <v>2</v>
      </c>
      <c r="K287" s="1">
        <v>45570</v>
      </c>
      <c r="L287" s="1">
        <f t="shared" si="37"/>
        <v>45570</v>
      </c>
      <c r="M287" s="1">
        <v>45573</v>
      </c>
      <c r="N287" s="1">
        <f t="shared" si="38"/>
        <v>45573</v>
      </c>
      <c r="O287" s="1">
        <v>45385</v>
      </c>
      <c r="P287" s="1">
        <f t="shared" si="39"/>
        <v>45385</v>
      </c>
      <c r="Q287" t="s">
        <v>1458</v>
      </c>
      <c r="R287">
        <v>63</v>
      </c>
      <c r="S287">
        <v>26</v>
      </c>
      <c r="T287" t="s">
        <v>26</v>
      </c>
      <c r="U287" s="8">
        <v>126</v>
      </c>
      <c r="V287" s="8">
        <f t="shared" si="40"/>
        <v>46</v>
      </c>
      <c r="W287" t="str">
        <f t="shared" si="41"/>
        <v>Reorder Required</v>
      </c>
      <c r="X287" s="9">
        <f t="shared" si="42"/>
        <v>45566</v>
      </c>
      <c r="Y287">
        <f t="shared" si="43"/>
        <v>-185</v>
      </c>
      <c r="Z287" t="str">
        <f t="shared" si="44"/>
        <v>Invalid Data</v>
      </c>
    </row>
    <row r="288" spans="1:26" x14ac:dyDescent="0.4">
      <c r="A288" t="s">
        <v>1459</v>
      </c>
      <c r="B288" t="s">
        <v>869</v>
      </c>
      <c r="C288" t="s">
        <v>29</v>
      </c>
      <c r="D288" t="s">
        <v>1460</v>
      </c>
      <c r="E288" t="s">
        <v>1461</v>
      </c>
      <c r="F288">
        <v>51</v>
      </c>
      <c r="G288">
        <v>1</v>
      </c>
      <c r="H288">
        <v>61</v>
      </c>
      <c r="I288" t="s">
        <v>1462</v>
      </c>
      <c r="J288" s="7">
        <f t="shared" si="36"/>
        <v>7.6</v>
      </c>
      <c r="K288" t="s">
        <v>1209</v>
      </c>
      <c r="L288" s="1">
        <f t="shared" si="37"/>
        <v>45380</v>
      </c>
      <c r="M288" t="s">
        <v>1463</v>
      </c>
      <c r="N288" s="1">
        <f t="shared" si="38"/>
        <v>45461</v>
      </c>
      <c r="O288" t="s">
        <v>341</v>
      </c>
      <c r="P288" s="1">
        <f t="shared" si="39"/>
        <v>45613</v>
      </c>
      <c r="Q288" t="s">
        <v>1464</v>
      </c>
      <c r="R288">
        <v>96</v>
      </c>
      <c r="S288">
        <v>26</v>
      </c>
      <c r="T288" t="s">
        <v>51</v>
      </c>
      <c r="U288" s="8">
        <v>729.59999999999991</v>
      </c>
      <c r="V288" s="8">
        <f t="shared" si="40"/>
        <v>387.59999999999997</v>
      </c>
      <c r="W288" t="str">
        <f t="shared" si="41"/>
        <v>Sufficient Stock</v>
      </c>
      <c r="X288" s="9">
        <f t="shared" si="42"/>
        <v>45352</v>
      </c>
      <c r="Y288">
        <f t="shared" si="43"/>
        <v>233</v>
      </c>
      <c r="Z288" t="str">
        <f t="shared" si="44"/>
        <v>Low Risk</v>
      </c>
    </row>
    <row r="289" spans="1:26" x14ac:dyDescent="0.4">
      <c r="A289" t="s">
        <v>1465</v>
      </c>
      <c r="B289" t="s">
        <v>492</v>
      </c>
      <c r="C289" t="s">
        <v>77</v>
      </c>
      <c r="D289" t="s">
        <v>1466</v>
      </c>
      <c r="E289" t="s">
        <v>1467</v>
      </c>
      <c r="F289">
        <v>57</v>
      </c>
      <c r="G289">
        <v>62</v>
      </c>
      <c r="H289">
        <v>72</v>
      </c>
      <c r="I289" t="s">
        <v>57</v>
      </c>
      <c r="J289" s="7">
        <f t="shared" si="36"/>
        <v>4</v>
      </c>
      <c r="K289" t="s">
        <v>1116</v>
      </c>
      <c r="L289" s="1">
        <f t="shared" si="37"/>
        <v>45709</v>
      </c>
      <c r="M289" t="s">
        <v>935</v>
      </c>
      <c r="N289" s="1">
        <f t="shared" si="38"/>
        <v>45560</v>
      </c>
      <c r="O289" s="1">
        <v>45573</v>
      </c>
      <c r="P289" s="1">
        <f t="shared" si="39"/>
        <v>45573</v>
      </c>
      <c r="Q289" t="s">
        <v>1468</v>
      </c>
      <c r="R289">
        <v>23</v>
      </c>
      <c r="S289">
        <v>4</v>
      </c>
      <c r="T289" t="s">
        <v>42</v>
      </c>
      <c r="U289" s="8">
        <v>92</v>
      </c>
      <c r="V289" s="8">
        <f t="shared" si="40"/>
        <v>228</v>
      </c>
      <c r="W289" t="str">
        <f t="shared" si="41"/>
        <v>Reorder Required</v>
      </c>
      <c r="X289" s="9">
        <f t="shared" si="42"/>
        <v>45689</v>
      </c>
      <c r="Y289">
        <f t="shared" si="43"/>
        <v>-136</v>
      </c>
      <c r="Z289" t="str">
        <f t="shared" si="44"/>
        <v>Invalid Data</v>
      </c>
    </row>
    <row r="290" spans="1:26" x14ac:dyDescent="0.4">
      <c r="A290" t="s">
        <v>1469</v>
      </c>
      <c r="B290" t="s">
        <v>1470</v>
      </c>
      <c r="C290" t="s">
        <v>54</v>
      </c>
      <c r="D290" t="s">
        <v>1471</v>
      </c>
      <c r="E290" t="s">
        <v>1399</v>
      </c>
      <c r="F290">
        <v>59</v>
      </c>
      <c r="G290">
        <v>74</v>
      </c>
      <c r="H290">
        <v>100</v>
      </c>
      <c r="I290" t="s">
        <v>21</v>
      </c>
      <c r="J290" s="7">
        <f t="shared" si="36"/>
        <v>4.5</v>
      </c>
      <c r="K290" t="s">
        <v>360</v>
      </c>
      <c r="L290" s="1">
        <f t="shared" si="37"/>
        <v>45377</v>
      </c>
      <c r="M290" t="s">
        <v>434</v>
      </c>
      <c r="N290" s="1">
        <f t="shared" si="38"/>
        <v>45550</v>
      </c>
      <c r="O290" s="1">
        <v>45637</v>
      </c>
      <c r="P290" s="1">
        <f t="shared" si="39"/>
        <v>45637</v>
      </c>
      <c r="Q290" t="s">
        <v>1472</v>
      </c>
      <c r="R290">
        <v>63</v>
      </c>
      <c r="S290">
        <v>69</v>
      </c>
      <c r="T290" t="s">
        <v>51</v>
      </c>
      <c r="U290" s="8">
        <v>283.5</v>
      </c>
      <c r="V290" s="8">
        <f t="shared" si="40"/>
        <v>265.5</v>
      </c>
      <c r="W290" t="str">
        <f t="shared" si="41"/>
        <v>Reorder Required</v>
      </c>
      <c r="X290" s="9">
        <f t="shared" si="42"/>
        <v>45352</v>
      </c>
      <c r="Y290">
        <f t="shared" si="43"/>
        <v>260</v>
      </c>
      <c r="Z290" t="str">
        <f t="shared" si="44"/>
        <v>Low Risk</v>
      </c>
    </row>
    <row r="291" spans="1:26" x14ac:dyDescent="0.4">
      <c r="A291" t="s">
        <v>1473</v>
      </c>
      <c r="B291" t="s">
        <v>588</v>
      </c>
      <c r="C291" t="s">
        <v>54</v>
      </c>
      <c r="D291" t="s">
        <v>1474</v>
      </c>
      <c r="E291" t="s">
        <v>327</v>
      </c>
      <c r="F291">
        <v>89</v>
      </c>
      <c r="G291">
        <v>15</v>
      </c>
      <c r="H291">
        <v>22</v>
      </c>
      <c r="I291" t="s">
        <v>591</v>
      </c>
      <c r="J291" s="7">
        <f t="shared" si="36"/>
        <v>10</v>
      </c>
      <c r="K291" t="s">
        <v>341</v>
      </c>
      <c r="L291" s="1">
        <f t="shared" si="37"/>
        <v>45613</v>
      </c>
      <c r="M291" s="1">
        <v>45963</v>
      </c>
      <c r="N291" s="1">
        <f t="shared" si="38"/>
        <v>45963</v>
      </c>
      <c r="O291" s="1">
        <v>45356</v>
      </c>
      <c r="P291" s="1">
        <f t="shared" si="39"/>
        <v>45356</v>
      </c>
      <c r="Q291" t="s">
        <v>1475</v>
      </c>
      <c r="R291">
        <v>79</v>
      </c>
      <c r="S291">
        <v>42</v>
      </c>
      <c r="T291" t="s">
        <v>26</v>
      </c>
      <c r="U291" s="8">
        <v>790</v>
      </c>
      <c r="V291" s="8">
        <f t="shared" si="40"/>
        <v>890</v>
      </c>
      <c r="W291" t="str">
        <f t="shared" si="41"/>
        <v>Sufficient Stock</v>
      </c>
      <c r="X291" s="9">
        <f t="shared" si="42"/>
        <v>45597</v>
      </c>
      <c r="Y291">
        <f t="shared" si="43"/>
        <v>-257</v>
      </c>
      <c r="Z291" t="str">
        <f t="shared" si="44"/>
        <v>Invalid Data</v>
      </c>
    </row>
    <row r="292" spans="1:26" x14ac:dyDescent="0.4">
      <c r="A292" t="s">
        <v>1476</v>
      </c>
      <c r="B292" t="s">
        <v>588</v>
      </c>
      <c r="C292" t="s">
        <v>54</v>
      </c>
      <c r="D292" t="s">
        <v>1477</v>
      </c>
      <c r="E292" t="s">
        <v>250</v>
      </c>
      <c r="F292">
        <v>53</v>
      </c>
      <c r="G292">
        <v>98</v>
      </c>
      <c r="H292">
        <v>25</v>
      </c>
      <c r="I292" t="s">
        <v>591</v>
      </c>
      <c r="J292" s="7">
        <f t="shared" si="36"/>
        <v>10</v>
      </c>
      <c r="K292" t="s">
        <v>435</v>
      </c>
      <c r="L292" s="1">
        <f t="shared" si="37"/>
        <v>45558</v>
      </c>
      <c r="M292" s="1">
        <v>45391</v>
      </c>
      <c r="N292" s="1">
        <f t="shared" si="38"/>
        <v>45391</v>
      </c>
      <c r="O292" t="s">
        <v>230</v>
      </c>
      <c r="P292" s="1">
        <f t="shared" si="39"/>
        <v>45646</v>
      </c>
      <c r="Q292" t="s">
        <v>1478</v>
      </c>
      <c r="R292">
        <v>55</v>
      </c>
      <c r="S292">
        <v>51</v>
      </c>
      <c r="T292" t="s">
        <v>51</v>
      </c>
      <c r="U292" s="8">
        <v>550</v>
      </c>
      <c r="V292" s="8">
        <f t="shared" si="40"/>
        <v>530</v>
      </c>
      <c r="W292" t="str">
        <f t="shared" si="41"/>
        <v>Reorder Required</v>
      </c>
      <c r="X292" s="9">
        <f t="shared" si="42"/>
        <v>45536</v>
      </c>
      <c r="Y292">
        <f t="shared" si="43"/>
        <v>88</v>
      </c>
      <c r="Z292" t="str">
        <f t="shared" si="44"/>
        <v>High Risk</v>
      </c>
    </row>
    <row r="293" spans="1:26" x14ac:dyDescent="0.4">
      <c r="A293" t="s">
        <v>1479</v>
      </c>
      <c r="B293" t="s">
        <v>53</v>
      </c>
      <c r="C293" t="s">
        <v>54</v>
      </c>
      <c r="D293" t="s">
        <v>1480</v>
      </c>
      <c r="E293" t="s">
        <v>791</v>
      </c>
      <c r="F293">
        <v>11</v>
      </c>
      <c r="G293">
        <v>56</v>
      </c>
      <c r="H293">
        <v>62</v>
      </c>
      <c r="I293" t="s">
        <v>1481</v>
      </c>
      <c r="J293" s="7">
        <f t="shared" si="36"/>
        <v>3.9</v>
      </c>
      <c r="K293" t="s">
        <v>1482</v>
      </c>
      <c r="L293" s="1">
        <f t="shared" si="37"/>
        <v>45396</v>
      </c>
      <c r="M293" s="1">
        <v>45931</v>
      </c>
      <c r="N293" s="1">
        <f t="shared" si="38"/>
        <v>45931</v>
      </c>
      <c r="O293" s="1">
        <v>45575</v>
      </c>
      <c r="P293" s="1">
        <f t="shared" si="39"/>
        <v>45575</v>
      </c>
      <c r="Q293" t="s">
        <v>1483</v>
      </c>
      <c r="R293">
        <v>40</v>
      </c>
      <c r="S293">
        <v>5</v>
      </c>
      <c r="T293" t="s">
        <v>42</v>
      </c>
      <c r="U293" s="8">
        <v>156</v>
      </c>
      <c r="V293" s="8">
        <f t="shared" si="40"/>
        <v>42.9</v>
      </c>
      <c r="W293" t="str">
        <f t="shared" si="41"/>
        <v>Reorder Required</v>
      </c>
      <c r="X293" s="9">
        <f t="shared" si="42"/>
        <v>45383</v>
      </c>
      <c r="Y293">
        <f t="shared" si="43"/>
        <v>179</v>
      </c>
      <c r="Z293" t="str">
        <f t="shared" si="44"/>
        <v>Medium Risk</v>
      </c>
    </row>
    <row r="294" spans="1:26" x14ac:dyDescent="0.4">
      <c r="A294" t="s">
        <v>1484</v>
      </c>
      <c r="B294" t="s">
        <v>1485</v>
      </c>
      <c r="C294" t="s">
        <v>77</v>
      </c>
      <c r="D294" t="s">
        <v>1486</v>
      </c>
      <c r="E294" t="s">
        <v>1487</v>
      </c>
      <c r="F294">
        <v>59</v>
      </c>
      <c r="G294">
        <v>27</v>
      </c>
      <c r="H294">
        <v>63</v>
      </c>
      <c r="I294" t="s">
        <v>63</v>
      </c>
      <c r="J294" s="7">
        <f t="shared" si="36"/>
        <v>1.75</v>
      </c>
      <c r="K294" t="s">
        <v>1005</v>
      </c>
      <c r="L294" s="1">
        <f t="shared" si="37"/>
        <v>45458</v>
      </c>
      <c r="M294" t="s">
        <v>1488</v>
      </c>
      <c r="N294" s="1">
        <f t="shared" si="38"/>
        <v>45470</v>
      </c>
      <c r="O294" s="1">
        <v>45659</v>
      </c>
      <c r="P294" s="1">
        <f t="shared" si="39"/>
        <v>45659</v>
      </c>
      <c r="Q294" t="s">
        <v>1489</v>
      </c>
      <c r="R294">
        <v>92</v>
      </c>
      <c r="S294">
        <v>82</v>
      </c>
      <c r="T294" t="s">
        <v>26</v>
      </c>
      <c r="U294" s="8">
        <v>161</v>
      </c>
      <c r="V294" s="8">
        <f t="shared" si="40"/>
        <v>103.25</v>
      </c>
      <c r="W294" t="str">
        <f t="shared" si="41"/>
        <v>Sufficient Stock</v>
      </c>
      <c r="X294" s="9">
        <f t="shared" si="42"/>
        <v>45444</v>
      </c>
      <c r="Y294">
        <f t="shared" si="43"/>
        <v>201</v>
      </c>
      <c r="Z294" t="str">
        <f t="shared" si="44"/>
        <v>Low Risk</v>
      </c>
    </row>
    <row r="295" spans="1:26" x14ac:dyDescent="0.4">
      <c r="A295" t="s">
        <v>1490</v>
      </c>
      <c r="B295" t="s">
        <v>271</v>
      </c>
      <c r="C295" t="s">
        <v>54</v>
      </c>
      <c r="D295" t="s">
        <v>1491</v>
      </c>
      <c r="E295" t="s">
        <v>1492</v>
      </c>
      <c r="F295">
        <v>34</v>
      </c>
      <c r="G295">
        <v>29</v>
      </c>
      <c r="H295">
        <v>65</v>
      </c>
      <c r="I295" t="s">
        <v>106</v>
      </c>
      <c r="J295" s="7">
        <f t="shared" si="36"/>
        <v>2</v>
      </c>
      <c r="K295" s="1">
        <v>45356</v>
      </c>
      <c r="L295" s="1">
        <f t="shared" si="37"/>
        <v>45356</v>
      </c>
      <c r="M295" s="1">
        <v>45392</v>
      </c>
      <c r="N295" s="1">
        <f t="shared" si="38"/>
        <v>45392</v>
      </c>
      <c r="O295" t="s">
        <v>346</v>
      </c>
      <c r="P295" s="1">
        <f t="shared" si="39"/>
        <v>45618</v>
      </c>
      <c r="Q295" t="s">
        <v>1493</v>
      </c>
      <c r="R295">
        <v>90</v>
      </c>
      <c r="S295">
        <v>23</v>
      </c>
      <c r="T295" t="s">
        <v>26</v>
      </c>
      <c r="U295" s="8">
        <v>180</v>
      </c>
      <c r="V295" s="8">
        <f t="shared" si="40"/>
        <v>68</v>
      </c>
      <c r="W295" t="str">
        <f t="shared" si="41"/>
        <v>Sufficient Stock</v>
      </c>
      <c r="X295" s="9">
        <f t="shared" si="42"/>
        <v>45352</v>
      </c>
      <c r="Y295">
        <f t="shared" si="43"/>
        <v>262</v>
      </c>
      <c r="Z295" t="str">
        <f t="shared" si="44"/>
        <v>Low Risk</v>
      </c>
    </row>
    <row r="296" spans="1:26" x14ac:dyDescent="0.4">
      <c r="A296" t="s">
        <v>1494</v>
      </c>
      <c r="B296" t="s">
        <v>814</v>
      </c>
      <c r="C296" t="s">
        <v>169</v>
      </c>
      <c r="D296" t="s">
        <v>1495</v>
      </c>
      <c r="E296" t="s">
        <v>84</v>
      </c>
      <c r="F296">
        <v>25</v>
      </c>
      <c r="G296">
        <v>75</v>
      </c>
      <c r="H296">
        <v>27</v>
      </c>
      <c r="I296" t="s">
        <v>817</v>
      </c>
      <c r="J296" s="7">
        <f t="shared" si="36"/>
        <v>18</v>
      </c>
      <c r="K296" s="1">
        <v>45689</v>
      </c>
      <c r="L296" s="1">
        <f t="shared" si="37"/>
        <v>45689</v>
      </c>
      <c r="M296" s="1">
        <v>45422</v>
      </c>
      <c r="N296" s="1">
        <f t="shared" si="38"/>
        <v>45422</v>
      </c>
      <c r="O296" s="1">
        <v>45387</v>
      </c>
      <c r="P296" s="1">
        <f t="shared" si="39"/>
        <v>45387</v>
      </c>
      <c r="Q296" t="s">
        <v>1496</v>
      </c>
      <c r="R296">
        <v>31</v>
      </c>
      <c r="S296">
        <v>36</v>
      </c>
      <c r="T296" t="s">
        <v>51</v>
      </c>
      <c r="U296" s="8">
        <v>558</v>
      </c>
      <c r="V296" s="8">
        <f t="shared" si="40"/>
        <v>450</v>
      </c>
      <c r="W296" t="str">
        <f t="shared" si="41"/>
        <v>Reorder Required</v>
      </c>
      <c r="X296" s="9">
        <f t="shared" si="42"/>
        <v>45689</v>
      </c>
      <c r="Y296">
        <f t="shared" si="43"/>
        <v>-302</v>
      </c>
      <c r="Z296" t="str">
        <f t="shared" si="44"/>
        <v>Invalid Data</v>
      </c>
    </row>
    <row r="297" spans="1:26" x14ac:dyDescent="0.4">
      <c r="A297" t="s">
        <v>1497</v>
      </c>
      <c r="B297" t="s">
        <v>1017</v>
      </c>
      <c r="C297" t="s">
        <v>169</v>
      </c>
      <c r="D297" t="s">
        <v>1498</v>
      </c>
      <c r="E297" t="s">
        <v>1499</v>
      </c>
      <c r="F297">
        <v>81</v>
      </c>
      <c r="G297">
        <v>22</v>
      </c>
      <c r="H297">
        <v>20</v>
      </c>
      <c r="I297" t="s">
        <v>591</v>
      </c>
      <c r="J297" s="7">
        <f t="shared" si="36"/>
        <v>10</v>
      </c>
      <c r="K297" s="1">
        <v>45297</v>
      </c>
      <c r="L297" s="1">
        <f t="shared" si="37"/>
        <v>45297</v>
      </c>
      <c r="M297" t="s">
        <v>1500</v>
      </c>
      <c r="N297" s="1">
        <f t="shared" si="38"/>
        <v>45711</v>
      </c>
      <c r="O297" t="s">
        <v>1173</v>
      </c>
      <c r="P297" s="1">
        <f t="shared" si="39"/>
        <v>45526</v>
      </c>
      <c r="Q297" t="s">
        <v>1501</v>
      </c>
      <c r="R297">
        <v>95</v>
      </c>
      <c r="S297">
        <v>77</v>
      </c>
      <c r="T297" t="s">
        <v>26</v>
      </c>
      <c r="U297" s="8">
        <v>950</v>
      </c>
      <c r="V297" s="8">
        <f t="shared" si="40"/>
        <v>810</v>
      </c>
      <c r="W297" t="str">
        <f t="shared" si="41"/>
        <v>Sufficient Stock</v>
      </c>
      <c r="X297" s="9">
        <f t="shared" si="42"/>
        <v>45292</v>
      </c>
      <c r="Y297">
        <f t="shared" si="43"/>
        <v>229</v>
      </c>
      <c r="Z297" t="str">
        <f t="shared" si="44"/>
        <v>Low Risk</v>
      </c>
    </row>
    <row r="298" spans="1:26" x14ac:dyDescent="0.4">
      <c r="A298" t="s">
        <v>1502</v>
      </c>
      <c r="B298" t="s">
        <v>1503</v>
      </c>
      <c r="C298" t="s">
        <v>54</v>
      </c>
      <c r="D298" t="s">
        <v>1504</v>
      </c>
      <c r="E298" t="s">
        <v>1364</v>
      </c>
      <c r="F298">
        <v>81</v>
      </c>
      <c r="G298">
        <v>74</v>
      </c>
      <c r="H298">
        <v>45</v>
      </c>
      <c r="I298" t="s">
        <v>242</v>
      </c>
      <c r="J298" s="7">
        <f t="shared" si="36"/>
        <v>3.5</v>
      </c>
      <c r="K298" t="s">
        <v>1174</v>
      </c>
      <c r="L298" s="1">
        <f t="shared" si="37"/>
        <v>45677</v>
      </c>
      <c r="M298" t="s">
        <v>542</v>
      </c>
      <c r="N298" s="1">
        <f t="shared" si="38"/>
        <v>45684</v>
      </c>
      <c r="O298" s="1">
        <v>45992</v>
      </c>
      <c r="P298" s="1">
        <f t="shared" si="39"/>
        <v>45992</v>
      </c>
      <c r="Q298" t="s">
        <v>1505</v>
      </c>
      <c r="R298">
        <v>42</v>
      </c>
      <c r="S298">
        <v>23</v>
      </c>
      <c r="T298" t="s">
        <v>26</v>
      </c>
      <c r="U298" s="8">
        <v>147</v>
      </c>
      <c r="V298" s="8">
        <f t="shared" si="40"/>
        <v>283.5</v>
      </c>
      <c r="W298" t="str">
        <f t="shared" si="41"/>
        <v>Sufficient Stock</v>
      </c>
      <c r="X298" s="9">
        <f t="shared" si="42"/>
        <v>45658</v>
      </c>
      <c r="Y298">
        <f t="shared" si="43"/>
        <v>315</v>
      </c>
      <c r="Z298" t="str">
        <f t="shared" si="44"/>
        <v>Low Risk</v>
      </c>
    </row>
    <row r="299" spans="1:26" x14ac:dyDescent="0.4">
      <c r="A299" t="s">
        <v>1506</v>
      </c>
      <c r="B299" t="s">
        <v>994</v>
      </c>
      <c r="C299" t="s">
        <v>54</v>
      </c>
      <c r="D299" t="s">
        <v>1507</v>
      </c>
      <c r="E299" t="s">
        <v>613</v>
      </c>
      <c r="F299">
        <v>71</v>
      </c>
      <c r="G299">
        <v>4</v>
      </c>
      <c r="H299">
        <v>37</v>
      </c>
      <c r="I299" t="s">
        <v>85</v>
      </c>
      <c r="J299" s="7">
        <f t="shared" si="36"/>
        <v>3</v>
      </c>
      <c r="K299" t="s">
        <v>434</v>
      </c>
      <c r="L299" s="1">
        <f t="shared" si="37"/>
        <v>45550</v>
      </c>
      <c r="M299" t="s">
        <v>420</v>
      </c>
      <c r="N299" s="1">
        <f t="shared" si="38"/>
        <v>45589</v>
      </c>
      <c r="O299" t="s">
        <v>1508</v>
      </c>
      <c r="P299" s="1">
        <f t="shared" si="39"/>
        <v>45653</v>
      </c>
      <c r="Q299" t="s">
        <v>1509</v>
      </c>
      <c r="R299">
        <v>81</v>
      </c>
      <c r="S299">
        <v>25</v>
      </c>
      <c r="T299" t="s">
        <v>26</v>
      </c>
      <c r="U299" s="8">
        <v>243</v>
      </c>
      <c r="V299" s="8">
        <f t="shared" si="40"/>
        <v>213</v>
      </c>
      <c r="W299" t="str">
        <f t="shared" si="41"/>
        <v>Sufficient Stock</v>
      </c>
      <c r="X299" s="9">
        <f t="shared" si="42"/>
        <v>45536</v>
      </c>
      <c r="Y299">
        <f t="shared" si="43"/>
        <v>103</v>
      </c>
      <c r="Z299" t="str">
        <f t="shared" si="44"/>
        <v>Medium Risk</v>
      </c>
    </row>
    <row r="300" spans="1:26" x14ac:dyDescent="0.4">
      <c r="A300" t="s">
        <v>1510</v>
      </c>
      <c r="B300" t="s">
        <v>779</v>
      </c>
      <c r="C300" t="s">
        <v>54</v>
      </c>
      <c r="D300" t="s">
        <v>1511</v>
      </c>
      <c r="E300" t="s">
        <v>1512</v>
      </c>
      <c r="F300">
        <v>52</v>
      </c>
      <c r="G300">
        <v>22</v>
      </c>
      <c r="H300">
        <v>37</v>
      </c>
      <c r="I300" t="s">
        <v>71</v>
      </c>
      <c r="J300" s="7">
        <f t="shared" si="36"/>
        <v>2.5</v>
      </c>
      <c r="K300" t="s">
        <v>267</v>
      </c>
      <c r="L300" s="1">
        <f t="shared" si="37"/>
        <v>45593</v>
      </c>
      <c r="M300" s="1">
        <v>45572</v>
      </c>
      <c r="N300" s="1">
        <f t="shared" si="38"/>
        <v>45572</v>
      </c>
      <c r="O300" t="s">
        <v>561</v>
      </c>
      <c r="P300" s="1">
        <f t="shared" si="39"/>
        <v>45375</v>
      </c>
      <c r="Q300" t="s">
        <v>1513</v>
      </c>
      <c r="R300">
        <v>56</v>
      </c>
      <c r="S300">
        <v>44</v>
      </c>
      <c r="T300" t="s">
        <v>51</v>
      </c>
      <c r="U300" s="8">
        <v>140</v>
      </c>
      <c r="V300" s="8">
        <f t="shared" si="40"/>
        <v>130</v>
      </c>
      <c r="W300" t="str">
        <f t="shared" si="41"/>
        <v>Sufficient Stock</v>
      </c>
      <c r="X300" s="9">
        <f t="shared" si="42"/>
        <v>45566</v>
      </c>
      <c r="Y300">
        <f t="shared" si="43"/>
        <v>-218</v>
      </c>
      <c r="Z300" t="str">
        <f t="shared" si="44"/>
        <v>Invalid Data</v>
      </c>
    </row>
    <row r="301" spans="1:26" x14ac:dyDescent="0.4">
      <c r="A301" t="s">
        <v>1514</v>
      </c>
      <c r="B301" t="s">
        <v>82</v>
      </c>
      <c r="C301" t="s">
        <v>77</v>
      </c>
      <c r="D301" t="s">
        <v>1515</v>
      </c>
      <c r="E301" t="s">
        <v>1516</v>
      </c>
      <c r="F301">
        <v>26</v>
      </c>
      <c r="G301">
        <v>54</v>
      </c>
      <c r="H301">
        <v>90</v>
      </c>
      <c r="I301" t="s">
        <v>85</v>
      </c>
      <c r="J301" s="7">
        <f t="shared" si="36"/>
        <v>3</v>
      </c>
      <c r="K301" t="s">
        <v>1205</v>
      </c>
      <c r="L301" s="1">
        <f t="shared" si="37"/>
        <v>45580</v>
      </c>
      <c r="M301" t="s">
        <v>792</v>
      </c>
      <c r="N301" s="1">
        <f t="shared" si="38"/>
        <v>45462</v>
      </c>
      <c r="O301" t="s">
        <v>299</v>
      </c>
      <c r="P301" s="1">
        <f t="shared" si="39"/>
        <v>45678</v>
      </c>
      <c r="Q301" t="s">
        <v>1517</v>
      </c>
      <c r="R301">
        <v>25</v>
      </c>
      <c r="S301">
        <v>81</v>
      </c>
      <c r="T301" t="s">
        <v>51</v>
      </c>
      <c r="U301" s="8">
        <v>75</v>
      </c>
      <c r="V301" s="8">
        <f t="shared" si="40"/>
        <v>78</v>
      </c>
      <c r="W301" t="str">
        <f t="shared" si="41"/>
        <v>Reorder Required</v>
      </c>
      <c r="X301" s="9">
        <f t="shared" si="42"/>
        <v>45566</v>
      </c>
      <c r="Y301">
        <f t="shared" si="43"/>
        <v>98</v>
      </c>
      <c r="Z301" t="str">
        <f t="shared" si="44"/>
        <v>Medium Risk</v>
      </c>
    </row>
    <row r="302" spans="1:26" x14ac:dyDescent="0.4">
      <c r="A302" t="s">
        <v>1518</v>
      </c>
      <c r="B302" t="s">
        <v>263</v>
      </c>
      <c r="C302" t="s">
        <v>169</v>
      </c>
      <c r="D302" t="s">
        <v>1519</v>
      </c>
      <c r="E302" t="s">
        <v>1520</v>
      </c>
      <c r="F302">
        <v>84</v>
      </c>
      <c r="G302">
        <v>8</v>
      </c>
      <c r="H302">
        <v>54</v>
      </c>
      <c r="I302" t="s">
        <v>266</v>
      </c>
      <c r="J302" s="7">
        <f t="shared" si="36"/>
        <v>9</v>
      </c>
      <c r="K302" t="s">
        <v>1217</v>
      </c>
      <c r="L302" s="1">
        <f t="shared" si="37"/>
        <v>45671</v>
      </c>
      <c r="M302" t="s">
        <v>956</v>
      </c>
      <c r="N302" s="1">
        <f t="shared" si="38"/>
        <v>45405</v>
      </c>
      <c r="O302" s="1">
        <v>45538</v>
      </c>
      <c r="P302" s="1">
        <f t="shared" si="39"/>
        <v>45538</v>
      </c>
      <c r="Q302" t="s">
        <v>1521</v>
      </c>
      <c r="R302">
        <v>60</v>
      </c>
      <c r="S302">
        <v>38</v>
      </c>
      <c r="T302" t="s">
        <v>51</v>
      </c>
      <c r="U302" s="8">
        <v>540</v>
      </c>
      <c r="V302" s="8">
        <f t="shared" si="40"/>
        <v>756</v>
      </c>
      <c r="W302" t="str">
        <f t="shared" si="41"/>
        <v>Sufficient Stock</v>
      </c>
      <c r="X302" s="9">
        <f t="shared" si="42"/>
        <v>45658</v>
      </c>
      <c r="Y302">
        <f t="shared" si="43"/>
        <v>-133</v>
      </c>
      <c r="Z302" t="str">
        <f t="shared" si="44"/>
        <v>Invalid Data</v>
      </c>
    </row>
    <row r="303" spans="1:26" x14ac:dyDescent="0.4">
      <c r="A303" t="s">
        <v>1522</v>
      </c>
      <c r="B303" t="s">
        <v>588</v>
      </c>
      <c r="C303" t="s">
        <v>54</v>
      </c>
      <c r="D303" t="s">
        <v>1523</v>
      </c>
      <c r="E303" t="s">
        <v>796</v>
      </c>
      <c r="F303">
        <v>28</v>
      </c>
      <c r="G303">
        <v>86</v>
      </c>
      <c r="H303">
        <v>44</v>
      </c>
      <c r="I303" t="s">
        <v>591</v>
      </c>
      <c r="J303" s="7">
        <f t="shared" si="36"/>
        <v>10</v>
      </c>
      <c r="K303" t="s">
        <v>811</v>
      </c>
      <c r="L303" s="1">
        <f t="shared" si="37"/>
        <v>45435</v>
      </c>
      <c r="M303" t="s">
        <v>92</v>
      </c>
      <c r="N303" s="1">
        <f t="shared" si="38"/>
        <v>45614</v>
      </c>
      <c r="O303" t="s">
        <v>525</v>
      </c>
      <c r="P303" s="1">
        <f t="shared" si="39"/>
        <v>45502</v>
      </c>
      <c r="Q303" t="s">
        <v>1524</v>
      </c>
      <c r="R303">
        <v>48</v>
      </c>
      <c r="S303">
        <v>12</v>
      </c>
      <c r="T303" t="s">
        <v>42</v>
      </c>
      <c r="U303" s="8">
        <v>480</v>
      </c>
      <c r="V303" s="8">
        <f t="shared" si="40"/>
        <v>280</v>
      </c>
      <c r="W303" t="str">
        <f t="shared" si="41"/>
        <v>Reorder Required</v>
      </c>
      <c r="X303" s="9">
        <f t="shared" si="42"/>
        <v>45413</v>
      </c>
      <c r="Y303">
        <f t="shared" si="43"/>
        <v>67</v>
      </c>
      <c r="Z303" t="str">
        <f t="shared" si="44"/>
        <v>High Risk</v>
      </c>
    </row>
    <row r="304" spans="1:26" x14ac:dyDescent="0.4">
      <c r="A304" t="s">
        <v>1525</v>
      </c>
      <c r="B304" t="s">
        <v>124</v>
      </c>
      <c r="C304" t="s">
        <v>54</v>
      </c>
      <c r="D304" t="s">
        <v>1526</v>
      </c>
      <c r="E304" t="s">
        <v>1527</v>
      </c>
      <c r="F304">
        <v>94</v>
      </c>
      <c r="G304">
        <v>77</v>
      </c>
      <c r="H304">
        <v>89</v>
      </c>
      <c r="I304" t="s">
        <v>39</v>
      </c>
      <c r="J304" s="7">
        <f t="shared" si="36"/>
        <v>6</v>
      </c>
      <c r="K304" t="s">
        <v>179</v>
      </c>
      <c r="L304" s="1">
        <f t="shared" si="37"/>
        <v>45565</v>
      </c>
      <c r="M304" t="s">
        <v>73</v>
      </c>
      <c r="N304" s="1">
        <f t="shared" si="38"/>
        <v>45463</v>
      </c>
      <c r="O304" t="s">
        <v>1146</v>
      </c>
      <c r="P304" s="1">
        <f t="shared" si="39"/>
        <v>45464</v>
      </c>
      <c r="Q304" t="s">
        <v>1528</v>
      </c>
      <c r="R304">
        <v>40</v>
      </c>
      <c r="S304">
        <v>84</v>
      </c>
      <c r="T304" t="s">
        <v>26</v>
      </c>
      <c r="U304" s="8">
        <v>240</v>
      </c>
      <c r="V304" s="8">
        <f t="shared" si="40"/>
        <v>564</v>
      </c>
      <c r="W304" t="str">
        <f t="shared" si="41"/>
        <v>Sufficient Stock</v>
      </c>
      <c r="X304" s="9">
        <f t="shared" si="42"/>
        <v>45536</v>
      </c>
      <c r="Y304">
        <f t="shared" si="43"/>
        <v>-101</v>
      </c>
      <c r="Z304" t="str">
        <f t="shared" si="44"/>
        <v>Invalid Data</v>
      </c>
    </row>
    <row r="305" spans="1:26" x14ac:dyDescent="0.4">
      <c r="A305" t="s">
        <v>1529</v>
      </c>
      <c r="B305" t="s">
        <v>350</v>
      </c>
      <c r="C305" t="s">
        <v>54</v>
      </c>
      <c r="D305" t="s">
        <v>1530</v>
      </c>
      <c r="E305" t="s">
        <v>1531</v>
      </c>
      <c r="F305">
        <v>47</v>
      </c>
      <c r="G305">
        <v>75</v>
      </c>
      <c r="H305">
        <v>53</v>
      </c>
      <c r="I305" t="s">
        <v>39</v>
      </c>
      <c r="J305" s="7">
        <f t="shared" si="36"/>
        <v>6</v>
      </c>
      <c r="K305" s="1">
        <v>45810</v>
      </c>
      <c r="L305" s="1">
        <f t="shared" si="37"/>
        <v>45810</v>
      </c>
      <c r="M305" s="1">
        <v>45361</v>
      </c>
      <c r="N305" s="1">
        <f t="shared" si="38"/>
        <v>45361</v>
      </c>
      <c r="O305" s="1">
        <v>45358</v>
      </c>
      <c r="P305" s="1">
        <f t="shared" si="39"/>
        <v>45358</v>
      </c>
      <c r="Q305" t="s">
        <v>1532</v>
      </c>
      <c r="R305">
        <v>70</v>
      </c>
      <c r="S305">
        <v>20</v>
      </c>
      <c r="T305" t="s">
        <v>26</v>
      </c>
      <c r="U305" s="8">
        <v>420</v>
      </c>
      <c r="V305" s="8">
        <f t="shared" si="40"/>
        <v>282</v>
      </c>
      <c r="W305" t="str">
        <f t="shared" si="41"/>
        <v>Reorder Required</v>
      </c>
      <c r="X305" s="9">
        <f t="shared" si="42"/>
        <v>45809</v>
      </c>
      <c r="Y305">
        <f t="shared" si="43"/>
        <v>-452</v>
      </c>
      <c r="Z305" t="str">
        <f t="shared" si="44"/>
        <v>Invalid Data</v>
      </c>
    </row>
    <row r="306" spans="1:26" x14ac:dyDescent="0.4">
      <c r="A306" t="s">
        <v>1533</v>
      </c>
      <c r="B306" t="s">
        <v>1534</v>
      </c>
      <c r="C306" t="s">
        <v>18</v>
      </c>
      <c r="D306" t="s">
        <v>1535</v>
      </c>
      <c r="E306" t="s">
        <v>1216</v>
      </c>
      <c r="F306">
        <v>20</v>
      </c>
      <c r="G306">
        <v>51</v>
      </c>
      <c r="H306">
        <v>21</v>
      </c>
      <c r="I306" t="s">
        <v>220</v>
      </c>
      <c r="J306" s="7">
        <f t="shared" si="36"/>
        <v>5</v>
      </c>
      <c r="K306" t="s">
        <v>409</v>
      </c>
      <c r="L306" s="1">
        <f t="shared" si="37"/>
        <v>45370</v>
      </c>
      <c r="M306" t="s">
        <v>358</v>
      </c>
      <c r="N306" s="1">
        <f t="shared" si="38"/>
        <v>45501</v>
      </c>
      <c r="O306" t="s">
        <v>1463</v>
      </c>
      <c r="P306" s="1">
        <f t="shared" si="39"/>
        <v>45461</v>
      </c>
      <c r="Q306" t="s">
        <v>1536</v>
      </c>
      <c r="R306">
        <v>71</v>
      </c>
      <c r="S306">
        <v>26</v>
      </c>
      <c r="T306" t="s">
        <v>42</v>
      </c>
      <c r="U306" s="8">
        <v>355</v>
      </c>
      <c r="V306" s="8">
        <f t="shared" si="40"/>
        <v>100</v>
      </c>
      <c r="W306" t="str">
        <f t="shared" si="41"/>
        <v>Reorder Required</v>
      </c>
      <c r="X306" s="9">
        <f t="shared" si="42"/>
        <v>45352</v>
      </c>
      <c r="Y306">
        <f t="shared" si="43"/>
        <v>91</v>
      </c>
      <c r="Z306" t="str">
        <f t="shared" si="44"/>
        <v>Medium Risk</v>
      </c>
    </row>
    <row r="307" spans="1:26" x14ac:dyDescent="0.4">
      <c r="A307" t="s">
        <v>1537</v>
      </c>
      <c r="B307" t="s">
        <v>1538</v>
      </c>
      <c r="C307" t="s">
        <v>54</v>
      </c>
      <c r="D307" t="s">
        <v>1539</v>
      </c>
      <c r="E307" t="s">
        <v>1136</v>
      </c>
      <c r="F307">
        <v>84</v>
      </c>
      <c r="G307">
        <v>20</v>
      </c>
      <c r="H307">
        <v>58</v>
      </c>
      <c r="I307" t="s">
        <v>71</v>
      </c>
      <c r="J307" s="7">
        <f t="shared" si="36"/>
        <v>2.5</v>
      </c>
      <c r="K307" s="1">
        <v>45508</v>
      </c>
      <c r="L307" s="1">
        <f t="shared" si="37"/>
        <v>45508</v>
      </c>
      <c r="M307" s="1">
        <v>45931</v>
      </c>
      <c r="N307" s="1">
        <f t="shared" si="38"/>
        <v>45931</v>
      </c>
      <c r="O307" s="1">
        <v>45326</v>
      </c>
      <c r="P307" s="1">
        <f t="shared" si="39"/>
        <v>45326</v>
      </c>
      <c r="Q307" t="s">
        <v>1540</v>
      </c>
      <c r="R307">
        <v>86</v>
      </c>
      <c r="S307">
        <v>64</v>
      </c>
      <c r="T307" t="s">
        <v>42</v>
      </c>
      <c r="U307" s="8">
        <v>215</v>
      </c>
      <c r="V307" s="8">
        <f t="shared" si="40"/>
        <v>210</v>
      </c>
      <c r="W307" t="str">
        <f t="shared" si="41"/>
        <v>Sufficient Stock</v>
      </c>
      <c r="X307" s="9">
        <f t="shared" si="42"/>
        <v>45505</v>
      </c>
      <c r="Y307">
        <f t="shared" si="43"/>
        <v>-182</v>
      </c>
      <c r="Z307" t="str">
        <f t="shared" si="44"/>
        <v>Invalid Data</v>
      </c>
    </row>
    <row r="308" spans="1:26" x14ac:dyDescent="0.4">
      <c r="A308" t="s">
        <v>1541</v>
      </c>
      <c r="B308" t="s">
        <v>602</v>
      </c>
      <c r="C308" t="s">
        <v>77</v>
      </c>
      <c r="D308" t="s">
        <v>1542</v>
      </c>
      <c r="E308" t="s">
        <v>156</v>
      </c>
      <c r="F308">
        <v>100</v>
      </c>
      <c r="G308">
        <v>31</v>
      </c>
      <c r="H308">
        <v>43</v>
      </c>
      <c r="I308" t="s">
        <v>266</v>
      </c>
      <c r="J308" s="7">
        <f t="shared" si="36"/>
        <v>9</v>
      </c>
      <c r="K308" t="s">
        <v>556</v>
      </c>
      <c r="L308" s="1">
        <f t="shared" si="37"/>
        <v>45548</v>
      </c>
      <c r="M308" s="1">
        <v>45809</v>
      </c>
      <c r="N308" s="1">
        <f t="shared" si="38"/>
        <v>45809</v>
      </c>
      <c r="O308" t="s">
        <v>268</v>
      </c>
      <c r="P308" s="1">
        <f t="shared" si="39"/>
        <v>45652</v>
      </c>
      <c r="Q308" t="s">
        <v>1543</v>
      </c>
      <c r="R308">
        <v>88</v>
      </c>
      <c r="S308">
        <v>52</v>
      </c>
      <c r="T308" t="s">
        <v>42</v>
      </c>
      <c r="U308" s="8">
        <v>792</v>
      </c>
      <c r="V308" s="8">
        <f t="shared" si="40"/>
        <v>900</v>
      </c>
      <c r="W308" t="str">
        <f t="shared" si="41"/>
        <v>Sufficient Stock</v>
      </c>
      <c r="X308" s="9">
        <f t="shared" si="42"/>
        <v>45536</v>
      </c>
      <c r="Y308">
        <f t="shared" si="43"/>
        <v>104</v>
      </c>
      <c r="Z308" t="str">
        <f t="shared" si="44"/>
        <v>Medium Risk</v>
      </c>
    </row>
    <row r="309" spans="1:26" x14ac:dyDescent="0.4">
      <c r="A309" t="s">
        <v>1544</v>
      </c>
      <c r="B309" t="s">
        <v>1354</v>
      </c>
      <c r="C309" t="s">
        <v>77</v>
      </c>
      <c r="D309" t="s">
        <v>1545</v>
      </c>
      <c r="E309" t="s">
        <v>1230</v>
      </c>
      <c r="F309">
        <v>74</v>
      </c>
      <c r="G309">
        <v>90</v>
      </c>
      <c r="H309">
        <v>26</v>
      </c>
      <c r="I309" t="s">
        <v>91</v>
      </c>
      <c r="J309" s="7">
        <f t="shared" si="36"/>
        <v>1</v>
      </c>
      <c r="K309" t="s">
        <v>811</v>
      </c>
      <c r="L309" s="1">
        <f t="shared" si="37"/>
        <v>45435</v>
      </c>
      <c r="M309" s="1">
        <v>45840</v>
      </c>
      <c r="N309" s="1">
        <f t="shared" si="38"/>
        <v>45840</v>
      </c>
      <c r="O309" t="s">
        <v>1151</v>
      </c>
      <c r="P309" s="1">
        <f t="shared" si="39"/>
        <v>45490</v>
      </c>
      <c r="Q309" t="s">
        <v>1546</v>
      </c>
      <c r="R309">
        <v>24</v>
      </c>
      <c r="S309">
        <v>11</v>
      </c>
      <c r="T309" t="s">
        <v>26</v>
      </c>
      <c r="U309" s="8">
        <v>24</v>
      </c>
      <c r="V309" s="8">
        <f t="shared" si="40"/>
        <v>74</v>
      </c>
      <c r="W309" t="str">
        <f t="shared" si="41"/>
        <v>Reorder Required</v>
      </c>
      <c r="X309" s="9">
        <f t="shared" si="42"/>
        <v>45413</v>
      </c>
      <c r="Y309">
        <f t="shared" si="43"/>
        <v>55</v>
      </c>
      <c r="Z309" t="str">
        <f t="shared" si="44"/>
        <v>High Risk</v>
      </c>
    </row>
    <row r="310" spans="1:26" x14ac:dyDescent="0.4">
      <c r="A310" t="s">
        <v>1547</v>
      </c>
      <c r="B310" t="s">
        <v>391</v>
      </c>
      <c r="C310" t="s">
        <v>29</v>
      </c>
      <c r="D310" t="s">
        <v>1548</v>
      </c>
      <c r="E310" t="s">
        <v>1549</v>
      </c>
      <c r="F310">
        <v>27</v>
      </c>
      <c r="G310">
        <v>12</v>
      </c>
      <c r="H310">
        <v>93</v>
      </c>
      <c r="I310" t="s">
        <v>172</v>
      </c>
      <c r="J310" s="7">
        <f t="shared" si="36"/>
        <v>12</v>
      </c>
      <c r="K310" s="1">
        <v>45385</v>
      </c>
      <c r="L310" s="1">
        <f t="shared" si="37"/>
        <v>45385</v>
      </c>
      <c r="M310" s="1">
        <v>45633</v>
      </c>
      <c r="N310" s="1">
        <f t="shared" si="38"/>
        <v>45633</v>
      </c>
      <c r="O310" t="s">
        <v>909</v>
      </c>
      <c r="P310" s="1">
        <f t="shared" si="39"/>
        <v>45378</v>
      </c>
      <c r="Q310" t="s">
        <v>1550</v>
      </c>
      <c r="R310">
        <v>88</v>
      </c>
      <c r="S310">
        <v>83</v>
      </c>
      <c r="T310" t="s">
        <v>26</v>
      </c>
      <c r="U310" s="8">
        <v>1056</v>
      </c>
      <c r="V310" s="8">
        <f t="shared" si="40"/>
        <v>324</v>
      </c>
      <c r="W310" t="str">
        <f t="shared" si="41"/>
        <v>Sufficient Stock</v>
      </c>
      <c r="X310" s="9">
        <f t="shared" si="42"/>
        <v>45383</v>
      </c>
      <c r="Y310">
        <f t="shared" si="43"/>
        <v>-7</v>
      </c>
      <c r="Z310" t="str">
        <f t="shared" si="44"/>
        <v>Invalid Data</v>
      </c>
    </row>
    <row r="311" spans="1:26" x14ac:dyDescent="0.4">
      <c r="A311" t="s">
        <v>1551</v>
      </c>
      <c r="B311" t="s">
        <v>482</v>
      </c>
      <c r="C311" t="s">
        <v>54</v>
      </c>
      <c r="D311" t="s">
        <v>1552</v>
      </c>
      <c r="E311" t="s">
        <v>1553</v>
      </c>
      <c r="F311">
        <v>91</v>
      </c>
      <c r="G311">
        <v>55</v>
      </c>
      <c r="H311">
        <v>94</v>
      </c>
      <c r="I311" t="s">
        <v>85</v>
      </c>
      <c r="J311" s="7">
        <f t="shared" si="36"/>
        <v>3</v>
      </c>
      <c r="K311" s="1">
        <v>45599</v>
      </c>
      <c r="L311" s="1">
        <f t="shared" si="37"/>
        <v>45599</v>
      </c>
      <c r="M311" s="1">
        <v>45569</v>
      </c>
      <c r="N311" s="1">
        <f t="shared" si="38"/>
        <v>45569</v>
      </c>
      <c r="O311" t="s">
        <v>307</v>
      </c>
      <c r="P311" s="1">
        <f t="shared" si="39"/>
        <v>45408</v>
      </c>
      <c r="Q311" t="s">
        <v>1554</v>
      </c>
      <c r="R311">
        <v>42</v>
      </c>
      <c r="S311">
        <v>93</v>
      </c>
      <c r="T311" t="s">
        <v>51</v>
      </c>
      <c r="U311" s="8">
        <v>126</v>
      </c>
      <c r="V311" s="8">
        <f t="shared" si="40"/>
        <v>273</v>
      </c>
      <c r="W311" t="str">
        <f t="shared" si="41"/>
        <v>Sufficient Stock</v>
      </c>
      <c r="X311" s="9">
        <f t="shared" si="42"/>
        <v>45597</v>
      </c>
      <c r="Y311">
        <f t="shared" si="43"/>
        <v>-191</v>
      </c>
      <c r="Z311" t="str">
        <f t="shared" si="44"/>
        <v>Invalid Data</v>
      </c>
    </row>
    <row r="312" spans="1:26" x14ac:dyDescent="0.4">
      <c r="A312" t="s">
        <v>1555</v>
      </c>
      <c r="B312" t="s">
        <v>1383</v>
      </c>
      <c r="C312" t="s">
        <v>54</v>
      </c>
      <c r="D312" t="s">
        <v>1556</v>
      </c>
      <c r="E312" t="s">
        <v>1557</v>
      </c>
      <c r="F312">
        <v>82</v>
      </c>
      <c r="G312">
        <v>21</v>
      </c>
      <c r="H312">
        <v>85</v>
      </c>
      <c r="I312" t="s">
        <v>1386</v>
      </c>
      <c r="J312" s="7">
        <f t="shared" si="36"/>
        <v>5.5</v>
      </c>
      <c r="K312" t="s">
        <v>1482</v>
      </c>
      <c r="L312" s="1">
        <f t="shared" si="37"/>
        <v>45396</v>
      </c>
      <c r="M312" t="s">
        <v>409</v>
      </c>
      <c r="N312" s="1">
        <f t="shared" si="38"/>
        <v>45370</v>
      </c>
      <c r="O312" s="1">
        <v>45511</v>
      </c>
      <c r="P312" s="1">
        <f t="shared" si="39"/>
        <v>45511</v>
      </c>
      <c r="Q312" t="s">
        <v>1558</v>
      </c>
      <c r="R312">
        <v>39</v>
      </c>
      <c r="S312">
        <v>18</v>
      </c>
      <c r="T312" t="s">
        <v>42</v>
      </c>
      <c r="U312" s="8">
        <v>214.5</v>
      </c>
      <c r="V312" s="8">
        <f t="shared" si="40"/>
        <v>451</v>
      </c>
      <c r="W312" t="str">
        <f t="shared" si="41"/>
        <v>Sufficient Stock</v>
      </c>
      <c r="X312" s="9">
        <f t="shared" si="42"/>
        <v>45383</v>
      </c>
      <c r="Y312">
        <f t="shared" si="43"/>
        <v>115</v>
      </c>
      <c r="Z312" t="str">
        <f t="shared" si="44"/>
        <v>Medium Risk</v>
      </c>
    </row>
    <row r="313" spans="1:26" x14ac:dyDescent="0.4">
      <c r="A313" t="s">
        <v>1559</v>
      </c>
      <c r="B313" t="s">
        <v>138</v>
      </c>
      <c r="C313" t="s">
        <v>18</v>
      </c>
      <c r="D313" t="s">
        <v>1560</v>
      </c>
      <c r="E313" t="s">
        <v>478</v>
      </c>
      <c r="F313">
        <v>84</v>
      </c>
      <c r="G313">
        <v>91</v>
      </c>
      <c r="H313">
        <v>86</v>
      </c>
      <c r="I313" t="s">
        <v>47</v>
      </c>
      <c r="J313" s="7">
        <f t="shared" si="36"/>
        <v>1.5</v>
      </c>
      <c r="K313" s="1">
        <v>45870</v>
      </c>
      <c r="L313" s="1">
        <f t="shared" si="37"/>
        <v>45870</v>
      </c>
      <c r="M313" s="1">
        <v>45485</v>
      </c>
      <c r="N313" s="1">
        <f t="shared" si="38"/>
        <v>45485</v>
      </c>
      <c r="O313" t="s">
        <v>346</v>
      </c>
      <c r="P313" s="1">
        <f t="shared" si="39"/>
        <v>45618</v>
      </c>
      <c r="Q313" t="s">
        <v>1561</v>
      </c>
      <c r="R313">
        <v>83</v>
      </c>
      <c r="S313">
        <v>95</v>
      </c>
      <c r="T313" t="s">
        <v>42</v>
      </c>
      <c r="U313" s="8">
        <v>124.5</v>
      </c>
      <c r="V313" s="8">
        <f t="shared" si="40"/>
        <v>126</v>
      </c>
      <c r="W313" t="str">
        <f t="shared" si="41"/>
        <v>Reorder Required</v>
      </c>
      <c r="X313" s="9">
        <f t="shared" si="42"/>
        <v>45870</v>
      </c>
      <c r="Y313">
        <f t="shared" si="43"/>
        <v>-252</v>
      </c>
      <c r="Z313" t="str">
        <f t="shared" si="44"/>
        <v>Invalid Data</v>
      </c>
    </row>
    <row r="314" spans="1:26" x14ac:dyDescent="0.4">
      <c r="A314" t="s">
        <v>1562</v>
      </c>
      <c r="B314" t="s">
        <v>1428</v>
      </c>
      <c r="C314" t="s">
        <v>169</v>
      </c>
      <c r="D314" t="s">
        <v>1563</v>
      </c>
      <c r="E314" t="s">
        <v>1564</v>
      </c>
      <c r="F314">
        <v>18</v>
      </c>
      <c r="G314">
        <v>46</v>
      </c>
      <c r="H314">
        <v>26</v>
      </c>
      <c r="I314" t="s">
        <v>32</v>
      </c>
      <c r="J314" s="7">
        <f t="shared" si="36"/>
        <v>20</v>
      </c>
      <c r="K314" s="1">
        <v>45569</v>
      </c>
      <c r="L314" s="1">
        <f t="shared" si="37"/>
        <v>45569</v>
      </c>
      <c r="M314" s="1">
        <v>45575</v>
      </c>
      <c r="N314" s="1">
        <f t="shared" si="38"/>
        <v>45575</v>
      </c>
      <c r="O314" t="s">
        <v>556</v>
      </c>
      <c r="P314" s="1">
        <f t="shared" si="39"/>
        <v>45548</v>
      </c>
      <c r="Q314" t="s">
        <v>1565</v>
      </c>
      <c r="R314">
        <v>57</v>
      </c>
      <c r="S314">
        <v>95</v>
      </c>
      <c r="T314" t="s">
        <v>42</v>
      </c>
      <c r="U314" s="8">
        <v>1140</v>
      </c>
      <c r="V314" s="8">
        <f t="shared" si="40"/>
        <v>360</v>
      </c>
      <c r="W314" t="str">
        <f t="shared" si="41"/>
        <v>Reorder Required</v>
      </c>
      <c r="X314" s="9">
        <f t="shared" si="42"/>
        <v>45566</v>
      </c>
      <c r="Y314">
        <f t="shared" si="43"/>
        <v>-21</v>
      </c>
      <c r="Z314" t="str">
        <f t="shared" si="44"/>
        <v>Invalid Data</v>
      </c>
    </row>
    <row r="315" spans="1:26" x14ac:dyDescent="0.4">
      <c r="A315" t="s">
        <v>1566</v>
      </c>
      <c r="B315" t="s">
        <v>363</v>
      </c>
      <c r="C315" t="s">
        <v>112</v>
      </c>
      <c r="D315" t="s">
        <v>1567</v>
      </c>
      <c r="E315" t="s">
        <v>1516</v>
      </c>
      <c r="F315">
        <v>12</v>
      </c>
      <c r="G315">
        <v>59</v>
      </c>
      <c r="H315">
        <v>62</v>
      </c>
      <c r="I315" t="s">
        <v>21</v>
      </c>
      <c r="J315" s="7">
        <f t="shared" si="36"/>
        <v>4.5</v>
      </c>
      <c r="K315" s="1">
        <v>45357</v>
      </c>
      <c r="L315" s="1">
        <f t="shared" si="37"/>
        <v>45357</v>
      </c>
      <c r="M315" t="s">
        <v>467</v>
      </c>
      <c r="N315" s="1">
        <f t="shared" si="38"/>
        <v>45673</v>
      </c>
      <c r="O315" s="1">
        <v>45420</v>
      </c>
      <c r="P315" s="1">
        <f t="shared" si="39"/>
        <v>45420</v>
      </c>
      <c r="Q315" t="s">
        <v>1568</v>
      </c>
      <c r="R315">
        <v>75</v>
      </c>
      <c r="S315">
        <v>92</v>
      </c>
      <c r="T315" t="s">
        <v>42</v>
      </c>
      <c r="U315" s="8">
        <v>337.5</v>
      </c>
      <c r="V315" s="8">
        <f t="shared" si="40"/>
        <v>54</v>
      </c>
      <c r="W315" t="str">
        <f t="shared" si="41"/>
        <v>Reorder Required</v>
      </c>
      <c r="X315" s="9">
        <f t="shared" si="42"/>
        <v>45352</v>
      </c>
      <c r="Y315">
        <f t="shared" si="43"/>
        <v>63</v>
      </c>
      <c r="Z315" t="str">
        <f t="shared" si="44"/>
        <v>High Risk</v>
      </c>
    </row>
    <row r="316" spans="1:26" x14ac:dyDescent="0.4">
      <c r="A316" t="s">
        <v>1569</v>
      </c>
      <c r="B316" t="s">
        <v>36</v>
      </c>
      <c r="C316" t="s">
        <v>18</v>
      </c>
      <c r="D316" t="s">
        <v>1570</v>
      </c>
      <c r="E316" t="s">
        <v>120</v>
      </c>
      <c r="F316">
        <v>85</v>
      </c>
      <c r="G316">
        <v>4</v>
      </c>
      <c r="H316">
        <v>75</v>
      </c>
      <c r="I316" t="s">
        <v>945</v>
      </c>
      <c r="J316" s="7">
        <f t="shared" si="36"/>
        <v>6.5</v>
      </c>
      <c r="K316" t="s">
        <v>228</v>
      </c>
      <c r="L316" s="1">
        <f t="shared" si="37"/>
        <v>45522</v>
      </c>
      <c r="M316" s="1">
        <v>45355</v>
      </c>
      <c r="N316" s="1">
        <f t="shared" si="38"/>
        <v>45355</v>
      </c>
      <c r="O316" s="1">
        <v>45362</v>
      </c>
      <c r="P316" s="1">
        <f t="shared" si="39"/>
        <v>45362</v>
      </c>
      <c r="Q316" t="s">
        <v>1571</v>
      </c>
      <c r="R316">
        <v>95</v>
      </c>
      <c r="S316">
        <v>70</v>
      </c>
      <c r="T316" t="s">
        <v>42</v>
      </c>
      <c r="U316" s="8">
        <v>617.5</v>
      </c>
      <c r="V316" s="8">
        <f t="shared" si="40"/>
        <v>552.5</v>
      </c>
      <c r="W316" t="str">
        <f t="shared" si="41"/>
        <v>Sufficient Stock</v>
      </c>
      <c r="X316" s="9">
        <f t="shared" si="42"/>
        <v>45505</v>
      </c>
      <c r="Y316">
        <f t="shared" si="43"/>
        <v>-160</v>
      </c>
      <c r="Z316" t="str">
        <f t="shared" si="44"/>
        <v>Invalid Data</v>
      </c>
    </row>
    <row r="317" spans="1:26" x14ac:dyDescent="0.4">
      <c r="A317" t="s">
        <v>1572</v>
      </c>
      <c r="B317" t="s">
        <v>533</v>
      </c>
      <c r="C317" t="s">
        <v>112</v>
      </c>
      <c r="D317" t="s">
        <v>1573</v>
      </c>
      <c r="E317" t="s">
        <v>1574</v>
      </c>
      <c r="F317">
        <v>33</v>
      </c>
      <c r="G317">
        <v>60</v>
      </c>
      <c r="H317">
        <v>67</v>
      </c>
      <c r="I317" t="s">
        <v>39</v>
      </c>
      <c r="J317" s="7">
        <f t="shared" si="36"/>
        <v>6</v>
      </c>
      <c r="K317" t="s">
        <v>688</v>
      </c>
      <c r="L317" s="1">
        <f t="shared" si="37"/>
        <v>45459</v>
      </c>
      <c r="M317" t="s">
        <v>100</v>
      </c>
      <c r="N317" s="1">
        <f t="shared" si="38"/>
        <v>45436</v>
      </c>
      <c r="O317" t="s">
        <v>158</v>
      </c>
      <c r="P317" s="1">
        <f t="shared" si="39"/>
        <v>45654</v>
      </c>
      <c r="Q317" t="s">
        <v>1575</v>
      </c>
      <c r="R317">
        <v>20</v>
      </c>
      <c r="S317">
        <v>7</v>
      </c>
      <c r="T317" t="s">
        <v>26</v>
      </c>
      <c r="U317" s="8">
        <v>120</v>
      </c>
      <c r="V317" s="8">
        <f t="shared" si="40"/>
        <v>198</v>
      </c>
      <c r="W317" t="str">
        <f t="shared" si="41"/>
        <v>Reorder Required</v>
      </c>
      <c r="X317" s="9">
        <f t="shared" si="42"/>
        <v>45444</v>
      </c>
      <c r="Y317">
        <f t="shared" si="43"/>
        <v>195</v>
      </c>
      <c r="Z317" t="str">
        <f t="shared" si="44"/>
        <v>Low Risk</v>
      </c>
    </row>
    <row r="318" spans="1:26" x14ac:dyDescent="0.4">
      <c r="A318" t="s">
        <v>1576</v>
      </c>
      <c r="B318" t="s">
        <v>677</v>
      </c>
      <c r="C318" t="s">
        <v>169</v>
      </c>
      <c r="D318" t="s">
        <v>1577</v>
      </c>
      <c r="E318" t="s">
        <v>832</v>
      </c>
      <c r="F318">
        <v>59</v>
      </c>
      <c r="G318">
        <v>59</v>
      </c>
      <c r="H318">
        <v>10</v>
      </c>
      <c r="I318" t="s">
        <v>134</v>
      </c>
      <c r="J318" s="7">
        <f t="shared" si="36"/>
        <v>7</v>
      </c>
      <c r="K318" t="s">
        <v>228</v>
      </c>
      <c r="L318" s="1">
        <f t="shared" si="37"/>
        <v>45522</v>
      </c>
      <c r="M318" s="1">
        <v>45576</v>
      </c>
      <c r="N318" s="1">
        <f t="shared" si="38"/>
        <v>45576</v>
      </c>
      <c r="O318" t="s">
        <v>1014</v>
      </c>
      <c r="P318" s="1">
        <f t="shared" si="39"/>
        <v>45366</v>
      </c>
      <c r="Q318" t="s">
        <v>1578</v>
      </c>
      <c r="R318">
        <v>57</v>
      </c>
      <c r="S318">
        <v>50</v>
      </c>
      <c r="T318" t="s">
        <v>51</v>
      </c>
      <c r="U318" s="8">
        <v>399</v>
      </c>
      <c r="V318" s="8">
        <f t="shared" si="40"/>
        <v>413</v>
      </c>
      <c r="W318" t="str">
        <f t="shared" si="41"/>
        <v>Reorder Required</v>
      </c>
      <c r="X318" s="9">
        <f t="shared" si="42"/>
        <v>45505</v>
      </c>
      <c r="Y318">
        <f t="shared" si="43"/>
        <v>-156</v>
      </c>
      <c r="Z318" t="str">
        <f t="shared" si="44"/>
        <v>Invalid Data</v>
      </c>
    </row>
    <row r="319" spans="1:26" x14ac:dyDescent="0.4">
      <c r="A319" t="s">
        <v>1579</v>
      </c>
      <c r="B319" t="s">
        <v>1383</v>
      </c>
      <c r="C319" t="s">
        <v>54</v>
      </c>
      <c r="D319" t="s">
        <v>1580</v>
      </c>
      <c r="E319" t="s">
        <v>1581</v>
      </c>
      <c r="F319">
        <v>22</v>
      </c>
      <c r="G319">
        <v>69</v>
      </c>
      <c r="H319">
        <v>87</v>
      </c>
      <c r="I319" t="s">
        <v>1386</v>
      </c>
      <c r="J319" s="7">
        <f t="shared" si="36"/>
        <v>5.5</v>
      </c>
      <c r="K319" s="1">
        <v>45902</v>
      </c>
      <c r="L319" s="1">
        <f t="shared" si="37"/>
        <v>45902</v>
      </c>
      <c r="M319" t="s">
        <v>1005</v>
      </c>
      <c r="N319" s="1">
        <f t="shared" si="38"/>
        <v>45458</v>
      </c>
      <c r="O319" t="s">
        <v>599</v>
      </c>
      <c r="P319" s="1">
        <f t="shared" si="39"/>
        <v>45708</v>
      </c>
      <c r="Q319" t="s">
        <v>1582</v>
      </c>
      <c r="R319">
        <v>34</v>
      </c>
      <c r="S319">
        <v>26</v>
      </c>
      <c r="T319" t="s">
        <v>42</v>
      </c>
      <c r="U319" s="8">
        <v>187</v>
      </c>
      <c r="V319" s="8">
        <f t="shared" si="40"/>
        <v>121</v>
      </c>
      <c r="W319" t="str">
        <f t="shared" si="41"/>
        <v>Reorder Required</v>
      </c>
      <c r="X319" s="9">
        <f t="shared" si="42"/>
        <v>45901</v>
      </c>
      <c r="Y319">
        <f t="shared" si="43"/>
        <v>-194</v>
      </c>
      <c r="Z319" t="str">
        <f t="shared" si="44"/>
        <v>Invalid Data</v>
      </c>
    </row>
    <row r="320" spans="1:26" x14ac:dyDescent="0.4">
      <c r="A320" t="s">
        <v>1583</v>
      </c>
      <c r="B320" t="s">
        <v>799</v>
      </c>
      <c r="C320" t="s">
        <v>77</v>
      </c>
      <c r="D320" t="s">
        <v>1584</v>
      </c>
      <c r="E320" t="s">
        <v>1585</v>
      </c>
      <c r="F320">
        <v>67</v>
      </c>
      <c r="G320">
        <v>79</v>
      </c>
      <c r="H320">
        <v>98</v>
      </c>
      <c r="I320" t="s">
        <v>134</v>
      </c>
      <c r="J320" s="7">
        <f t="shared" si="36"/>
        <v>7</v>
      </c>
      <c r="K320" t="s">
        <v>827</v>
      </c>
      <c r="L320" s="1">
        <f t="shared" si="37"/>
        <v>45701</v>
      </c>
      <c r="M320" s="1">
        <v>45604</v>
      </c>
      <c r="N320" s="1">
        <f t="shared" si="38"/>
        <v>45604</v>
      </c>
      <c r="O320" s="1">
        <v>45447</v>
      </c>
      <c r="P320" s="1">
        <f t="shared" si="39"/>
        <v>45447</v>
      </c>
      <c r="Q320" t="s">
        <v>1586</v>
      </c>
      <c r="R320">
        <v>73</v>
      </c>
      <c r="S320">
        <v>36</v>
      </c>
      <c r="T320" t="s">
        <v>51</v>
      </c>
      <c r="U320" s="8">
        <v>511</v>
      </c>
      <c r="V320" s="8">
        <f t="shared" si="40"/>
        <v>469</v>
      </c>
      <c r="W320" t="str">
        <f t="shared" si="41"/>
        <v>Reorder Required</v>
      </c>
      <c r="X320" s="9">
        <f t="shared" si="42"/>
        <v>45689</v>
      </c>
      <c r="Y320">
        <f t="shared" si="43"/>
        <v>-254</v>
      </c>
      <c r="Z320" t="str">
        <f t="shared" si="44"/>
        <v>Invalid Data</v>
      </c>
    </row>
    <row r="321" spans="1:26" x14ac:dyDescent="0.4">
      <c r="A321" t="s">
        <v>1587</v>
      </c>
      <c r="B321" t="s">
        <v>602</v>
      </c>
      <c r="C321" t="s">
        <v>77</v>
      </c>
      <c r="D321" t="s">
        <v>1588</v>
      </c>
      <c r="E321" t="s">
        <v>1589</v>
      </c>
      <c r="F321">
        <v>78</v>
      </c>
      <c r="G321">
        <v>24</v>
      </c>
      <c r="H321">
        <v>31</v>
      </c>
      <c r="I321" t="s">
        <v>266</v>
      </c>
      <c r="J321" s="7">
        <f t="shared" si="36"/>
        <v>9</v>
      </c>
      <c r="K321" s="1">
        <v>45297</v>
      </c>
      <c r="L321" s="1">
        <f t="shared" si="37"/>
        <v>45297</v>
      </c>
      <c r="M321" s="1">
        <v>45357</v>
      </c>
      <c r="N321" s="1">
        <f t="shared" si="38"/>
        <v>45357</v>
      </c>
      <c r="O321" s="1">
        <v>45476</v>
      </c>
      <c r="P321" s="1">
        <f t="shared" si="39"/>
        <v>45476</v>
      </c>
      <c r="Q321" t="s">
        <v>1590</v>
      </c>
      <c r="R321">
        <v>60</v>
      </c>
      <c r="S321">
        <v>41</v>
      </c>
      <c r="T321" t="s">
        <v>51</v>
      </c>
      <c r="U321" s="8">
        <v>540</v>
      </c>
      <c r="V321" s="8">
        <f t="shared" si="40"/>
        <v>702</v>
      </c>
      <c r="W321" t="str">
        <f t="shared" si="41"/>
        <v>Sufficient Stock</v>
      </c>
      <c r="X321" s="9">
        <f t="shared" si="42"/>
        <v>45292</v>
      </c>
      <c r="Y321">
        <f t="shared" si="43"/>
        <v>179</v>
      </c>
      <c r="Z321" t="str">
        <f t="shared" si="44"/>
        <v>Medium Risk</v>
      </c>
    </row>
    <row r="322" spans="1:26" x14ac:dyDescent="0.4">
      <c r="A322" t="s">
        <v>1591</v>
      </c>
      <c r="B322" t="s">
        <v>311</v>
      </c>
      <c r="C322" t="s">
        <v>54</v>
      </c>
      <c r="D322" t="s">
        <v>1592</v>
      </c>
      <c r="E322" t="s">
        <v>1437</v>
      </c>
      <c r="F322">
        <v>72</v>
      </c>
      <c r="G322">
        <v>32</v>
      </c>
      <c r="H322">
        <v>80</v>
      </c>
      <c r="I322" t="s">
        <v>1593</v>
      </c>
      <c r="J322" s="7">
        <f t="shared" si="36"/>
        <v>2.4500000000000002</v>
      </c>
      <c r="K322" s="1">
        <v>45450</v>
      </c>
      <c r="L322" s="1">
        <f t="shared" si="37"/>
        <v>45450</v>
      </c>
      <c r="M322" t="s">
        <v>341</v>
      </c>
      <c r="N322" s="1">
        <f t="shared" si="38"/>
        <v>45613</v>
      </c>
      <c r="O322" s="1">
        <v>45569</v>
      </c>
      <c r="P322" s="1">
        <f t="shared" si="39"/>
        <v>45569</v>
      </c>
      <c r="Q322" t="s">
        <v>1594</v>
      </c>
      <c r="R322">
        <v>25</v>
      </c>
      <c r="S322">
        <v>9</v>
      </c>
      <c r="T322" t="s">
        <v>42</v>
      </c>
      <c r="U322" s="8">
        <v>61.250000000000007</v>
      </c>
      <c r="V322" s="8">
        <f t="shared" si="40"/>
        <v>176.4</v>
      </c>
      <c r="W322" t="str">
        <f t="shared" si="41"/>
        <v>Sufficient Stock</v>
      </c>
      <c r="X322" s="9">
        <f t="shared" si="42"/>
        <v>45444</v>
      </c>
      <c r="Y322">
        <f t="shared" si="43"/>
        <v>119</v>
      </c>
      <c r="Z322" t="str">
        <f t="shared" si="44"/>
        <v>Medium Risk</v>
      </c>
    </row>
    <row r="323" spans="1:26" x14ac:dyDescent="0.4">
      <c r="A323" t="s">
        <v>1595</v>
      </c>
      <c r="B323" t="s">
        <v>492</v>
      </c>
      <c r="C323" t="s">
        <v>77</v>
      </c>
      <c r="D323" t="s">
        <v>1596</v>
      </c>
      <c r="E323" t="s">
        <v>871</v>
      </c>
      <c r="F323">
        <v>63</v>
      </c>
      <c r="G323">
        <v>48</v>
      </c>
      <c r="H323">
        <v>22</v>
      </c>
      <c r="I323" t="s">
        <v>57</v>
      </c>
      <c r="J323" s="7">
        <f t="shared" ref="J323:J386" si="45">VALUE(SUBSTITUTE(I323,"$",""))</f>
        <v>4</v>
      </c>
      <c r="K323" t="s">
        <v>200</v>
      </c>
      <c r="L323" s="1">
        <f t="shared" ref="L323:L386" si="46">IF(
ISNUMBER(K323),
K323,
DATE(
RIGHT(K323,4),
LEFT(K323,FIND("/",K323)-1),
MID(K323,FIND("/",K323)+1,FIND("/",K323,FIND("/",K323)+1)-FIND("/",K323)-1)
)
)</f>
        <v>45442</v>
      </c>
      <c r="M323" t="s">
        <v>1597</v>
      </c>
      <c r="N323" s="1">
        <f t="shared" ref="N323:N386" si="47">IF(
ISNUMBER(M323),
M323,
DATE(
RIGHT(M323,4),
LEFT(M323,FIND("/",M323)-1),
MID(M323,FIND("/",M323)+1,FIND("/",M323,FIND("/",M323)+1)-FIND("/",M323)-1)
)
)</f>
        <v>45706</v>
      </c>
      <c r="O323" t="s">
        <v>116</v>
      </c>
      <c r="P323" s="1">
        <f t="shared" ref="P323:P386" si="48">IF(
ISNUMBER(O323),
O323,
DATE(
RIGHT(O323,4),
LEFT(O323,FIND("/",O323)-1),
MID(O323,FIND("/",O323)+1,FIND("/",O323,FIND("/",O323)+1)-FIND("/",O323)-1)
)
)</f>
        <v>45491</v>
      </c>
      <c r="Q323" t="s">
        <v>1598</v>
      </c>
      <c r="R323">
        <v>21</v>
      </c>
      <c r="S323">
        <v>90</v>
      </c>
      <c r="T323" t="s">
        <v>26</v>
      </c>
      <c r="U323" s="8">
        <v>84</v>
      </c>
      <c r="V323" s="8">
        <f t="shared" ref="V323:V386" si="49">F323*J323</f>
        <v>252</v>
      </c>
      <c r="W323" t="str">
        <f t="shared" ref="W323:W386" si="50">IF(F323&lt;=G323,"Reorder Required","Sufficient Stock")</f>
        <v>Sufficient Stock</v>
      </c>
      <c r="X323" s="9">
        <f t="shared" ref="X323:X386" si="51">DATE(YEAR(L323),MONTH(L323),1)</f>
        <v>45413</v>
      </c>
      <c r="Y323">
        <f t="shared" ref="Y323:Y386" si="52">P323-L323</f>
        <v>49</v>
      </c>
      <c r="Z323" t="str">
        <f t="shared" ref="Z323:Z386" si="53">IF(Y323&lt;0,"Invalid Data",
IF(Y323&lt;=30,"Critical",
IF(Y323&lt;=90,"High Risk",
IF(Y323&lt;=180,"Medium Risk",
IF(Y323&lt;=365,"Low Risk",
"Safe")))))</f>
        <v>High Risk</v>
      </c>
    </row>
    <row r="324" spans="1:26" x14ac:dyDescent="0.4">
      <c r="A324" t="s">
        <v>1599</v>
      </c>
      <c r="B324" t="s">
        <v>386</v>
      </c>
      <c r="C324" t="s">
        <v>112</v>
      </c>
      <c r="D324" t="s">
        <v>1600</v>
      </c>
      <c r="E324" t="s">
        <v>70</v>
      </c>
      <c r="F324">
        <v>30</v>
      </c>
      <c r="G324">
        <v>91</v>
      </c>
      <c r="H324">
        <v>34</v>
      </c>
      <c r="I324" t="s">
        <v>71</v>
      </c>
      <c r="J324" s="7">
        <f t="shared" si="45"/>
        <v>2.5</v>
      </c>
      <c r="K324" s="1">
        <v>45603</v>
      </c>
      <c r="L324" s="1">
        <f t="shared" si="46"/>
        <v>45603</v>
      </c>
      <c r="M324" t="s">
        <v>92</v>
      </c>
      <c r="N324" s="1">
        <f t="shared" si="47"/>
        <v>45614</v>
      </c>
      <c r="O324" s="1">
        <v>45448</v>
      </c>
      <c r="P324" s="1">
        <f t="shared" si="48"/>
        <v>45448</v>
      </c>
      <c r="Q324" t="s">
        <v>1601</v>
      </c>
      <c r="R324">
        <v>97</v>
      </c>
      <c r="S324">
        <v>88</v>
      </c>
      <c r="T324" t="s">
        <v>51</v>
      </c>
      <c r="U324" s="8">
        <v>242.5</v>
      </c>
      <c r="V324" s="8">
        <f t="shared" si="49"/>
        <v>75</v>
      </c>
      <c r="W324" t="str">
        <f t="shared" si="50"/>
        <v>Reorder Required</v>
      </c>
      <c r="X324" s="9">
        <f t="shared" si="51"/>
        <v>45597</v>
      </c>
      <c r="Y324">
        <f t="shared" si="52"/>
        <v>-155</v>
      </c>
      <c r="Z324" t="str">
        <f t="shared" si="53"/>
        <v>Invalid Data</v>
      </c>
    </row>
    <row r="325" spans="1:26" x14ac:dyDescent="0.4">
      <c r="A325" t="s">
        <v>1602</v>
      </c>
      <c r="B325" t="s">
        <v>28</v>
      </c>
      <c r="C325" t="s">
        <v>29</v>
      </c>
      <c r="D325" t="s">
        <v>1603</v>
      </c>
      <c r="E325" t="s">
        <v>1023</v>
      </c>
      <c r="F325">
        <v>36</v>
      </c>
      <c r="G325">
        <v>64</v>
      </c>
      <c r="H325">
        <v>63</v>
      </c>
      <c r="I325" t="s">
        <v>32</v>
      </c>
      <c r="J325" s="7">
        <f t="shared" si="45"/>
        <v>20</v>
      </c>
      <c r="K325" t="s">
        <v>1014</v>
      </c>
      <c r="L325" s="1">
        <f t="shared" si="46"/>
        <v>45366</v>
      </c>
      <c r="M325" t="s">
        <v>1597</v>
      </c>
      <c r="N325" s="1">
        <f t="shared" si="47"/>
        <v>45706</v>
      </c>
      <c r="O325" t="s">
        <v>666</v>
      </c>
      <c r="P325" s="1">
        <f t="shared" si="48"/>
        <v>45381</v>
      </c>
      <c r="Q325" t="s">
        <v>1604</v>
      </c>
      <c r="R325">
        <v>91</v>
      </c>
      <c r="S325">
        <v>35</v>
      </c>
      <c r="T325" t="s">
        <v>42</v>
      </c>
      <c r="U325" s="8">
        <v>1820</v>
      </c>
      <c r="V325" s="8">
        <f t="shared" si="49"/>
        <v>720</v>
      </c>
      <c r="W325" t="str">
        <f t="shared" si="50"/>
        <v>Reorder Required</v>
      </c>
      <c r="X325" s="9">
        <f t="shared" si="51"/>
        <v>45352</v>
      </c>
      <c r="Y325">
        <f t="shared" si="52"/>
        <v>15</v>
      </c>
      <c r="Z325" t="str">
        <f t="shared" si="53"/>
        <v>Critical</v>
      </c>
    </row>
    <row r="326" spans="1:26" x14ac:dyDescent="0.4">
      <c r="A326" t="s">
        <v>1605</v>
      </c>
      <c r="B326" t="s">
        <v>1383</v>
      </c>
      <c r="C326" t="s">
        <v>54</v>
      </c>
      <c r="D326" t="s">
        <v>1606</v>
      </c>
      <c r="E326" t="s">
        <v>1607</v>
      </c>
      <c r="F326">
        <v>88</v>
      </c>
      <c r="G326">
        <v>27</v>
      </c>
      <c r="H326">
        <v>92</v>
      </c>
      <c r="I326" t="s">
        <v>1386</v>
      </c>
      <c r="J326" s="7">
        <f t="shared" si="45"/>
        <v>5.5</v>
      </c>
      <c r="K326" t="s">
        <v>630</v>
      </c>
      <c r="L326" s="1">
        <f t="shared" si="46"/>
        <v>45623</v>
      </c>
      <c r="M326" t="s">
        <v>328</v>
      </c>
      <c r="N326" s="1">
        <f t="shared" si="47"/>
        <v>45412</v>
      </c>
      <c r="O326" t="s">
        <v>165</v>
      </c>
      <c r="P326" s="1">
        <f t="shared" si="48"/>
        <v>45465</v>
      </c>
      <c r="Q326" t="s">
        <v>1608</v>
      </c>
      <c r="R326">
        <v>57</v>
      </c>
      <c r="S326">
        <v>37</v>
      </c>
      <c r="T326" t="s">
        <v>26</v>
      </c>
      <c r="U326" s="8">
        <v>313.5</v>
      </c>
      <c r="V326" s="8">
        <f t="shared" si="49"/>
        <v>484</v>
      </c>
      <c r="W326" t="str">
        <f t="shared" si="50"/>
        <v>Sufficient Stock</v>
      </c>
      <c r="X326" s="9">
        <f t="shared" si="51"/>
        <v>45597</v>
      </c>
      <c r="Y326">
        <f t="shared" si="52"/>
        <v>-158</v>
      </c>
      <c r="Z326" t="str">
        <f t="shared" si="53"/>
        <v>Invalid Data</v>
      </c>
    </row>
    <row r="327" spans="1:26" x14ac:dyDescent="0.4">
      <c r="A327" t="s">
        <v>1609</v>
      </c>
      <c r="B327" t="s">
        <v>709</v>
      </c>
      <c r="C327" t="s">
        <v>54</v>
      </c>
      <c r="D327" t="s">
        <v>1610</v>
      </c>
      <c r="E327" t="s">
        <v>133</v>
      </c>
      <c r="F327">
        <v>95</v>
      </c>
      <c r="G327">
        <v>25</v>
      </c>
      <c r="H327">
        <v>91</v>
      </c>
      <c r="I327" t="s">
        <v>1611</v>
      </c>
      <c r="J327" s="7">
        <f t="shared" si="45"/>
        <v>53.82</v>
      </c>
      <c r="K327" s="1">
        <v>45391</v>
      </c>
      <c r="L327" s="1">
        <f t="shared" si="46"/>
        <v>45391</v>
      </c>
      <c r="M327" t="s">
        <v>1234</v>
      </c>
      <c r="N327" s="1">
        <f t="shared" si="47"/>
        <v>45406</v>
      </c>
      <c r="O327" t="s">
        <v>359</v>
      </c>
      <c r="P327" s="1">
        <f t="shared" si="48"/>
        <v>45583</v>
      </c>
      <c r="Q327" t="s">
        <v>1612</v>
      </c>
      <c r="R327">
        <v>87</v>
      </c>
      <c r="S327">
        <v>5</v>
      </c>
      <c r="T327" t="s">
        <v>26</v>
      </c>
      <c r="U327" s="8">
        <v>4682.34</v>
      </c>
      <c r="V327" s="8">
        <f t="shared" si="49"/>
        <v>5112.8999999999996</v>
      </c>
      <c r="W327" t="str">
        <f t="shared" si="50"/>
        <v>Sufficient Stock</v>
      </c>
      <c r="X327" s="9">
        <f t="shared" si="51"/>
        <v>45383</v>
      </c>
      <c r="Y327">
        <f t="shared" si="52"/>
        <v>192</v>
      </c>
      <c r="Z327" t="str">
        <f t="shared" si="53"/>
        <v>Low Risk</v>
      </c>
    </row>
    <row r="328" spans="1:26" x14ac:dyDescent="0.4">
      <c r="A328" t="s">
        <v>1613</v>
      </c>
      <c r="B328" t="s">
        <v>476</v>
      </c>
      <c r="C328" t="s">
        <v>54</v>
      </c>
      <c r="D328" t="s">
        <v>1614</v>
      </c>
      <c r="E328" t="s">
        <v>1615</v>
      </c>
      <c r="F328">
        <v>30</v>
      </c>
      <c r="G328">
        <v>59</v>
      </c>
      <c r="H328">
        <v>76</v>
      </c>
      <c r="I328" t="s">
        <v>57</v>
      </c>
      <c r="J328" s="7">
        <f t="shared" si="45"/>
        <v>4</v>
      </c>
      <c r="K328" t="s">
        <v>300</v>
      </c>
      <c r="L328" s="1">
        <f t="shared" si="46"/>
        <v>45371</v>
      </c>
      <c r="M328" t="s">
        <v>1217</v>
      </c>
      <c r="N328" s="1">
        <f t="shared" si="47"/>
        <v>45671</v>
      </c>
      <c r="O328" s="1">
        <v>45600</v>
      </c>
      <c r="P328" s="1">
        <f t="shared" si="48"/>
        <v>45600</v>
      </c>
      <c r="Q328" t="s">
        <v>1616</v>
      </c>
      <c r="R328">
        <v>61</v>
      </c>
      <c r="S328">
        <v>3</v>
      </c>
      <c r="T328" t="s">
        <v>26</v>
      </c>
      <c r="U328" s="8">
        <v>244</v>
      </c>
      <c r="V328" s="8">
        <f t="shared" si="49"/>
        <v>120</v>
      </c>
      <c r="W328" t="str">
        <f t="shared" si="50"/>
        <v>Reorder Required</v>
      </c>
      <c r="X328" s="9">
        <f t="shared" si="51"/>
        <v>45352</v>
      </c>
      <c r="Y328">
        <f t="shared" si="52"/>
        <v>229</v>
      </c>
      <c r="Z328" t="str">
        <f t="shared" si="53"/>
        <v>Low Risk</v>
      </c>
    </row>
    <row r="329" spans="1:26" x14ac:dyDescent="0.4">
      <c r="A329" t="s">
        <v>1617</v>
      </c>
      <c r="B329" t="s">
        <v>176</v>
      </c>
      <c r="C329" t="s">
        <v>54</v>
      </c>
      <c r="D329" t="s">
        <v>1618</v>
      </c>
      <c r="E329" t="s">
        <v>1192</v>
      </c>
      <c r="F329">
        <v>31</v>
      </c>
      <c r="G329">
        <v>55</v>
      </c>
      <c r="H329">
        <v>5</v>
      </c>
      <c r="I329" t="s">
        <v>106</v>
      </c>
      <c r="J329" s="7">
        <f t="shared" si="45"/>
        <v>2</v>
      </c>
      <c r="K329" s="1">
        <v>45574</v>
      </c>
      <c r="L329" s="1">
        <f t="shared" si="46"/>
        <v>45574</v>
      </c>
      <c r="M329" t="s">
        <v>1597</v>
      </c>
      <c r="N329" s="1">
        <f t="shared" si="47"/>
        <v>45706</v>
      </c>
      <c r="O329" t="s">
        <v>654</v>
      </c>
      <c r="P329" s="1">
        <f t="shared" si="48"/>
        <v>45594</v>
      </c>
      <c r="Q329" t="s">
        <v>1619</v>
      </c>
      <c r="R329">
        <v>71</v>
      </c>
      <c r="S329">
        <v>46</v>
      </c>
      <c r="T329" t="s">
        <v>51</v>
      </c>
      <c r="U329" s="8">
        <v>142</v>
      </c>
      <c r="V329" s="8">
        <f t="shared" si="49"/>
        <v>62</v>
      </c>
      <c r="W329" t="str">
        <f t="shared" si="50"/>
        <v>Reorder Required</v>
      </c>
      <c r="X329" s="9">
        <f t="shared" si="51"/>
        <v>45566</v>
      </c>
      <c r="Y329">
        <f t="shared" si="52"/>
        <v>20</v>
      </c>
      <c r="Z329" t="str">
        <f t="shared" si="53"/>
        <v>Critical</v>
      </c>
    </row>
    <row r="330" spans="1:26" x14ac:dyDescent="0.4">
      <c r="A330" t="s">
        <v>1620</v>
      </c>
      <c r="B330" t="s">
        <v>704</v>
      </c>
      <c r="C330" t="s">
        <v>169</v>
      </c>
      <c r="D330" t="s">
        <v>1621</v>
      </c>
      <c r="E330" t="s">
        <v>1335</v>
      </c>
      <c r="F330">
        <v>16</v>
      </c>
      <c r="G330">
        <v>20</v>
      </c>
      <c r="H330">
        <v>45</v>
      </c>
      <c r="I330" t="s">
        <v>147</v>
      </c>
      <c r="J330" s="7">
        <f t="shared" si="45"/>
        <v>8</v>
      </c>
      <c r="K330" t="s">
        <v>328</v>
      </c>
      <c r="L330" s="1">
        <f t="shared" si="46"/>
        <v>45412</v>
      </c>
      <c r="M330" t="s">
        <v>359</v>
      </c>
      <c r="N330" s="1">
        <f t="shared" si="47"/>
        <v>45583</v>
      </c>
      <c r="O330" s="1">
        <v>45479</v>
      </c>
      <c r="P330" s="1">
        <f t="shared" si="48"/>
        <v>45479</v>
      </c>
      <c r="Q330" t="s">
        <v>1622</v>
      </c>
      <c r="R330">
        <v>81</v>
      </c>
      <c r="S330">
        <v>62</v>
      </c>
      <c r="T330" t="s">
        <v>51</v>
      </c>
      <c r="U330" s="8">
        <v>648</v>
      </c>
      <c r="V330" s="8">
        <f t="shared" si="49"/>
        <v>128</v>
      </c>
      <c r="W330" t="str">
        <f t="shared" si="50"/>
        <v>Reorder Required</v>
      </c>
      <c r="X330" s="9">
        <f t="shared" si="51"/>
        <v>45383</v>
      </c>
      <c r="Y330">
        <f t="shared" si="52"/>
        <v>67</v>
      </c>
      <c r="Z330" t="str">
        <f t="shared" si="53"/>
        <v>High Risk</v>
      </c>
    </row>
    <row r="331" spans="1:26" x14ac:dyDescent="0.4">
      <c r="A331" t="s">
        <v>1623</v>
      </c>
      <c r="B331" t="s">
        <v>103</v>
      </c>
      <c r="C331" t="s">
        <v>18</v>
      </c>
      <c r="D331" t="s">
        <v>1624</v>
      </c>
      <c r="E331" t="s">
        <v>1625</v>
      </c>
      <c r="F331">
        <v>14</v>
      </c>
      <c r="G331">
        <v>16</v>
      </c>
      <c r="H331">
        <v>93</v>
      </c>
      <c r="I331" t="s">
        <v>106</v>
      </c>
      <c r="J331" s="7">
        <f t="shared" si="45"/>
        <v>2</v>
      </c>
      <c r="K331" t="s">
        <v>274</v>
      </c>
      <c r="L331" s="1">
        <f t="shared" si="46"/>
        <v>45496</v>
      </c>
      <c r="M331" s="1">
        <v>45354</v>
      </c>
      <c r="N331" s="1">
        <f t="shared" si="47"/>
        <v>45354</v>
      </c>
      <c r="O331" t="s">
        <v>1146</v>
      </c>
      <c r="P331" s="1">
        <f t="shared" si="48"/>
        <v>45464</v>
      </c>
      <c r="Q331" t="s">
        <v>1626</v>
      </c>
      <c r="R331">
        <v>39</v>
      </c>
      <c r="S331">
        <v>30</v>
      </c>
      <c r="T331" t="s">
        <v>51</v>
      </c>
      <c r="U331" s="8">
        <v>78</v>
      </c>
      <c r="V331" s="8">
        <f t="shared" si="49"/>
        <v>28</v>
      </c>
      <c r="W331" t="str">
        <f t="shared" si="50"/>
        <v>Reorder Required</v>
      </c>
      <c r="X331" s="9">
        <f t="shared" si="51"/>
        <v>45474</v>
      </c>
      <c r="Y331">
        <f t="shared" si="52"/>
        <v>-32</v>
      </c>
      <c r="Z331" t="str">
        <f t="shared" si="53"/>
        <v>Invalid Data</v>
      </c>
    </row>
    <row r="332" spans="1:26" x14ac:dyDescent="0.4">
      <c r="A332" t="s">
        <v>1627</v>
      </c>
      <c r="B332" t="s">
        <v>1538</v>
      </c>
      <c r="C332" t="s">
        <v>54</v>
      </c>
      <c r="D332" t="s">
        <v>1628</v>
      </c>
      <c r="E332" t="s">
        <v>604</v>
      </c>
      <c r="F332">
        <v>44</v>
      </c>
      <c r="G332">
        <v>67</v>
      </c>
      <c r="H332">
        <v>15</v>
      </c>
      <c r="I332" t="s">
        <v>71</v>
      </c>
      <c r="J332" s="7">
        <f t="shared" si="45"/>
        <v>2.5</v>
      </c>
      <c r="K332" t="s">
        <v>1629</v>
      </c>
      <c r="L332" s="1">
        <f t="shared" si="46"/>
        <v>45364</v>
      </c>
      <c r="M332" s="1">
        <v>45568</v>
      </c>
      <c r="N332" s="1">
        <f t="shared" si="47"/>
        <v>45568</v>
      </c>
      <c r="O332" t="s">
        <v>1630</v>
      </c>
      <c r="P332" s="1">
        <f t="shared" si="48"/>
        <v>45374</v>
      </c>
      <c r="Q332" t="s">
        <v>1631</v>
      </c>
      <c r="R332">
        <v>82</v>
      </c>
      <c r="S332">
        <v>51</v>
      </c>
      <c r="T332" t="s">
        <v>51</v>
      </c>
      <c r="U332" s="8">
        <v>205</v>
      </c>
      <c r="V332" s="8">
        <f t="shared" si="49"/>
        <v>110</v>
      </c>
      <c r="W332" t="str">
        <f t="shared" si="50"/>
        <v>Reorder Required</v>
      </c>
      <c r="X332" s="9">
        <f t="shared" si="51"/>
        <v>45352</v>
      </c>
      <c r="Y332">
        <f t="shared" si="52"/>
        <v>10</v>
      </c>
      <c r="Z332" t="str">
        <f t="shared" si="53"/>
        <v>Critical</v>
      </c>
    </row>
    <row r="333" spans="1:26" x14ac:dyDescent="0.4">
      <c r="A333" t="s">
        <v>1632</v>
      </c>
      <c r="B333" t="s">
        <v>44</v>
      </c>
      <c r="C333" t="s">
        <v>18</v>
      </c>
      <c r="D333" t="s">
        <v>1633</v>
      </c>
      <c r="E333" t="s">
        <v>1251</v>
      </c>
      <c r="F333">
        <v>69</v>
      </c>
      <c r="G333">
        <v>82</v>
      </c>
      <c r="H333">
        <v>58</v>
      </c>
      <c r="I333" t="s">
        <v>47</v>
      </c>
      <c r="J333" s="7">
        <f t="shared" si="45"/>
        <v>1.5</v>
      </c>
      <c r="K333" s="1">
        <v>45480</v>
      </c>
      <c r="L333" s="1">
        <f t="shared" si="46"/>
        <v>45480</v>
      </c>
      <c r="M333" t="s">
        <v>644</v>
      </c>
      <c r="N333" s="1">
        <f t="shared" si="47"/>
        <v>45411</v>
      </c>
      <c r="O333" t="s">
        <v>328</v>
      </c>
      <c r="P333" s="1">
        <f t="shared" si="48"/>
        <v>45412</v>
      </c>
      <c r="Q333" t="s">
        <v>1634</v>
      </c>
      <c r="R333">
        <v>34</v>
      </c>
      <c r="S333">
        <v>22</v>
      </c>
      <c r="T333" t="s">
        <v>26</v>
      </c>
      <c r="U333" s="8">
        <v>51</v>
      </c>
      <c r="V333" s="8">
        <f t="shared" si="49"/>
        <v>103.5</v>
      </c>
      <c r="W333" t="str">
        <f t="shared" si="50"/>
        <v>Reorder Required</v>
      </c>
      <c r="X333" s="9">
        <f t="shared" si="51"/>
        <v>45474</v>
      </c>
      <c r="Y333">
        <f t="shared" si="52"/>
        <v>-68</v>
      </c>
      <c r="Z333" t="str">
        <f t="shared" si="53"/>
        <v>Invalid Data</v>
      </c>
    </row>
    <row r="334" spans="1:26" x14ac:dyDescent="0.4">
      <c r="A334" t="s">
        <v>1635</v>
      </c>
      <c r="B334" t="s">
        <v>44</v>
      </c>
      <c r="C334" t="s">
        <v>18</v>
      </c>
      <c r="D334" t="s">
        <v>1636</v>
      </c>
      <c r="E334" t="s">
        <v>1347</v>
      </c>
      <c r="F334">
        <v>71</v>
      </c>
      <c r="G334">
        <v>10</v>
      </c>
      <c r="H334">
        <v>49</v>
      </c>
      <c r="I334" t="s">
        <v>47</v>
      </c>
      <c r="J334" s="7">
        <f t="shared" si="45"/>
        <v>1.5</v>
      </c>
      <c r="K334" s="1">
        <v>45604</v>
      </c>
      <c r="L334" s="1">
        <f t="shared" si="46"/>
        <v>45604</v>
      </c>
      <c r="M334" t="s">
        <v>495</v>
      </c>
      <c r="N334" s="1">
        <f t="shared" si="47"/>
        <v>45367</v>
      </c>
      <c r="O334" t="s">
        <v>64</v>
      </c>
      <c r="P334" s="1">
        <f t="shared" si="48"/>
        <v>45438</v>
      </c>
      <c r="Q334" t="s">
        <v>1637</v>
      </c>
      <c r="R334">
        <v>66</v>
      </c>
      <c r="S334">
        <v>43</v>
      </c>
      <c r="T334" t="s">
        <v>51</v>
      </c>
      <c r="U334" s="8">
        <v>99</v>
      </c>
      <c r="V334" s="8">
        <f t="shared" si="49"/>
        <v>106.5</v>
      </c>
      <c r="W334" t="str">
        <f t="shared" si="50"/>
        <v>Sufficient Stock</v>
      </c>
      <c r="X334" s="9">
        <f t="shared" si="51"/>
        <v>45597</v>
      </c>
      <c r="Y334">
        <f t="shared" si="52"/>
        <v>-166</v>
      </c>
      <c r="Z334" t="str">
        <f t="shared" si="53"/>
        <v>Invalid Data</v>
      </c>
    </row>
    <row r="335" spans="1:26" x14ac:dyDescent="0.4">
      <c r="A335" t="s">
        <v>1638</v>
      </c>
      <c r="B335" t="s">
        <v>425</v>
      </c>
      <c r="C335" t="s">
        <v>54</v>
      </c>
      <c r="D335" t="s">
        <v>1639</v>
      </c>
      <c r="E335" t="s">
        <v>653</v>
      </c>
      <c r="F335">
        <v>92</v>
      </c>
      <c r="G335">
        <v>39</v>
      </c>
      <c r="H335">
        <v>50</v>
      </c>
      <c r="I335" t="s">
        <v>98</v>
      </c>
      <c r="J335" s="7">
        <f t="shared" si="45"/>
        <v>1.6</v>
      </c>
      <c r="K335" t="s">
        <v>1508</v>
      </c>
      <c r="L335" s="1">
        <f t="shared" si="46"/>
        <v>45653</v>
      </c>
      <c r="M335" s="1">
        <v>45485</v>
      </c>
      <c r="N335" s="1">
        <f t="shared" si="47"/>
        <v>45485</v>
      </c>
      <c r="O335" s="1">
        <v>45546</v>
      </c>
      <c r="P335" s="1">
        <f t="shared" si="48"/>
        <v>45546</v>
      </c>
      <c r="Q335" t="s">
        <v>1640</v>
      </c>
      <c r="R335">
        <v>30</v>
      </c>
      <c r="S335">
        <v>41</v>
      </c>
      <c r="T335" t="s">
        <v>42</v>
      </c>
      <c r="U335" s="8">
        <v>48</v>
      </c>
      <c r="V335" s="8">
        <f t="shared" si="49"/>
        <v>147.20000000000002</v>
      </c>
      <c r="W335" t="str">
        <f t="shared" si="50"/>
        <v>Sufficient Stock</v>
      </c>
      <c r="X335" s="9">
        <f t="shared" si="51"/>
        <v>45627</v>
      </c>
      <c r="Y335">
        <f t="shared" si="52"/>
        <v>-107</v>
      </c>
      <c r="Z335" t="str">
        <f t="shared" si="53"/>
        <v>Invalid Data</v>
      </c>
    </row>
    <row r="336" spans="1:26" x14ac:dyDescent="0.4">
      <c r="A336" t="s">
        <v>1641</v>
      </c>
      <c r="B336" t="s">
        <v>582</v>
      </c>
      <c r="C336" t="s">
        <v>68</v>
      </c>
      <c r="D336" t="s">
        <v>1642</v>
      </c>
      <c r="E336" t="s">
        <v>126</v>
      </c>
      <c r="F336">
        <v>49</v>
      </c>
      <c r="G336">
        <v>17</v>
      </c>
      <c r="H336">
        <v>54</v>
      </c>
      <c r="I336" t="s">
        <v>57</v>
      </c>
      <c r="J336" s="7">
        <f t="shared" si="45"/>
        <v>4</v>
      </c>
      <c r="K336" t="s">
        <v>435</v>
      </c>
      <c r="L336" s="1">
        <f t="shared" si="46"/>
        <v>45558</v>
      </c>
      <c r="M336" t="s">
        <v>1165</v>
      </c>
      <c r="N336" s="1">
        <f t="shared" si="47"/>
        <v>45626</v>
      </c>
      <c r="O336" t="s">
        <v>630</v>
      </c>
      <c r="P336" s="1">
        <f t="shared" si="48"/>
        <v>45623</v>
      </c>
      <c r="Q336" t="s">
        <v>1643</v>
      </c>
      <c r="R336">
        <v>45</v>
      </c>
      <c r="S336">
        <v>96</v>
      </c>
      <c r="T336" t="s">
        <v>26</v>
      </c>
      <c r="U336" s="8">
        <v>180</v>
      </c>
      <c r="V336" s="8">
        <f t="shared" si="49"/>
        <v>196</v>
      </c>
      <c r="W336" t="str">
        <f t="shared" si="50"/>
        <v>Sufficient Stock</v>
      </c>
      <c r="X336" s="9">
        <f t="shared" si="51"/>
        <v>45536</v>
      </c>
      <c r="Y336">
        <f t="shared" si="52"/>
        <v>65</v>
      </c>
      <c r="Z336" t="str">
        <f t="shared" si="53"/>
        <v>High Risk</v>
      </c>
    </row>
    <row r="337" spans="1:26" x14ac:dyDescent="0.4">
      <c r="A337" t="s">
        <v>1644</v>
      </c>
      <c r="B337" t="s">
        <v>722</v>
      </c>
      <c r="C337" t="s">
        <v>54</v>
      </c>
      <c r="D337" t="s">
        <v>1645</v>
      </c>
      <c r="E337" t="s">
        <v>1124</v>
      </c>
      <c r="F337">
        <v>52</v>
      </c>
      <c r="G337">
        <v>8</v>
      </c>
      <c r="H337">
        <v>37</v>
      </c>
      <c r="I337" t="s">
        <v>39</v>
      </c>
      <c r="J337" s="7">
        <f t="shared" si="45"/>
        <v>6</v>
      </c>
      <c r="K337" t="s">
        <v>826</v>
      </c>
      <c r="L337" s="1">
        <f t="shared" si="46"/>
        <v>45535</v>
      </c>
      <c r="M337" t="s">
        <v>700</v>
      </c>
      <c r="N337" s="1">
        <f t="shared" si="47"/>
        <v>45519</v>
      </c>
      <c r="O337" t="s">
        <v>22</v>
      </c>
      <c r="P337" s="1">
        <f t="shared" si="48"/>
        <v>45520</v>
      </c>
      <c r="Q337" t="s">
        <v>1646</v>
      </c>
      <c r="R337">
        <v>38</v>
      </c>
      <c r="S337">
        <v>81</v>
      </c>
      <c r="T337" t="s">
        <v>51</v>
      </c>
      <c r="U337" s="8">
        <v>228</v>
      </c>
      <c r="V337" s="8">
        <f t="shared" si="49"/>
        <v>312</v>
      </c>
      <c r="W337" t="str">
        <f t="shared" si="50"/>
        <v>Sufficient Stock</v>
      </c>
      <c r="X337" s="9">
        <f t="shared" si="51"/>
        <v>45505</v>
      </c>
      <c r="Y337">
        <f t="shared" si="52"/>
        <v>-15</v>
      </c>
      <c r="Z337" t="str">
        <f t="shared" si="53"/>
        <v>Invalid Data</v>
      </c>
    </row>
    <row r="338" spans="1:26" x14ac:dyDescent="0.4">
      <c r="A338" t="s">
        <v>1647</v>
      </c>
      <c r="B338" t="s">
        <v>932</v>
      </c>
      <c r="C338" t="s">
        <v>77</v>
      </c>
      <c r="D338" t="s">
        <v>1648</v>
      </c>
      <c r="E338" t="s">
        <v>1649</v>
      </c>
      <c r="F338">
        <v>56</v>
      </c>
      <c r="G338">
        <v>97</v>
      </c>
      <c r="H338">
        <v>29</v>
      </c>
      <c r="I338" t="s">
        <v>71</v>
      </c>
      <c r="J338" s="7">
        <f t="shared" si="45"/>
        <v>2.5</v>
      </c>
      <c r="K338" t="s">
        <v>592</v>
      </c>
      <c r="L338" s="1">
        <f t="shared" si="46"/>
        <v>45350</v>
      </c>
      <c r="M338" t="s">
        <v>1151</v>
      </c>
      <c r="N338" s="1">
        <f t="shared" si="47"/>
        <v>45490</v>
      </c>
      <c r="O338" t="s">
        <v>1188</v>
      </c>
      <c r="P338" s="1">
        <f t="shared" si="48"/>
        <v>45625</v>
      </c>
      <c r="Q338" t="s">
        <v>1650</v>
      </c>
      <c r="R338">
        <v>82</v>
      </c>
      <c r="S338">
        <v>100</v>
      </c>
      <c r="T338" t="s">
        <v>42</v>
      </c>
      <c r="U338" s="8">
        <v>205</v>
      </c>
      <c r="V338" s="8">
        <f t="shared" si="49"/>
        <v>140</v>
      </c>
      <c r="W338" t="str">
        <f t="shared" si="50"/>
        <v>Reorder Required</v>
      </c>
      <c r="X338" s="9">
        <f t="shared" si="51"/>
        <v>45323</v>
      </c>
      <c r="Y338">
        <f t="shared" si="52"/>
        <v>275</v>
      </c>
      <c r="Z338" t="str">
        <f t="shared" si="53"/>
        <v>Low Risk</v>
      </c>
    </row>
    <row r="339" spans="1:26" x14ac:dyDescent="0.4">
      <c r="A339" t="s">
        <v>1651</v>
      </c>
      <c r="B339" t="s">
        <v>124</v>
      </c>
      <c r="C339" t="s">
        <v>54</v>
      </c>
      <c r="D339" t="s">
        <v>1652</v>
      </c>
      <c r="E339" t="s">
        <v>881</v>
      </c>
      <c r="F339">
        <v>16</v>
      </c>
      <c r="G339">
        <v>23</v>
      </c>
      <c r="H339">
        <v>76</v>
      </c>
      <c r="I339" t="s">
        <v>717</v>
      </c>
      <c r="J339" s="7">
        <f t="shared" si="45"/>
        <v>6.1</v>
      </c>
      <c r="K339" t="s">
        <v>397</v>
      </c>
      <c r="L339" s="1">
        <f t="shared" si="46"/>
        <v>45494</v>
      </c>
      <c r="M339" s="1">
        <v>45902</v>
      </c>
      <c r="N339" s="1">
        <f t="shared" si="47"/>
        <v>45902</v>
      </c>
      <c r="O339" s="1">
        <v>45871</v>
      </c>
      <c r="P339" s="1">
        <f t="shared" si="48"/>
        <v>45871</v>
      </c>
      <c r="Q339" t="s">
        <v>1653</v>
      </c>
      <c r="R339">
        <v>50</v>
      </c>
      <c r="S339">
        <v>27</v>
      </c>
      <c r="T339" t="s">
        <v>42</v>
      </c>
      <c r="U339" s="8">
        <v>305</v>
      </c>
      <c r="V339" s="8">
        <f t="shared" si="49"/>
        <v>97.6</v>
      </c>
      <c r="W339" t="str">
        <f t="shared" si="50"/>
        <v>Reorder Required</v>
      </c>
      <c r="X339" s="9">
        <f t="shared" si="51"/>
        <v>45474</v>
      </c>
      <c r="Y339">
        <f t="shared" si="52"/>
        <v>377</v>
      </c>
      <c r="Z339" t="str">
        <f t="shared" si="53"/>
        <v>Safe</v>
      </c>
    </row>
    <row r="340" spans="1:26" x14ac:dyDescent="0.4">
      <c r="A340" t="s">
        <v>1654</v>
      </c>
      <c r="B340" t="s">
        <v>290</v>
      </c>
      <c r="C340" t="s">
        <v>54</v>
      </c>
      <c r="D340" t="s">
        <v>1655</v>
      </c>
      <c r="E340" t="s">
        <v>914</v>
      </c>
      <c r="F340">
        <v>52</v>
      </c>
      <c r="G340">
        <v>79</v>
      </c>
      <c r="H340">
        <v>87</v>
      </c>
      <c r="I340" t="s">
        <v>71</v>
      </c>
      <c r="J340" s="7">
        <f t="shared" si="45"/>
        <v>2.5</v>
      </c>
      <c r="K340" s="1">
        <v>45602</v>
      </c>
      <c r="L340" s="1">
        <f t="shared" si="46"/>
        <v>45602</v>
      </c>
      <c r="M340" s="1">
        <v>45386</v>
      </c>
      <c r="N340" s="1">
        <f t="shared" si="47"/>
        <v>45386</v>
      </c>
      <c r="O340" s="1">
        <v>45568</v>
      </c>
      <c r="P340" s="1">
        <f t="shared" si="48"/>
        <v>45568</v>
      </c>
      <c r="Q340" t="s">
        <v>1656</v>
      </c>
      <c r="R340">
        <v>36</v>
      </c>
      <c r="S340">
        <v>100</v>
      </c>
      <c r="T340" t="s">
        <v>26</v>
      </c>
      <c r="U340" s="8">
        <v>90</v>
      </c>
      <c r="V340" s="8">
        <f t="shared" si="49"/>
        <v>130</v>
      </c>
      <c r="W340" t="str">
        <f t="shared" si="50"/>
        <v>Reorder Required</v>
      </c>
      <c r="X340" s="9">
        <f t="shared" si="51"/>
        <v>45597</v>
      </c>
      <c r="Y340">
        <f t="shared" si="52"/>
        <v>-34</v>
      </c>
      <c r="Z340" t="str">
        <f t="shared" si="53"/>
        <v>Invalid Data</v>
      </c>
    </row>
    <row r="341" spans="1:26" x14ac:dyDescent="0.4">
      <c r="A341" t="s">
        <v>1657</v>
      </c>
      <c r="B341" t="s">
        <v>168</v>
      </c>
      <c r="C341" t="s">
        <v>169</v>
      </c>
      <c r="D341" t="s">
        <v>1658</v>
      </c>
      <c r="E341" t="s">
        <v>345</v>
      </c>
      <c r="F341">
        <v>91</v>
      </c>
      <c r="G341">
        <v>68</v>
      </c>
      <c r="H341">
        <v>80</v>
      </c>
      <c r="I341" t="s">
        <v>1433</v>
      </c>
      <c r="J341" s="7">
        <f t="shared" si="45"/>
        <v>11.5</v>
      </c>
      <c r="K341" s="1">
        <v>45634</v>
      </c>
      <c r="L341" s="1">
        <f t="shared" si="46"/>
        <v>45634</v>
      </c>
      <c r="M341" t="s">
        <v>108</v>
      </c>
      <c r="N341" s="1">
        <f t="shared" si="47"/>
        <v>45579</v>
      </c>
      <c r="O341" t="s">
        <v>229</v>
      </c>
      <c r="P341" s="1">
        <f t="shared" si="48"/>
        <v>45615</v>
      </c>
      <c r="Q341" t="s">
        <v>1659</v>
      </c>
      <c r="R341">
        <v>81</v>
      </c>
      <c r="S341">
        <v>85</v>
      </c>
      <c r="T341" t="s">
        <v>42</v>
      </c>
      <c r="U341" s="8">
        <v>931.5</v>
      </c>
      <c r="V341" s="8">
        <f t="shared" si="49"/>
        <v>1046.5</v>
      </c>
      <c r="W341" t="str">
        <f t="shared" si="50"/>
        <v>Sufficient Stock</v>
      </c>
      <c r="X341" s="9">
        <f t="shared" si="51"/>
        <v>45627</v>
      </c>
      <c r="Y341">
        <f t="shared" si="52"/>
        <v>-19</v>
      </c>
      <c r="Z341" t="str">
        <f t="shared" si="53"/>
        <v>Invalid Data</v>
      </c>
    </row>
    <row r="342" spans="1:26" x14ac:dyDescent="0.4">
      <c r="A342" t="s">
        <v>1660</v>
      </c>
      <c r="B342" t="s">
        <v>304</v>
      </c>
      <c r="C342" t="s">
        <v>54</v>
      </c>
      <c r="D342" t="s">
        <v>1661</v>
      </c>
      <c r="E342" t="s">
        <v>1662</v>
      </c>
      <c r="F342">
        <v>58</v>
      </c>
      <c r="G342">
        <v>58</v>
      </c>
      <c r="H342">
        <v>28</v>
      </c>
      <c r="I342" t="s">
        <v>1663</v>
      </c>
      <c r="J342" s="7">
        <f t="shared" si="45"/>
        <v>4.7</v>
      </c>
      <c r="K342" t="s">
        <v>72</v>
      </c>
      <c r="L342" s="1">
        <f t="shared" si="46"/>
        <v>45369</v>
      </c>
      <c r="M342" s="1">
        <v>45420</v>
      </c>
      <c r="N342" s="1">
        <f t="shared" si="47"/>
        <v>45420</v>
      </c>
      <c r="O342" t="s">
        <v>1664</v>
      </c>
      <c r="P342" s="1">
        <f t="shared" si="48"/>
        <v>45686</v>
      </c>
      <c r="Q342" t="s">
        <v>1665</v>
      </c>
      <c r="R342">
        <v>85</v>
      </c>
      <c r="S342">
        <v>63</v>
      </c>
      <c r="T342" t="s">
        <v>51</v>
      </c>
      <c r="U342" s="8">
        <v>399.5</v>
      </c>
      <c r="V342" s="8">
        <f t="shared" si="49"/>
        <v>272.60000000000002</v>
      </c>
      <c r="W342" t="str">
        <f t="shared" si="50"/>
        <v>Reorder Required</v>
      </c>
      <c r="X342" s="9">
        <f t="shared" si="51"/>
        <v>45352</v>
      </c>
      <c r="Y342">
        <f t="shared" si="52"/>
        <v>317</v>
      </c>
      <c r="Z342" t="str">
        <f t="shared" si="53"/>
        <v>Low Risk</v>
      </c>
    </row>
    <row r="343" spans="1:26" x14ac:dyDescent="0.4">
      <c r="A343" t="s">
        <v>1666</v>
      </c>
      <c r="B343" t="s">
        <v>1428</v>
      </c>
      <c r="C343" t="s">
        <v>169</v>
      </c>
      <c r="D343" t="s">
        <v>1667</v>
      </c>
      <c r="E343" t="s">
        <v>1668</v>
      </c>
      <c r="F343">
        <v>47</v>
      </c>
      <c r="G343">
        <v>29</v>
      </c>
      <c r="H343">
        <v>70</v>
      </c>
      <c r="I343" t="s">
        <v>32</v>
      </c>
      <c r="J343" s="7">
        <f t="shared" si="45"/>
        <v>20</v>
      </c>
      <c r="K343" s="1">
        <v>45543</v>
      </c>
      <c r="L343" s="1">
        <f t="shared" si="46"/>
        <v>45543</v>
      </c>
      <c r="M343" s="1">
        <v>45485</v>
      </c>
      <c r="N343" s="1">
        <f t="shared" si="47"/>
        <v>45485</v>
      </c>
      <c r="O343" t="s">
        <v>915</v>
      </c>
      <c r="P343" s="1">
        <f t="shared" si="48"/>
        <v>45498</v>
      </c>
      <c r="Q343" t="s">
        <v>1669</v>
      </c>
      <c r="R343">
        <v>61</v>
      </c>
      <c r="S343">
        <v>44</v>
      </c>
      <c r="T343" t="s">
        <v>51</v>
      </c>
      <c r="U343" s="8">
        <v>1220</v>
      </c>
      <c r="V343" s="8">
        <f t="shared" si="49"/>
        <v>940</v>
      </c>
      <c r="W343" t="str">
        <f t="shared" si="50"/>
        <v>Sufficient Stock</v>
      </c>
      <c r="X343" s="9">
        <f t="shared" si="51"/>
        <v>45536</v>
      </c>
      <c r="Y343">
        <f t="shared" si="52"/>
        <v>-45</v>
      </c>
      <c r="Z343" t="str">
        <f t="shared" si="53"/>
        <v>Invalid Data</v>
      </c>
    </row>
    <row r="344" spans="1:26" x14ac:dyDescent="0.4">
      <c r="A344" t="s">
        <v>1670</v>
      </c>
      <c r="B344" t="s">
        <v>111</v>
      </c>
      <c r="C344" t="s">
        <v>112</v>
      </c>
      <c r="D344" t="s">
        <v>1671</v>
      </c>
      <c r="E344" t="s">
        <v>1672</v>
      </c>
      <c r="F344">
        <v>50</v>
      </c>
      <c r="G344">
        <v>56</v>
      </c>
      <c r="H344">
        <v>63</v>
      </c>
      <c r="I344" t="s">
        <v>85</v>
      </c>
      <c r="J344" s="7">
        <f t="shared" si="45"/>
        <v>3</v>
      </c>
      <c r="K344" t="s">
        <v>909</v>
      </c>
      <c r="L344" s="1">
        <f t="shared" si="46"/>
        <v>45378</v>
      </c>
      <c r="M344" t="s">
        <v>347</v>
      </c>
      <c r="N344" s="1">
        <f t="shared" si="47"/>
        <v>45428</v>
      </c>
      <c r="O344" t="s">
        <v>712</v>
      </c>
      <c r="P344" s="1">
        <f t="shared" si="48"/>
        <v>45552</v>
      </c>
      <c r="Q344" t="s">
        <v>1673</v>
      </c>
      <c r="R344">
        <v>70</v>
      </c>
      <c r="S344">
        <v>100</v>
      </c>
      <c r="T344" t="s">
        <v>26</v>
      </c>
      <c r="U344" s="8">
        <v>210</v>
      </c>
      <c r="V344" s="8">
        <f t="shared" si="49"/>
        <v>150</v>
      </c>
      <c r="W344" t="str">
        <f t="shared" si="50"/>
        <v>Reorder Required</v>
      </c>
      <c r="X344" s="9">
        <f t="shared" si="51"/>
        <v>45352</v>
      </c>
      <c r="Y344">
        <f t="shared" si="52"/>
        <v>174</v>
      </c>
      <c r="Z344" t="str">
        <f t="shared" si="53"/>
        <v>Medium Risk</v>
      </c>
    </row>
    <row r="345" spans="1:26" x14ac:dyDescent="0.4">
      <c r="A345" t="s">
        <v>1674</v>
      </c>
      <c r="B345" t="s">
        <v>839</v>
      </c>
      <c r="C345" t="s">
        <v>77</v>
      </c>
      <c r="D345" t="s">
        <v>1675</v>
      </c>
      <c r="E345" t="s">
        <v>126</v>
      </c>
      <c r="F345">
        <v>43</v>
      </c>
      <c r="G345">
        <v>73</v>
      </c>
      <c r="H345">
        <v>14</v>
      </c>
      <c r="I345" t="s">
        <v>57</v>
      </c>
      <c r="J345" s="7">
        <f t="shared" si="45"/>
        <v>4</v>
      </c>
      <c r="K345" t="s">
        <v>358</v>
      </c>
      <c r="L345" s="1">
        <f t="shared" si="46"/>
        <v>45501</v>
      </c>
      <c r="M345" s="1">
        <v>45482</v>
      </c>
      <c r="N345" s="1">
        <f t="shared" si="47"/>
        <v>45482</v>
      </c>
      <c r="O345" t="s">
        <v>893</v>
      </c>
      <c r="P345" s="1">
        <f t="shared" si="48"/>
        <v>45530</v>
      </c>
      <c r="Q345" t="s">
        <v>1676</v>
      </c>
      <c r="R345">
        <v>59</v>
      </c>
      <c r="S345">
        <v>65</v>
      </c>
      <c r="T345" t="s">
        <v>51</v>
      </c>
      <c r="U345" s="8">
        <v>236</v>
      </c>
      <c r="V345" s="8">
        <f t="shared" si="49"/>
        <v>172</v>
      </c>
      <c r="W345" t="str">
        <f t="shared" si="50"/>
        <v>Reorder Required</v>
      </c>
      <c r="X345" s="9">
        <f t="shared" si="51"/>
        <v>45474</v>
      </c>
      <c r="Y345">
        <f t="shared" si="52"/>
        <v>29</v>
      </c>
      <c r="Z345" t="str">
        <f t="shared" si="53"/>
        <v>Critical</v>
      </c>
    </row>
    <row r="346" spans="1:26" x14ac:dyDescent="0.4">
      <c r="A346" t="s">
        <v>1677</v>
      </c>
      <c r="B346" t="s">
        <v>923</v>
      </c>
      <c r="C346" t="s">
        <v>77</v>
      </c>
      <c r="D346" t="s">
        <v>1678</v>
      </c>
      <c r="E346" t="s">
        <v>1581</v>
      </c>
      <c r="F346">
        <v>68</v>
      </c>
      <c r="G346">
        <v>60</v>
      </c>
      <c r="H346">
        <v>21</v>
      </c>
      <c r="I346" t="s">
        <v>1679</v>
      </c>
      <c r="J346" s="7">
        <f t="shared" si="45"/>
        <v>8.9</v>
      </c>
      <c r="K346" t="s">
        <v>135</v>
      </c>
      <c r="L346" s="1">
        <f t="shared" si="46"/>
        <v>45349</v>
      </c>
      <c r="M346" s="1">
        <v>45332</v>
      </c>
      <c r="N346" s="1">
        <f t="shared" si="47"/>
        <v>45332</v>
      </c>
      <c r="O346" t="s">
        <v>644</v>
      </c>
      <c r="P346" s="1">
        <f t="shared" si="48"/>
        <v>45411</v>
      </c>
      <c r="Q346" t="s">
        <v>1680</v>
      </c>
      <c r="R346">
        <v>79</v>
      </c>
      <c r="S346">
        <v>46</v>
      </c>
      <c r="T346" t="s">
        <v>51</v>
      </c>
      <c r="U346" s="8">
        <v>703.1</v>
      </c>
      <c r="V346" s="8">
        <f t="shared" si="49"/>
        <v>605.20000000000005</v>
      </c>
      <c r="W346" t="str">
        <f t="shared" si="50"/>
        <v>Sufficient Stock</v>
      </c>
      <c r="X346" s="9">
        <f t="shared" si="51"/>
        <v>45323</v>
      </c>
      <c r="Y346">
        <f t="shared" si="52"/>
        <v>62</v>
      </c>
      <c r="Z346" t="str">
        <f t="shared" si="53"/>
        <v>High Risk</v>
      </c>
    </row>
    <row r="347" spans="1:26" x14ac:dyDescent="0.4">
      <c r="A347" t="s">
        <v>1681</v>
      </c>
      <c r="B347" t="s">
        <v>932</v>
      </c>
      <c r="C347" t="s">
        <v>77</v>
      </c>
      <c r="D347" t="s">
        <v>1682</v>
      </c>
      <c r="E347" t="s">
        <v>1196</v>
      </c>
      <c r="F347">
        <v>19</v>
      </c>
      <c r="G347">
        <v>100</v>
      </c>
      <c r="H347">
        <v>83</v>
      </c>
      <c r="I347" t="s">
        <v>71</v>
      </c>
      <c r="J347" s="7">
        <f t="shared" si="45"/>
        <v>2.5</v>
      </c>
      <c r="K347" t="s">
        <v>181</v>
      </c>
      <c r="L347" s="1">
        <f t="shared" si="46"/>
        <v>45407</v>
      </c>
      <c r="M347" t="s">
        <v>397</v>
      </c>
      <c r="N347" s="1">
        <f t="shared" si="47"/>
        <v>45494</v>
      </c>
      <c r="O347" t="s">
        <v>1683</v>
      </c>
      <c r="P347" s="1">
        <f t="shared" si="48"/>
        <v>45373</v>
      </c>
      <c r="Q347" t="s">
        <v>1684</v>
      </c>
      <c r="R347">
        <v>66</v>
      </c>
      <c r="S347">
        <v>28</v>
      </c>
      <c r="T347" t="s">
        <v>26</v>
      </c>
      <c r="U347" s="8">
        <v>165</v>
      </c>
      <c r="V347" s="8">
        <f t="shared" si="49"/>
        <v>47.5</v>
      </c>
      <c r="W347" t="str">
        <f t="shared" si="50"/>
        <v>Reorder Required</v>
      </c>
      <c r="X347" s="9">
        <f t="shared" si="51"/>
        <v>45383</v>
      </c>
      <c r="Y347">
        <f t="shared" si="52"/>
        <v>-34</v>
      </c>
      <c r="Z347" t="str">
        <f t="shared" si="53"/>
        <v>Invalid Data</v>
      </c>
    </row>
    <row r="348" spans="1:26" x14ac:dyDescent="0.4">
      <c r="A348" t="s">
        <v>1685</v>
      </c>
      <c r="B348" t="s">
        <v>144</v>
      </c>
      <c r="C348" t="s">
        <v>77</v>
      </c>
      <c r="D348" t="s">
        <v>1686</v>
      </c>
      <c r="E348" t="s">
        <v>1373</v>
      </c>
      <c r="F348">
        <v>70</v>
      </c>
      <c r="G348">
        <v>84</v>
      </c>
      <c r="H348">
        <v>72</v>
      </c>
      <c r="I348" t="s">
        <v>147</v>
      </c>
      <c r="J348" s="7">
        <f t="shared" si="45"/>
        <v>8</v>
      </c>
      <c r="K348" t="s">
        <v>1111</v>
      </c>
      <c r="L348" s="1">
        <f t="shared" si="46"/>
        <v>45493</v>
      </c>
      <c r="M348" s="1">
        <v>45516</v>
      </c>
      <c r="N348" s="1">
        <f t="shared" si="47"/>
        <v>45516</v>
      </c>
      <c r="O348" t="s">
        <v>730</v>
      </c>
      <c r="P348" s="1">
        <f t="shared" si="48"/>
        <v>45487</v>
      </c>
      <c r="Q348" t="s">
        <v>1687</v>
      </c>
      <c r="R348">
        <v>71</v>
      </c>
      <c r="S348">
        <v>20</v>
      </c>
      <c r="T348" t="s">
        <v>51</v>
      </c>
      <c r="U348" s="8">
        <v>568</v>
      </c>
      <c r="V348" s="8">
        <f t="shared" si="49"/>
        <v>560</v>
      </c>
      <c r="W348" t="str">
        <f t="shared" si="50"/>
        <v>Reorder Required</v>
      </c>
      <c r="X348" s="9">
        <f t="shared" si="51"/>
        <v>45474</v>
      </c>
      <c r="Y348">
        <f t="shared" si="52"/>
        <v>-6</v>
      </c>
      <c r="Z348" t="str">
        <f t="shared" si="53"/>
        <v>Invalid Data</v>
      </c>
    </row>
    <row r="349" spans="1:26" x14ac:dyDescent="0.4">
      <c r="A349" t="s">
        <v>1688</v>
      </c>
      <c r="B349" t="s">
        <v>482</v>
      </c>
      <c r="C349" t="s">
        <v>54</v>
      </c>
      <c r="D349" t="s">
        <v>1689</v>
      </c>
      <c r="E349" t="s">
        <v>1013</v>
      </c>
      <c r="F349">
        <v>97</v>
      </c>
      <c r="G349">
        <v>20</v>
      </c>
      <c r="H349">
        <v>72</v>
      </c>
      <c r="I349" t="s">
        <v>85</v>
      </c>
      <c r="J349" s="7">
        <f t="shared" si="45"/>
        <v>3</v>
      </c>
      <c r="K349" t="s">
        <v>462</v>
      </c>
      <c r="L349" s="1">
        <f t="shared" si="46"/>
        <v>45351</v>
      </c>
      <c r="M349" s="1">
        <v>45810</v>
      </c>
      <c r="N349" s="1">
        <f t="shared" si="47"/>
        <v>45810</v>
      </c>
      <c r="O349" s="1">
        <v>45577</v>
      </c>
      <c r="P349" s="1">
        <f t="shared" si="48"/>
        <v>45577</v>
      </c>
      <c r="Q349" t="s">
        <v>1690</v>
      </c>
      <c r="R349">
        <v>29</v>
      </c>
      <c r="S349">
        <v>59</v>
      </c>
      <c r="T349" t="s">
        <v>42</v>
      </c>
      <c r="U349" s="8">
        <v>87</v>
      </c>
      <c r="V349" s="8">
        <f t="shared" si="49"/>
        <v>291</v>
      </c>
      <c r="W349" t="str">
        <f t="shared" si="50"/>
        <v>Sufficient Stock</v>
      </c>
      <c r="X349" s="9">
        <f t="shared" si="51"/>
        <v>45323</v>
      </c>
      <c r="Y349">
        <f t="shared" si="52"/>
        <v>226</v>
      </c>
      <c r="Z349" t="str">
        <f t="shared" si="53"/>
        <v>Low Risk</v>
      </c>
    </row>
    <row r="350" spans="1:26" x14ac:dyDescent="0.4">
      <c r="A350" t="s">
        <v>1691</v>
      </c>
      <c r="B350" t="s">
        <v>1086</v>
      </c>
      <c r="C350" t="s">
        <v>68</v>
      </c>
      <c r="D350" t="s">
        <v>1692</v>
      </c>
      <c r="E350" t="s">
        <v>1061</v>
      </c>
      <c r="F350">
        <v>87</v>
      </c>
      <c r="G350">
        <v>24</v>
      </c>
      <c r="H350">
        <v>19</v>
      </c>
      <c r="I350" t="s">
        <v>71</v>
      </c>
      <c r="J350" s="7">
        <f t="shared" si="45"/>
        <v>2.5</v>
      </c>
      <c r="K350" s="1">
        <v>45601</v>
      </c>
      <c r="L350" s="1">
        <f t="shared" si="46"/>
        <v>45601</v>
      </c>
      <c r="M350" t="s">
        <v>115</v>
      </c>
      <c r="N350" s="1">
        <f t="shared" si="47"/>
        <v>45639</v>
      </c>
      <c r="O350" t="s">
        <v>49</v>
      </c>
      <c r="P350" s="1">
        <f t="shared" si="48"/>
        <v>45399</v>
      </c>
      <c r="Q350" t="s">
        <v>1693</v>
      </c>
      <c r="R350">
        <v>83</v>
      </c>
      <c r="S350">
        <v>3</v>
      </c>
      <c r="T350" t="s">
        <v>26</v>
      </c>
      <c r="U350" s="8">
        <v>207.5</v>
      </c>
      <c r="V350" s="8">
        <f t="shared" si="49"/>
        <v>217.5</v>
      </c>
      <c r="W350" t="str">
        <f t="shared" si="50"/>
        <v>Sufficient Stock</v>
      </c>
      <c r="X350" s="9">
        <f t="shared" si="51"/>
        <v>45597</v>
      </c>
      <c r="Y350">
        <f t="shared" si="52"/>
        <v>-202</v>
      </c>
      <c r="Z350" t="str">
        <f t="shared" si="53"/>
        <v>Invalid Data</v>
      </c>
    </row>
    <row r="351" spans="1:26" x14ac:dyDescent="0.4">
      <c r="A351" t="s">
        <v>1694</v>
      </c>
      <c r="B351" t="s">
        <v>458</v>
      </c>
      <c r="C351" t="s">
        <v>29</v>
      </c>
      <c r="D351" t="s">
        <v>1695</v>
      </c>
      <c r="E351" t="s">
        <v>1204</v>
      </c>
      <c r="F351">
        <v>58</v>
      </c>
      <c r="G351">
        <v>81</v>
      </c>
      <c r="H351">
        <v>66</v>
      </c>
      <c r="I351" t="s">
        <v>461</v>
      </c>
      <c r="J351" s="7">
        <f t="shared" si="45"/>
        <v>25</v>
      </c>
      <c r="K351" t="s">
        <v>213</v>
      </c>
      <c r="L351" s="1">
        <f t="shared" si="46"/>
        <v>45467</v>
      </c>
      <c r="M351" t="s">
        <v>827</v>
      </c>
      <c r="N351" s="1">
        <f t="shared" si="47"/>
        <v>45701</v>
      </c>
      <c r="O351" s="1">
        <v>45689</v>
      </c>
      <c r="P351" s="1">
        <f t="shared" si="48"/>
        <v>45689</v>
      </c>
      <c r="Q351" t="s">
        <v>1696</v>
      </c>
      <c r="R351">
        <v>85</v>
      </c>
      <c r="S351">
        <v>78</v>
      </c>
      <c r="T351" t="s">
        <v>51</v>
      </c>
      <c r="U351" s="8">
        <v>2125</v>
      </c>
      <c r="V351" s="8">
        <f t="shared" si="49"/>
        <v>1450</v>
      </c>
      <c r="W351" t="str">
        <f t="shared" si="50"/>
        <v>Reorder Required</v>
      </c>
      <c r="X351" s="9">
        <f t="shared" si="51"/>
        <v>45444</v>
      </c>
      <c r="Y351">
        <f t="shared" si="52"/>
        <v>222</v>
      </c>
      <c r="Z351" t="str">
        <f t="shared" si="53"/>
        <v>Low Risk</v>
      </c>
    </row>
    <row r="352" spans="1:26" x14ac:dyDescent="0.4">
      <c r="A352" t="s">
        <v>1697</v>
      </c>
      <c r="B352" t="s">
        <v>698</v>
      </c>
      <c r="C352" t="s">
        <v>54</v>
      </c>
      <c r="D352" t="s">
        <v>1698</v>
      </c>
      <c r="E352" t="s">
        <v>1699</v>
      </c>
      <c r="F352">
        <v>16</v>
      </c>
      <c r="G352">
        <v>53</v>
      </c>
      <c r="H352">
        <v>12</v>
      </c>
      <c r="I352" t="s">
        <v>220</v>
      </c>
      <c r="J352" s="7">
        <f t="shared" si="45"/>
        <v>5</v>
      </c>
      <c r="K352" s="1">
        <v>45602</v>
      </c>
      <c r="L352" s="1">
        <f t="shared" si="46"/>
        <v>45602</v>
      </c>
      <c r="M352" t="s">
        <v>1174</v>
      </c>
      <c r="N352" s="1">
        <f t="shared" si="47"/>
        <v>45677</v>
      </c>
      <c r="O352" s="1">
        <v>45449</v>
      </c>
      <c r="P352" s="1">
        <f t="shared" si="48"/>
        <v>45449</v>
      </c>
      <c r="Q352" t="s">
        <v>1700</v>
      </c>
      <c r="R352">
        <v>21</v>
      </c>
      <c r="S352">
        <v>29</v>
      </c>
      <c r="T352" t="s">
        <v>26</v>
      </c>
      <c r="U352" s="8">
        <v>105</v>
      </c>
      <c r="V352" s="8">
        <f t="shared" si="49"/>
        <v>80</v>
      </c>
      <c r="W352" t="str">
        <f t="shared" si="50"/>
        <v>Reorder Required</v>
      </c>
      <c r="X352" s="9">
        <f t="shared" si="51"/>
        <v>45597</v>
      </c>
      <c r="Y352">
        <f t="shared" si="52"/>
        <v>-153</v>
      </c>
      <c r="Z352" t="str">
        <f t="shared" si="53"/>
        <v>Invalid Data</v>
      </c>
    </row>
    <row r="353" spans="1:26" x14ac:dyDescent="0.4">
      <c r="A353" t="s">
        <v>1701</v>
      </c>
      <c r="B353" t="s">
        <v>239</v>
      </c>
      <c r="C353" t="s">
        <v>54</v>
      </c>
      <c r="D353" t="s">
        <v>1702</v>
      </c>
      <c r="E353" t="s">
        <v>1373</v>
      </c>
      <c r="F353">
        <v>65</v>
      </c>
      <c r="G353">
        <v>35</v>
      </c>
      <c r="H353">
        <v>3</v>
      </c>
      <c r="I353" t="s">
        <v>242</v>
      </c>
      <c r="J353" s="7">
        <f t="shared" si="45"/>
        <v>3.5</v>
      </c>
      <c r="K353" s="1">
        <v>45604</v>
      </c>
      <c r="L353" s="1">
        <f t="shared" si="46"/>
        <v>45604</v>
      </c>
      <c r="M353" t="s">
        <v>649</v>
      </c>
      <c r="N353" s="1">
        <f t="shared" si="47"/>
        <v>45675</v>
      </c>
      <c r="O353" t="s">
        <v>1351</v>
      </c>
      <c r="P353" s="1">
        <f t="shared" si="48"/>
        <v>45562</v>
      </c>
      <c r="Q353" t="s">
        <v>1703</v>
      </c>
      <c r="R353">
        <v>25</v>
      </c>
      <c r="S353">
        <v>13</v>
      </c>
      <c r="T353" t="s">
        <v>51</v>
      </c>
      <c r="U353" s="8">
        <v>87.5</v>
      </c>
      <c r="V353" s="8">
        <f t="shared" si="49"/>
        <v>227.5</v>
      </c>
      <c r="W353" t="str">
        <f t="shared" si="50"/>
        <v>Sufficient Stock</v>
      </c>
      <c r="X353" s="9">
        <f t="shared" si="51"/>
        <v>45597</v>
      </c>
      <c r="Y353">
        <f t="shared" si="52"/>
        <v>-42</v>
      </c>
      <c r="Z353" t="str">
        <f t="shared" si="53"/>
        <v>Invalid Data</v>
      </c>
    </row>
    <row r="354" spans="1:26" x14ac:dyDescent="0.4">
      <c r="A354" t="s">
        <v>1704</v>
      </c>
      <c r="B354" t="s">
        <v>1046</v>
      </c>
      <c r="C354" t="s">
        <v>18</v>
      </c>
      <c r="D354" t="s">
        <v>1705</v>
      </c>
      <c r="E354" t="s">
        <v>825</v>
      </c>
      <c r="F354">
        <v>15</v>
      </c>
      <c r="G354">
        <v>49</v>
      </c>
      <c r="H354">
        <v>40</v>
      </c>
      <c r="I354" t="s">
        <v>21</v>
      </c>
      <c r="J354" s="7">
        <f t="shared" si="45"/>
        <v>4.5</v>
      </c>
      <c r="K354" s="1">
        <v>45455</v>
      </c>
      <c r="L354" s="1">
        <f t="shared" si="46"/>
        <v>45455</v>
      </c>
      <c r="M354" t="s">
        <v>128</v>
      </c>
      <c r="N354" s="1">
        <f t="shared" si="47"/>
        <v>45457</v>
      </c>
      <c r="O354" t="s">
        <v>636</v>
      </c>
      <c r="P354" s="1">
        <f t="shared" si="48"/>
        <v>45549</v>
      </c>
      <c r="Q354" t="s">
        <v>1706</v>
      </c>
      <c r="R354">
        <v>68</v>
      </c>
      <c r="S354">
        <v>74</v>
      </c>
      <c r="T354" t="s">
        <v>26</v>
      </c>
      <c r="U354" s="8">
        <v>306</v>
      </c>
      <c r="V354" s="8">
        <f t="shared" si="49"/>
        <v>67.5</v>
      </c>
      <c r="W354" t="str">
        <f t="shared" si="50"/>
        <v>Reorder Required</v>
      </c>
      <c r="X354" s="9">
        <f t="shared" si="51"/>
        <v>45444</v>
      </c>
      <c r="Y354">
        <f t="shared" si="52"/>
        <v>94</v>
      </c>
      <c r="Z354" t="str">
        <f t="shared" si="53"/>
        <v>Medium Risk</v>
      </c>
    </row>
    <row r="355" spans="1:26" x14ac:dyDescent="0.4">
      <c r="A355" t="s">
        <v>1707</v>
      </c>
      <c r="B355" t="s">
        <v>498</v>
      </c>
      <c r="C355" t="s">
        <v>54</v>
      </c>
      <c r="D355" t="s">
        <v>1708</v>
      </c>
      <c r="E355" t="s">
        <v>1709</v>
      </c>
      <c r="F355">
        <v>75</v>
      </c>
      <c r="G355">
        <v>85</v>
      </c>
      <c r="H355">
        <v>27</v>
      </c>
      <c r="I355" t="s">
        <v>21</v>
      </c>
      <c r="J355" s="7">
        <f t="shared" si="45"/>
        <v>4.5</v>
      </c>
      <c r="K355" t="s">
        <v>200</v>
      </c>
      <c r="L355" s="1">
        <f t="shared" si="46"/>
        <v>45442</v>
      </c>
      <c r="M355" s="1">
        <v>45541</v>
      </c>
      <c r="N355" s="1">
        <f t="shared" si="47"/>
        <v>45541</v>
      </c>
      <c r="O355" t="s">
        <v>213</v>
      </c>
      <c r="P355" s="1">
        <f t="shared" si="48"/>
        <v>45467</v>
      </c>
      <c r="Q355" t="s">
        <v>1710</v>
      </c>
      <c r="R355">
        <v>26</v>
      </c>
      <c r="S355">
        <v>68</v>
      </c>
      <c r="T355" t="s">
        <v>26</v>
      </c>
      <c r="U355" s="8">
        <v>117</v>
      </c>
      <c r="V355" s="8">
        <f t="shared" si="49"/>
        <v>337.5</v>
      </c>
      <c r="W355" t="str">
        <f t="shared" si="50"/>
        <v>Reorder Required</v>
      </c>
      <c r="X355" s="9">
        <f t="shared" si="51"/>
        <v>45413</v>
      </c>
      <c r="Y355">
        <f t="shared" si="52"/>
        <v>25</v>
      </c>
      <c r="Z355" t="str">
        <f t="shared" si="53"/>
        <v>Critical</v>
      </c>
    </row>
    <row r="356" spans="1:26" x14ac:dyDescent="0.4">
      <c r="A356" t="s">
        <v>1711</v>
      </c>
      <c r="B356" t="s">
        <v>1712</v>
      </c>
      <c r="C356" t="s">
        <v>112</v>
      </c>
      <c r="D356" t="s">
        <v>1713</v>
      </c>
      <c r="E356" t="s">
        <v>1714</v>
      </c>
      <c r="F356">
        <v>80</v>
      </c>
      <c r="G356">
        <v>61</v>
      </c>
      <c r="H356">
        <v>23</v>
      </c>
      <c r="I356" t="s">
        <v>1386</v>
      </c>
      <c r="J356" s="7">
        <f t="shared" si="45"/>
        <v>5.5</v>
      </c>
      <c r="K356" t="s">
        <v>854</v>
      </c>
      <c r="L356" s="1">
        <f t="shared" si="46"/>
        <v>45500</v>
      </c>
      <c r="M356" t="s">
        <v>609</v>
      </c>
      <c r="N356" s="1">
        <f t="shared" si="47"/>
        <v>45504</v>
      </c>
      <c r="O356" s="1">
        <v>45385</v>
      </c>
      <c r="P356" s="1">
        <f t="shared" si="48"/>
        <v>45385</v>
      </c>
      <c r="Q356" t="s">
        <v>1715</v>
      </c>
      <c r="R356">
        <v>63</v>
      </c>
      <c r="S356">
        <v>75</v>
      </c>
      <c r="T356" t="s">
        <v>42</v>
      </c>
      <c r="U356" s="8">
        <v>346.5</v>
      </c>
      <c r="V356" s="8">
        <f t="shared" si="49"/>
        <v>440</v>
      </c>
      <c r="W356" t="str">
        <f t="shared" si="50"/>
        <v>Sufficient Stock</v>
      </c>
      <c r="X356" s="9">
        <f t="shared" si="51"/>
        <v>45474</v>
      </c>
      <c r="Y356">
        <f t="shared" si="52"/>
        <v>-115</v>
      </c>
      <c r="Z356" t="str">
        <f t="shared" si="53"/>
        <v>Invalid Data</v>
      </c>
    </row>
    <row r="357" spans="1:26" x14ac:dyDescent="0.4">
      <c r="A357" t="s">
        <v>1716</v>
      </c>
      <c r="B357" t="s">
        <v>375</v>
      </c>
      <c r="C357" t="s">
        <v>54</v>
      </c>
      <c r="D357" t="s">
        <v>1717</v>
      </c>
      <c r="E357" t="s">
        <v>1718</v>
      </c>
      <c r="F357">
        <v>84</v>
      </c>
      <c r="G357">
        <v>95</v>
      </c>
      <c r="H357">
        <v>22</v>
      </c>
      <c r="I357" t="s">
        <v>1719</v>
      </c>
      <c r="J357" s="7">
        <f t="shared" si="45"/>
        <v>2.85</v>
      </c>
      <c r="K357" t="s">
        <v>73</v>
      </c>
      <c r="L357" s="1">
        <f t="shared" si="46"/>
        <v>45463</v>
      </c>
      <c r="M357" t="s">
        <v>1720</v>
      </c>
      <c r="N357" s="1">
        <f t="shared" si="47"/>
        <v>45426</v>
      </c>
      <c r="O357" s="1">
        <v>45483</v>
      </c>
      <c r="P357" s="1">
        <f t="shared" si="48"/>
        <v>45483</v>
      </c>
      <c r="Q357" t="s">
        <v>1721</v>
      </c>
      <c r="R357">
        <v>48</v>
      </c>
      <c r="S357">
        <v>82</v>
      </c>
      <c r="T357" t="s">
        <v>26</v>
      </c>
      <c r="U357" s="8">
        <v>136.80000000000001</v>
      </c>
      <c r="V357" s="8">
        <f t="shared" si="49"/>
        <v>239.4</v>
      </c>
      <c r="W357" t="str">
        <f t="shared" si="50"/>
        <v>Reorder Required</v>
      </c>
      <c r="X357" s="9">
        <f t="shared" si="51"/>
        <v>45444</v>
      </c>
      <c r="Y357">
        <f t="shared" si="52"/>
        <v>20</v>
      </c>
      <c r="Z357" t="str">
        <f t="shared" si="53"/>
        <v>Critical</v>
      </c>
    </row>
    <row r="358" spans="1:26" x14ac:dyDescent="0.4">
      <c r="A358" t="s">
        <v>1722</v>
      </c>
      <c r="B358" t="s">
        <v>482</v>
      </c>
      <c r="C358" t="s">
        <v>54</v>
      </c>
      <c r="D358" t="s">
        <v>1723</v>
      </c>
      <c r="E358" t="s">
        <v>1724</v>
      </c>
      <c r="F358">
        <v>17</v>
      </c>
      <c r="G358">
        <v>3</v>
      </c>
      <c r="H358">
        <v>33</v>
      </c>
      <c r="I358" t="s">
        <v>85</v>
      </c>
      <c r="J358" s="7">
        <f t="shared" si="45"/>
        <v>3</v>
      </c>
      <c r="K358" t="s">
        <v>549</v>
      </c>
      <c r="L358" s="1">
        <f t="shared" si="46"/>
        <v>45372</v>
      </c>
      <c r="M358" t="s">
        <v>636</v>
      </c>
      <c r="N358" s="1">
        <f t="shared" si="47"/>
        <v>45549</v>
      </c>
      <c r="O358" t="s">
        <v>157</v>
      </c>
      <c r="P358" s="1">
        <f t="shared" si="48"/>
        <v>45443</v>
      </c>
      <c r="Q358" t="s">
        <v>1725</v>
      </c>
      <c r="R358">
        <v>49</v>
      </c>
      <c r="S358">
        <v>17</v>
      </c>
      <c r="T358" t="s">
        <v>42</v>
      </c>
      <c r="U358" s="8">
        <v>147</v>
      </c>
      <c r="V358" s="8">
        <f t="shared" si="49"/>
        <v>51</v>
      </c>
      <c r="W358" t="str">
        <f t="shared" si="50"/>
        <v>Sufficient Stock</v>
      </c>
      <c r="X358" s="9">
        <f t="shared" si="51"/>
        <v>45352</v>
      </c>
      <c r="Y358">
        <f t="shared" si="52"/>
        <v>71</v>
      </c>
      <c r="Z358" t="str">
        <f t="shared" si="53"/>
        <v>High Risk</v>
      </c>
    </row>
    <row r="359" spans="1:26" x14ac:dyDescent="0.4">
      <c r="A359" t="s">
        <v>1726</v>
      </c>
      <c r="B359" t="s">
        <v>1455</v>
      </c>
      <c r="C359" t="s">
        <v>77</v>
      </c>
      <c r="D359" t="s">
        <v>1727</v>
      </c>
      <c r="E359" t="s">
        <v>1649</v>
      </c>
      <c r="F359">
        <v>64</v>
      </c>
      <c r="G359">
        <v>31</v>
      </c>
      <c r="H359">
        <v>91</v>
      </c>
      <c r="I359" t="s">
        <v>1728</v>
      </c>
      <c r="J359" s="7">
        <f t="shared" si="45"/>
        <v>1.9</v>
      </c>
      <c r="K359" t="s">
        <v>792</v>
      </c>
      <c r="L359" s="1">
        <f t="shared" si="46"/>
        <v>45462</v>
      </c>
      <c r="M359" s="1">
        <v>45390</v>
      </c>
      <c r="N359" s="1">
        <f t="shared" si="47"/>
        <v>45390</v>
      </c>
      <c r="O359" s="1">
        <v>45575</v>
      </c>
      <c r="P359" s="1">
        <f t="shared" si="48"/>
        <v>45575</v>
      </c>
      <c r="Q359" t="s">
        <v>1729</v>
      </c>
      <c r="R359">
        <v>85</v>
      </c>
      <c r="S359">
        <v>42</v>
      </c>
      <c r="T359" t="s">
        <v>26</v>
      </c>
      <c r="U359" s="8">
        <v>161.5</v>
      </c>
      <c r="V359" s="8">
        <f t="shared" si="49"/>
        <v>121.6</v>
      </c>
      <c r="W359" t="str">
        <f t="shared" si="50"/>
        <v>Sufficient Stock</v>
      </c>
      <c r="X359" s="9">
        <f t="shared" si="51"/>
        <v>45444</v>
      </c>
      <c r="Y359">
        <f t="shared" si="52"/>
        <v>113</v>
      </c>
      <c r="Z359" t="str">
        <f t="shared" si="53"/>
        <v>Medium Risk</v>
      </c>
    </row>
    <row r="360" spans="1:26" x14ac:dyDescent="0.4">
      <c r="A360" t="s">
        <v>1730</v>
      </c>
      <c r="B360" t="s">
        <v>663</v>
      </c>
      <c r="C360" t="s">
        <v>77</v>
      </c>
      <c r="D360" t="s">
        <v>1731</v>
      </c>
      <c r="E360" t="s">
        <v>1732</v>
      </c>
      <c r="F360">
        <v>76</v>
      </c>
      <c r="G360">
        <v>81</v>
      </c>
      <c r="H360">
        <v>85</v>
      </c>
      <c r="I360" t="s">
        <v>57</v>
      </c>
      <c r="J360" s="7">
        <f t="shared" si="45"/>
        <v>4</v>
      </c>
      <c r="K360" s="1">
        <v>45385</v>
      </c>
      <c r="L360" s="1">
        <f t="shared" si="46"/>
        <v>45385</v>
      </c>
      <c r="M360" s="1">
        <v>45577</v>
      </c>
      <c r="N360" s="1">
        <f t="shared" si="47"/>
        <v>45577</v>
      </c>
      <c r="O360" s="1">
        <v>45513</v>
      </c>
      <c r="P360" s="1">
        <f t="shared" si="48"/>
        <v>45513</v>
      </c>
      <c r="Q360" t="s">
        <v>1733</v>
      </c>
      <c r="R360">
        <v>65</v>
      </c>
      <c r="S360">
        <v>68</v>
      </c>
      <c r="T360" t="s">
        <v>51</v>
      </c>
      <c r="U360" s="8">
        <v>260</v>
      </c>
      <c r="V360" s="8">
        <f t="shared" si="49"/>
        <v>304</v>
      </c>
      <c r="W360" t="str">
        <f t="shared" si="50"/>
        <v>Reorder Required</v>
      </c>
      <c r="X360" s="9">
        <f t="shared" si="51"/>
        <v>45383</v>
      </c>
      <c r="Y360">
        <f t="shared" si="52"/>
        <v>128</v>
      </c>
      <c r="Z360" t="str">
        <f t="shared" si="53"/>
        <v>Medium Risk</v>
      </c>
    </row>
    <row r="361" spans="1:26" x14ac:dyDescent="0.4">
      <c r="A361" t="s">
        <v>1734</v>
      </c>
      <c r="B361" t="s">
        <v>943</v>
      </c>
      <c r="C361" t="s">
        <v>68</v>
      </c>
      <c r="D361" t="s">
        <v>1735</v>
      </c>
      <c r="E361" t="s">
        <v>1736</v>
      </c>
      <c r="F361">
        <v>77</v>
      </c>
      <c r="G361">
        <v>95</v>
      </c>
      <c r="H361">
        <v>82</v>
      </c>
      <c r="I361" t="s">
        <v>945</v>
      </c>
      <c r="J361" s="7">
        <f t="shared" si="45"/>
        <v>6.5</v>
      </c>
      <c r="K361" t="s">
        <v>49</v>
      </c>
      <c r="L361" s="1">
        <f t="shared" si="46"/>
        <v>45399</v>
      </c>
      <c r="M361" t="s">
        <v>107</v>
      </c>
      <c r="N361" s="1">
        <f t="shared" si="47"/>
        <v>45584</v>
      </c>
      <c r="O361" t="s">
        <v>116</v>
      </c>
      <c r="P361" s="1">
        <f t="shared" si="48"/>
        <v>45491</v>
      </c>
      <c r="Q361" t="s">
        <v>1737</v>
      </c>
      <c r="R361">
        <v>29</v>
      </c>
      <c r="S361">
        <v>46</v>
      </c>
      <c r="T361" t="s">
        <v>42</v>
      </c>
      <c r="U361" s="8">
        <v>188.5</v>
      </c>
      <c r="V361" s="8">
        <f t="shared" si="49"/>
        <v>500.5</v>
      </c>
      <c r="W361" t="str">
        <f t="shared" si="50"/>
        <v>Reorder Required</v>
      </c>
      <c r="X361" s="9">
        <f t="shared" si="51"/>
        <v>45383</v>
      </c>
      <c r="Y361">
        <f t="shared" si="52"/>
        <v>92</v>
      </c>
      <c r="Z361" t="str">
        <f t="shared" si="53"/>
        <v>Medium Risk</v>
      </c>
    </row>
    <row r="362" spans="1:26" x14ac:dyDescent="0.4">
      <c r="A362" t="s">
        <v>1738</v>
      </c>
      <c r="B362" t="s">
        <v>545</v>
      </c>
      <c r="C362" t="s">
        <v>77</v>
      </c>
      <c r="D362" t="s">
        <v>1739</v>
      </c>
      <c r="E362" t="s">
        <v>801</v>
      </c>
      <c r="F362">
        <v>18</v>
      </c>
      <c r="G362">
        <v>14</v>
      </c>
      <c r="H362">
        <v>77</v>
      </c>
      <c r="I362" t="s">
        <v>71</v>
      </c>
      <c r="J362" s="7">
        <f t="shared" si="45"/>
        <v>2.5</v>
      </c>
      <c r="K362" s="1">
        <v>45778</v>
      </c>
      <c r="L362" s="1">
        <f t="shared" si="46"/>
        <v>45778</v>
      </c>
      <c r="M362" s="1">
        <v>45631</v>
      </c>
      <c r="N362" s="1">
        <f t="shared" si="47"/>
        <v>45631</v>
      </c>
      <c r="O362" t="s">
        <v>916</v>
      </c>
      <c r="P362" s="1">
        <f t="shared" si="48"/>
        <v>45437</v>
      </c>
      <c r="Q362" t="s">
        <v>1740</v>
      </c>
      <c r="R362">
        <v>78</v>
      </c>
      <c r="S362">
        <v>4</v>
      </c>
      <c r="T362" t="s">
        <v>42</v>
      </c>
      <c r="U362" s="8">
        <v>195</v>
      </c>
      <c r="V362" s="8">
        <f t="shared" si="49"/>
        <v>45</v>
      </c>
      <c r="W362" t="str">
        <f t="shared" si="50"/>
        <v>Sufficient Stock</v>
      </c>
      <c r="X362" s="9">
        <f t="shared" si="51"/>
        <v>45778</v>
      </c>
      <c r="Y362">
        <f t="shared" si="52"/>
        <v>-341</v>
      </c>
      <c r="Z362" t="str">
        <f t="shared" si="53"/>
        <v>Invalid Data</v>
      </c>
    </row>
    <row r="363" spans="1:26" x14ac:dyDescent="0.4">
      <c r="A363" t="s">
        <v>1741</v>
      </c>
      <c r="B363" t="s">
        <v>1534</v>
      </c>
      <c r="C363" t="s">
        <v>18</v>
      </c>
      <c r="D363" t="s">
        <v>1742</v>
      </c>
      <c r="E363" t="s">
        <v>1743</v>
      </c>
      <c r="F363">
        <v>51</v>
      </c>
      <c r="G363">
        <v>55</v>
      </c>
      <c r="H363">
        <v>76</v>
      </c>
      <c r="I363" t="s">
        <v>220</v>
      </c>
      <c r="J363" s="7">
        <f t="shared" si="45"/>
        <v>5</v>
      </c>
      <c r="K363" t="s">
        <v>48</v>
      </c>
      <c r="L363" s="1">
        <f t="shared" si="46"/>
        <v>45707</v>
      </c>
      <c r="M363" t="s">
        <v>428</v>
      </c>
      <c r="N363" s="1">
        <f t="shared" si="47"/>
        <v>45561</v>
      </c>
      <c r="O363" t="s">
        <v>336</v>
      </c>
      <c r="P363" s="1">
        <f t="shared" si="48"/>
        <v>45681</v>
      </c>
      <c r="Q363" t="s">
        <v>1744</v>
      </c>
      <c r="R363">
        <v>21</v>
      </c>
      <c r="S363">
        <v>13</v>
      </c>
      <c r="T363" t="s">
        <v>26</v>
      </c>
      <c r="U363" s="8">
        <v>105</v>
      </c>
      <c r="V363" s="8">
        <f t="shared" si="49"/>
        <v>255</v>
      </c>
      <c r="W363" t="str">
        <f t="shared" si="50"/>
        <v>Reorder Required</v>
      </c>
      <c r="X363" s="9">
        <f t="shared" si="51"/>
        <v>45689</v>
      </c>
      <c r="Y363">
        <f t="shared" si="52"/>
        <v>-26</v>
      </c>
      <c r="Z363" t="str">
        <f t="shared" si="53"/>
        <v>Invalid Data</v>
      </c>
    </row>
    <row r="364" spans="1:26" x14ac:dyDescent="0.4">
      <c r="A364" t="s">
        <v>1745</v>
      </c>
      <c r="B364" t="s">
        <v>962</v>
      </c>
      <c r="C364" t="s">
        <v>54</v>
      </c>
      <c r="D364" t="s">
        <v>1746</v>
      </c>
      <c r="E364" t="s">
        <v>1747</v>
      </c>
      <c r="F364">
        <v>68</v>
      </c>
      <c r="G364">
        <v>12</v>
      </c>
      <c r="H364">
        <v>73</v>
      </c>
      <c r="I364" t="s">
        <v>220</v>
      </c>
      <c r="J364" s="7">
        <f t="shared" si="45"/>
        <v>5</v>
      </c>
      <c r="K364" s="1">
        <v>45420</v>
      </c>
      <c r="L364" s="1">
        <f t="shared" si="46"/>
        <v>45420</v>
      </c>
      <c r="M364" s="1">
        <v>45962</v>
      </c>
      <c r="N364" s="1">
        <f t="shared" si="47"/>
        <v>45962</v>
      </c>
      <c r="O364" s="1">
        <v>45389</v>
      </c>
      <c r="P364" s="1">
        <f t="shared" si="48"/>
        <v>45389</v>
      </c>
      <c r="Q364" t="s">
        <v>1748</v>
      </c>
      <c r="R364">
        <v>84</v>
      </c>
      <c r="S364">
        <v>95</v>
      </c>
      <c r="T364" t="s">
        <v>42</v>
      </c>
      <c r="U364" s="8">
        <v>420</v>
      </c>
      <c r="V364" s="8">
        <f t="shared" si="49"/>
        <v>340</v>
      </c>
      <c r="W364" t="str">
        <f t="shared" si="50"/>
        <v>Sufficient Stock</v>
      </c>
      <c r="X364" s="9">
        <f t="shared" si="51"/>
        <v>45413</v>
      </c>
      <c r="Y364">
        <f t="shared" si="52"/>
        <v>-31</v>
      </c>
      <c r="Z364" t="str">
        <f t="shared" si="53"/>
        <v>Invalid Data</v>
      </c>
    </row>
    <row r="365" spans="1:26" x14ac:dyDescent="0.4">
      <c r="A365" t="s">
        <v>1749</v>
      </c>
      <c r="B365" t="s">
        <v>1750</v>
      </c>
      <c r="C365" t="s">
        <v>18</v>
      </c>
      <c r="D365" t="s">
        <v>1751</v>
      </c>
      <c r="E365" t="s">
        <v>706</v>
      </c>
      <c r="F365">
        <v>46</v>
      </c>
      <c r="G365">
        <v>6</v>
      </c>
      <c r="H365">
        <v>64</v>
      </c>
      <c r="I365" t="s">
        <v>591</v>
      </c>
      <c r="J365" s="7">
        <f t="shared" si="45"/>
        <v>10</v>
      </c>
      <c r="K365" t="s">
        <v>274</v>
      </c>
      <c r="L365" s="1">
        <f t="shared" si="46"/>
        <v>45496</v>
      </c>
      <c r="M365" t="s">
        <v>260</v>
      </c>
      <c r="N365" s="1">
        <f t="shared" si="47"/>
        <v>45466</v>
      </c>
      <c r="O365" t="s">
        <v>293</v>
      </c>
      <c r="P365" s="1">
        <f t="shared" si="48"/>
        <v>45648</v>
      </c>
      <c r="Q365" t="s">
        <v>1752</v>
      </c>
      <c r="R365">
        <v>63</v>
      </c>
      <c r="S365">
        <v>29</v>
      </c>
      <c r="T365" t="s">
        <v>26</v>
      </c>
      <c r="U365" s="8">
        <v>630</v>
      </c>
      <c r="V365" s="8">
        <f t="shared" si="49"/>
        <v>460</v>
      </c>
      <c r="W365" t="str">
        <f t="shared" si="50"/>
        <v>Sufficient Stock</v>
      </c>
      <c r="X365" s="9">
        <f t="shared" si="51"/>
        <v>45474</v>
      </c>
      <c r="Y365">
        <f t="shared" si="52"/>
        <v>152</v>
      </c>
      <c r="Z365" t="str">
        <f t="shared" si="53"/>
        <v>Medium Risk</v>
      </c>
    </row>
    <row r="366" spans="1:26" x14ac:dyDescent="0.4">
      <c r="A366" t="s">
        <v>1753</v>
      </c>
      <c r="B366" t="s">
        <v>44</v>
      </c>
      <c r="C366" t="s">
        <v>18</v>
      </c>
      <c r="D366" t="s">
        <v>1754</v>
      </c>
      <c r="E366" t="s">
        <v>977</v>
      </c>
      <c r="F366">
        <v>98</v>
      </c>
      <c r="G366">
        <v>40</v>
      </c>
      <c r="H366">
        <v>93</v>
      </c>
      <c r="I366" t="s">
        <v>47</v>
      </c>
      <c r="J366" s="7">
        <f t="shared" si="45"/>
        <v>1.5</v>
      </c>
      <c r="K366" t="s">
        <v>48</v>
      </c>
      <c r="L366" s="1">
        <f t="shared" si="46"/>
        <v>45707</v>
      </c>
      <c r="M366" s="1">
        <v>45963</v>
      </c>
      <c r="N366" s="1">
        <f t="shared" si="47"/>
        <v>45963</v>
      </c>
      <c r="O366" t="s">
        <v>1035</v>
      </c>
      <c r="P366" s="1">
        <f t="shared" si="48"/>
        <v>45585</v>
      </c>
      <c r="Q366" t="s">
        <v>1755</v>
      </c>
      <c r="R366">
        <v>30</v>
      </c>
      <c r="S366">
        <v>53</v>
      </c>
      <c r="T366" t="s">
        <v>51</v>
      </c>
      <c r="U366" s="8">
        <v>45</v>
      </c>
      <c r="V366" s="8">
        <f t="shared" si="49"/>
        <v>147</v>
      </c>
      <c r="W366" t="str">
        <f t="shared" si="50"/>
        <v>Sufficient Stock</v>
      </c>
      <c r="X366" s="9">
        <f t="shared" si="51"/>
        <v>45689</v>
      </c>
      <c r="Y366">
        <f t="shared" si="52"/>
        <v>-122</v>
      </c>
      <c r="Z366" t="str">
        <f t="shared" si="53"/>
        <v>Invalid Data</v>
      </c>
    </row>
    <row r="367" spans="1:26" x14ac:dyDescent="0.4">
      <c r="A367" t="s">
        <v>1756</v>
      </c>
      <c r="B367" t="s">
        <v>271</v>
      </c>
      <c r="C367" t="s">
        <v>54</v>
      </c>
      <c r="D367" t="s">
        <v>1757</v>
      </c>
      <c r="E367" t="s">
        <v>1758</v>
      </c>
      <c r="F367">
        <v>50</v>
      </c>
      <c r="G367">
        <v>20</v>
      </c>
      <c r="H367">
        <v>74</v>
      </c>
      <c r="I367" t="s">
        <v>106</v>
      </c>
      <c r="J367" s="7">
        <f t="shared" si="45"/>
        <v>2</v>
      </c>
      <c r="K367" t="s">
        <v>827</v>
      </c>
      <c r="L367" s="1">
        <f t="shared" si="46"/>
        <v>45701</v>
      </c>
      <c r="M367" s="1">
        <v>45359</v>
      </c>
      <c r="N367" s="1">
        <f t="shared" si="47"/>
        <v>45359</v>
      </c>
      <c r="O367" s="1">
        <v>45422</v>
      </c>
      <c r="P367" s="1">
        <f t="shared" si="48"/>
        <v>45422</v>
      </c>
      <c r="Q367" t="s">
        <v>1759</v>
      </c>
      <c r="R367">
        <v>30</v>
      </c>
      <c r="S367">
        <v>57</v>
      </c>
      <c r="T367" t="s">
        <v>42</v>
      </c>
      <c r="U367" s="8">
        <v>60</v>
      </c>
      <c r="V367" s="8">
        <f t="shared" si="49"/>
        <v>100</v>
      </c>
      <c r="W367" t="str">
        <f t="shared" si="50"/>
        <v>Sufficient Stock</v>
      </c>
      <c r="X367" s="9">
        <f t="shared" si="51"/>
        <v>45689</v>
      </c>
      <c r="Y367">
        <f t="shared" si="52"/>
        <v>-279</v>
      </c>
      <c r="Z367" t="str">
        <f t="shared" si="53"/>
        <v>Invalid Data</v>
      </c>
    </row>
    <row r="368" spans="1:26" x14ac:dyDescent="0.4">
      <c r="A368" t="s">
        <v>1760</v>
      </c>
      <c r="B368" t="s">
        <v>1761</v>
      </c>
      <c r="C368" t="s">
        <v>169</v>
      </c>
      <c r="D368" t="s">
        <v>1762</v>
      </c>
      <c r="E368" t="s">
        <v>1520</v>
      </c>
      <c r="F368">
        <v>88</v>
      </c>
      <c r="G368">
        <v>83</v>
      </c>
      <c r="H368">
        <v>42</v>
      </c>
      <c r="I368" t="s">
        <v>320</v>
      </c>
      <c r="J368" s="7">
        <f t="shared" si="45"/>
        <v>15</v>
      </c>
      <c r="K368" t="s">
        <v>33</v>
      </c>
      <c r="L368" s="1">
        <f t="shared" si="46"/>
        <v>45441</v>
      </c>
      <c r="M368" s="1">
        <v>45544</v>
      </c>
      <c r="N368" s="1">
        <f t="shared" si="47"/>
        <v>45544</v>
      </c>
      <c r="O368" t="s">
        <v>455</v>
      </c>
      <c r="P368" s="1">
        <f t="shared" si="48"/>
        <v>45590</v>
      </c>
      <c r="Q368" t="s">
        <v>1763</v>
      </c>
      <c r="R368">
        <v>61</v>
      </c>
      <c r="S368">
        <v>59</v>
      </c>
      <c r="T368" t="s">
        <v>26</v>
      </c>
      <c r="U368" s="8">
        <v>915</v>
      </c>
      <c r="V368" s="8">
        <f t="shared" si="49"/>
        <v>1320</v>
      </c>
      <c r="W368" t="str">
        <f t="shared" si="50"/>
        <v>Sufficient Stock</v>
      </c>
      <c r="X368" s="9">
        <f t="shared" si="51"/>
        <v>45413</v>
      </c>
      <c r="Y368">
        <f t="shared" si="52"/>
        <v>149</v>
      </c>
      <c r="Z368" t="str">
        <f t="shared" si="53"/>
        <v>Medium Risk</v>
      </c>
    </row>
    <row r="369" spans="1:26" x14ac:dyDescent="0.4">
      <c r="A369" t="s">
        <v>1764</v>
      </c>
      <c r="B369" t="s">
        <v>521</v>
      </c>
      <c r="C369" t="s">
        <v>54</v>
      </c>
      <c r="D369" t="s">
        <v>1765</v>
      </c>
      <c r="E369" t="s">
        <v>1758</v>
      </c>
      <c r="F369">
        <v>26</v>
      </c>
      <c r="G369">
        <v>16</v>
      </c>
      <c r="H369">
        <v>69</v>
      </c>
      <c r="I369" t="s">
        <v>523</v>
      </c>
      <c r="J369" s="7">
        <f t="shared" si="45"/>
        <v>1.2</v>
      </c>
      <c r="K369" t="s">
        <v>127</v>
      </c>
      <c r="L369" s="1">
        <f t="shared" si="46"/>
        <v>45473</v>
      </c>
      <c r="M369" t="s">
        <v>360</v>
      </c>
      <c r="N369" s="1">
        <f t="shared" si="47"/>
        <v>45377</v>
      </c>
      <c r="O369" t="s">
        <v>259</v>
      </c>
      <c r="P369" s="1">
        <f t="shared" si="48"/>
        <v>45523</v>
      </c>
      <c r="Q369" t="s">
        <v>1766</v>
      </c>
      <c r="R369">
        <v>64</v>
      </c>
      <c r="S369">
        <v>79</v>
      </c>
      <c r="T369" t="s">
        <v>26</v>
      </c>
      <c r="U369" s="8">
        <v>76.8</v>
      </c>
      <c r="V369" s="8">
        <f t="shared" si="49"/>
        <v>31.2</v>
      </c>
      <c r="W369" t="str">
        <f t="shared" si="50"/>
        <v>Sufficient Stock</v>
      </c>
      <c r="X369" s="9">
        <f t="shared" si="51"/>
        <v>45444</v>
      </c>
      <c r="Y369">
        <f t="shared" si="52"/>
        <v>50</v>
      </c>
      <c r="Z369" t="str">
        <f t="shared" si="53"/>
        <v>High Risk</v>
      </c>
    </row>
    <row r="370" spans="1:26" x14ac:dyDescent="0.4">
      <c r="A370" t="s">
        <v>1767</v>
      </c>
      <c r="B370" t="s">
        <v>391</v>
      </c>
      <c r="C370" t="s">
        <v>29</v>
      </c>
      <c r="D370" t="s">
        <v>1768</v>
      </c>
      <c r="E370" t="s">
        <v>1589</v>
      </c>
      <c r="F370">
        <v>43</v>
      </c>
      <c r="G370">
        <v>38</v>
      </c>
      <c r="H370">
        <v>63</v>
      </c>
      <c r="I370" t="s">
        <v>172</v>
      </c>
      <c r="J370" s="7">
        <f t="shared" si="45"/>
        <v>12</v>
      </c>
      <c r="K370" t="s">
        <v>1125</v>
      </c>
      <c r="L370" s="1">
        <f t="shared" si="46"/>
        <v>45382</v>
      </c>
      <c r="M370" s="1">
        <v>45690</v>
      </c>
      <c r="N370" s="1">
        <f t="shared" si="47"/>
        <v>45690</v>
      </c>
      <c r="O370" s="1">
        <v>45539</v>
      </c>
      <c r="P370" s="1">
        <f t="shared" si="48"/>
        <v>45539</v>
      </c>
      <c r="Q370" t="s">
        <v>1769</v>
      </c>
      <c r="R370">
        <v>88</v>
      </c>
      <c r="S370">
        <v>65</v>
      </c>
      <c r="T370" t="s">
        <v>42</v>
      </c>
      <c r="U370" s="8">
        <v>1056</v>
      </c>
      <c r="V370" s="8">
        <f t="shared" si="49"/>
        <v>516</v>
      </c>
      <c r="W370" t="str">
        <f t="shared" si="50"/>
        <v>Sufficient Stock</v>
      </c>
      <c r="X370" s="9">
        <f t="shared" si="51"/>
        <v>45352</v>
      </c>
      <c r="Y370">
        <f t="shared" si="52"/>
        <v>157</v>
      </c>
      <c r="Z370" t="str">
        <f t="shared" si="53"/>
        <v>Medium Risk</v>
      </c>
    </row>
    <row r="371" spans="1:26" x14ac:dyDescent="0.4">
      <c r="A371" t="s">
        <v>1770</v>
      </c>
      <c r="B371" t="s">
        <v>885</v>
      </c>
      <c r="C371" t="s">
        <v>18</v>
      </c>
      <c r="D371" t="s">
        <v>1771</v>
      </c>
      <c r="E371" t="s">
        <v>706</v>
      </c>
      <c r="F371">
        <v>46</v>
      </c>
      <c r="G371">
        <v>20</v>
      </c>
      <c r="H371">
        <v>30</v>
      </c>
      <c r="I371" t="s">
        <v>71</v>
      </c>
      <c r="J371" s="7">
        <f t="shared" si="45"/>
        <v>2.5</v>
      </c>
      <c r="K371" s="1">
        <v>45446</v>
      </c>
      <c r="L371" s="1">
        <f t="shared" si="46"/>
        <v>45446</v>
      </c>
      <c r="M371" t="s">
        <v>462</v>
      </c>
      <c r="N371" s="1">
        <f t="shared" si="47"/>
        <v>45351</v>
      </c>
      <c r="O371" t="s">
        <v>556</v>
      </c>
      <c r="P371" s="1">
        <f t="shared" si="48"/>
        <v>45548</v>
      </c>
      <c r="Q371" t="s">
        <v>1772</v>
      </c>
      <c r="R371">
        <v>54</v>
      </c>
      <c r="S371">
        <v>24</v>
      </c>
      <c r="T371" t="s">
        <v>42</v>
      </c>
      <c r="U371" s="8">
        <v>135</v>
      </c>
      <c r="V371" s="8">
        <f t="shared" si="49"/>
        <v>115</v>
      </c>
      <c r="W371" t="str">
        <f t="shared" si="50"/>
        <v>Sufficient Stock</v>
      </c>
      <c r="X371" s="9">
        <f t="shared" si="51"/>
        <v>45444</v>
      </c>
      <c r="Y371">
        <f t="shared" si="52"/>
        <v>102</v>
      </c>
      <c r="Z371" t="str">
        <f t="shared" si="53"/>
        <v>Medium Risk</v>
      </c>
    </row>
    <row r="372" spans="1:26" x14ac:dyDescent="0.4">
      <c r="A372" t="s">
        <v>1773</v>
      </c>
      <c r="B372" t="s">
        <v>779</v>
      </c>
      <c r="C372" t="s">
        <v>54</v>
      </c>
      <c r="D372" t="s">
        <v>1774</v>
      </c>
      <c r="E372" t="s">
        <v>977</v>
      </c>
      <c r="F372">
        <v>19</v>
      </c>
      <c r="G372">
        <v>73</v>
      </c>
      <c r="H372">
        <v>60</v>
      </c>
      <c r="I372" t="s">
        <v>1593</v>
      </c>
      <c r="J372" s="7">
        <f t="shared" si="45"/>
        <v>2.4500000000000002</v>
      </c>
      <c r="K372" s="1">
        <v>45629</v>
      </c>
      <c r="L372" s="1">
        <f t="shared" si="46"/>
        <v>45629</v>
      </c>
      <c r="M372" s="1">
        <v>45604</v>
      </c>
      <c r="N372" s="1">
        <f t="shared" si="47"/>
        <v>45604</v>
      </c>
      <c r="O372" s="1">
        <v>45632</v>
      </c>
      <c r="P372" s="1">
        <f t="shared" si="48"/>
        <v>45632</v>
      </c>
      <c r="Q372" t="s">
        <v>1775</v>
      </c>
      <c r="R372">
        <v>70</v>
      </c>
      <c r="S372">
        <v>48</v>
      </c>
      <c r="T372" t="s">
        <v>42</v>
      </c>
      <c r="U372" s="8">
        <v>171.5</v>
      </c>
      <c r="V372" s="8">
        <f t="shared" si="49"/>
        <v>46.550000000000004</v>
      </c>
      <c r="W372" t="str">
        <f t="shared" si="50"/>
        <v>Reorder Required</v>
      </c>
      <c r="X372" s="9">
        <f t="shared" si="51"/>
        <v>45627</v>
      </c>
      <c r="Y372">
        <f t="shared" si="52"/>
        <v>3</v>
      </c>
      <c r="Z372" t="str">
        <f t="shared" si="53"/>
        <v>Critical</v>
      </c>
    </row>
    <row r="373" spans="1:26" x14ac:dyDescent="0.4">
      <c r="A373" t="s">
        <v>1776</v>
      </c>
      <c r="B373" t="s">
        <v>1249</v>
      </c>
      <c r="C373" t="s">
        <v>54</v>
      </c>
      <c r="D373" t="s">
        <v>1777</v>
      </c>
      <c r="E373" t="s">
        <v>46</v>
      </c>
      <c r="F373">
        <v>61</v>
      </c>
      <c r="G373">
        <v>100</v>
      </c>
      <c r="H373">
        <v>94</v>
      </c>
      <c r="I373" t="s">
        <v>57</v>
      </c>
      <c r="J373" s="7">
        <f t="shared" si="45"/>
        <v>4</v>
      </c>
      <c r="K373" t="s">
        <v>1111</v>
      </c>
      <c r="L373" s="1">
        <f t="shared" si="46"/>
        <v>45493</v>
      </c>
      <c r="M373" t="s">
        <v>1217</v>
      </c>
      <c r="N373" s="1">
        <f t="shared" si="47"/>
        <v>45671</v>
      </c>
      <c r="O373" s="1">
        <v>45392</v>
      </c>
      <c r="P373" s="1">
        <f t="shared" si="48"/>
        <v>45392</v>
      </c>
      <c r="Q373" t="s">
        <v>1778</v>
      </c>
      <c r="R373">
        <v>76</v>
      </c>
      <c r="S373">
        <v>2</v>
      </c>
      <c r="T373" t="s">
        <v>42</v>
      </c>
      <c r="U373" s="8">
        <v>304</v>
      </c>
      <c r="V373" s="8">
        <f t="shared" si="49"/>
        <v>244</v>
      </c>
      <c r="W373" t="str">
        <f t="shared" si="50"/>
        <v>Reorder Required</v>
      </c>
      <c r="X373" s="9">
        <f t="shared" si="51"/>
        <v>45474</v>
      </c>
      <c r="Y373">
        <f t="shared" si="52"/>
        <v>-101</v>
      </c>
      <c r="Z373" t="str">
        <f t="shared" si="53"/>
        <v>Invalid Data</v>
      </c>
    </row>
    <row r="374" spans="1:26" x14ac:dyDescent="0.4">
      <c r="A374" t="s">
        <v>1779</v>
      </c>
      <c r="B374" t="s">
        <v>616</v>
      </c>
      <c r="C374" t="s">
        <v>54</v>
      </c>
      <c r="D374" t="s">
        <v>1780</v>
      </c>
      <c r="E374" t="s">
        <v>1781</v>
      </c>
      <c r="F374">
        <v>43</v>
      </c>
      <c r="G374">
        <v>40</v>
      </c>
      <c r="H374">
        <v>30</v>
      </c>
      <c r="I374" t="s">
        <v>134</v>
      </c>
      <c r="J374" s="7">
        <f t="shared" si="45"/>
        <v>7</v>
      </c>
      <c r="K374" t="s">
        <v>866</v>
      </c>
      <c r="L374" s="1">
        <f t="shared" si="46"/>
        <v>45486</v>
      </c>
      <c r="M374" s="1">
        <v>45332</v>
      </c>
      <c r="N374" s="1">
        <f t="shared" si="47"/>
        <v>45332</v>
      </c>
      <c r="O374" t="s">
        <v>1057</v>
      </c>
      <c r="P374" s="1">
        <f t="shared" si="48"/>
        <v>45645</v>
      </c>
      <c r="Q374" t="s">
        <v>1782</v>
      </c>
      <c r="R374">
        <v>95</v>
      </c>
      <c r="S374">
        <v>26</v>
      </c>
      <c r="T374" t="s">
        <v>51</v>
      </c>
      <c r="U374" s="8">
        <v>665</v>
      </c>
      <c r="V374" s="8">
        <f t="shared" si="49"/>
        <v>301</v>
      </c>
      <c r="W374" t="str">
        <f t="shared" si="50"/>
        <v>Sufficient Stock</v>
      </c>
      <c r="X374" s="9">
        <f t="shared" si="51"/>
        <v>45474</v>
      </c>
      <c r="Y374">
        <f t="shared" si="52"/>
        <v>159</v>
      </c>
      <c r="Z374" t="str">
        <f t="shared" si="53"/>
        <v>Medium Risk</v>
      </c>
    </row>
    <row r="375" spans="1:26" x14ac:dyDescent="0.4">
      <c r="A375" t="s">
        <v>1783</v>
      </c>
      <c r="B375" t="s">
        <v>869</v>
      </c>
      <c r="C375" t="s">
        <v>29</v>
      </c>
      <c r="D375" t="s">
        <v>1784</v>
      </c>
      <c r="E375" t="s">
        <v>352</v>
      </c>
      <c r="F375">
        <v>80</v>
      </c>
      <c r="G375">
        <v>54</v>
      </c>
      <c r="H375">
        <v>21</v>
      </c>
      <c r="I375" t="s">
        <v>1785</v>
      </c>
      <c r="J375" s="7">
        <f t="shared" si="45"/>
        <v>8.5</v>
      </c>
      <c r="K375" t="s">
        <v>301</v>
      </c>
      <c r="L375" s="1">
        <f t="shared" si="46"/>
        <v>45528</v>
      </c>
      <c r="M375" t="s">
        <v>179</v>
      </c>
      <c r="N375" s="1">
        <f t="shared" si="47"/>
        <v>45565</v>
      </c>
      <c r="O375" t="s">
        <v>1141</v>
      </c>
      <c r="P375" s="1">
        <f t="shared" si="48"/>
        <v>45398</v>
      </c>
      <c r="Q375" t="s">
        <v>1786</v>
      </c>
      <c r="R375">
        <v>81</v>
      </c>
      <c r="S375">
        <v>37</v>
      </c>
      <c r="T375" t="s">
        <v>51</v>
      </c>
      <c r="U375" s="8">
        <v>688.5</v>
      </c>
      <c r="V375" s="8">
        <f t="shared" si="49"/>
        <v>680</v>
      </c>
      <c r="W375" t="str">
        <f t="shared" si="50"/>
        <v>Sufficient Stock</v>
      </c>
      <c r="X375" s="9">
        <f t="shared" si="51"/>
        <v>45505</v>
      </c>
      <c r="Y375">
        <f t="shared" si="52"/>
        <v>-130</v>
      </c>
      <c r="Z375" t="str">
        <f t="shared" si="53"/>
        <v>Invalid Data</v>
      </c>
    </row>
    <row r="376" spans="1:26" x14ac:dyDescent="0.4">
      <c r="A376" t="s">
        <v>1787</v>
      </c>
      <c r="B376" t="s">
        <v>869</v>
      </c>
      <c r="C376" t="s">
        <v>29</v>
      </c>
      <c r="D376" t="s">
        <v>1788</v>
      </c>
      <c r="E376" t="s">
        <v>1159</v>
      </c>
      <c r="F376">
        <v>34</v>
      </c>
      <c r="G376">
        <v>47</v>
      </c>
      <c r="H376">
        <v>99</v>
      </c>
      <c r="I376" t="s">
        <v>147</v>
      </c>
      <c r="J376" s="7">
        <f t="shared" si="45"/>
        <v>8</v>
      </c>
      <c r="K376" t="s">
        <v>444</v>
      </c>
      <c r="L376" s="1">
        <f t="shared" si="46"/>
        <v>45680</v>
      </c>
      <c r="M376" s="1">
        <v>45358</v>
      </c>
      <c r="N376" s="1">
        <f t="shared" si="47"/>
        <v>45358</v>
      </c>
      <c r="O376" t="s">
        <v>1418</v>
      </c>
      <c r="P376" s="1">
        <f t="shared" si="48"/>
        <v>45619</v>
      </c>
      <c r="Q376" t="s">
        <v>1789</v>
      </c>
      <c r="R376">
        <v>97</v>
      </c>
      <c r="S376">
        <v>47</v>
      </c>
      <c r="T376" t="s">
        <v>42</v>
      </c>
      <c r="U376" s="8">
        <v>776</v>
      </c>
      <c r="V376" s="8">
        <f t="shared" si="49"/>
        <v>272</v>
      </c>
      <c r="W376" t="str">
        <f t="shared" si="50"/>
        <v>Reorder Required</v>
      </c>
      <c r="X376" s="9">
        <f t="shared" si="51"/>
        <v>45658</v>
      </c>
      <c r="Y376">
        <f t="shared" si="52"/>
        <v>-61</v>
      </c>
      <c r="Z376" t="str">
        <f t="shared" si="53"/>
        <v>Invalid Data</v>
      </c>
    </row>
    <row r="377" spans="1:26" x14ac:dyDescent="0.4">
      <c r="A377" t="s">
        <v>1790</v>
      </c>
      <c r="B377" t="s">
        <v>869</v>
      </c>
      <c r="C377" t="s">
        <v>29</v>
      </c>
      <c r="D377" t="s">
        <v>1791</v>
      </c>
      <c r="E377" t="s">
        <v>1356</v>
      </c>
      <c r="F377">
        <v>88</v>
      </c>
      <c r="G377">
        <v>50</v>
      </c>
      <c r="H377">
        <v>88</v>
      </c>
      <c r="I377" t="s">
        <v>147</v>
      </c>
      <c r="J377" s="7">
        <f t="shared" si="45"/>
        <v>8</v>
      </c>
      <c r="K377" t="s">
        <v>243</v>
      </c>
      <c r="L377" s="1">
        <f t="shared" si="46"/>
        <v>45527</v>
      </c>
      <c r="M377" t="s">
        <v>408</v>
      </c>
      <c r="N377" s="1">
        <f t="shared" si="47"/>
        <v>45609</v>
      </c>
      <c r="O377" s="1">
        <v>45362</v>
      </c>
      <c r="P377" s="1">
        <f t="shared" si="48"/>
        <v>45362</v>
      </c>
      <c r="Q377" t="s">
        <v>1792</v>
      </c>
      <c r="R377">
        <v>78</v>
      </c>
      <c r="S377">
        <v>28</v>
      </c>
      <c r="T377" t="s">
        <v>26</v>
      </c>
      <c r="U377" s="8">
        <v>624</v>
      </c>
      <c r="V377" s="8">
        <f t="shared" si="49"/>
        <v>704</v>
      </c>
      <c r="W377" t="str">
        <f t="shared" si="50"/>
        <v>Sufficient Stock</v>
      </c>
      <c r="X377" s="9">
        <f t="shared" si="51"/>
        <v>45505</v>
      </c>
      <c r="Y377">
        <f t="shared" si="52"/>
        <v>-165</v>
      </c>
      <c r="Z377" t="str">
        <f t="shared" si="53"/>
        <v>Invalid Data</v>
      </c>
    </row>
    <row r="378" spans="1:26" x14ac:dyDescent="0.4">
      <c r="A378" t="s">
        <v>1793</v>
      </c>
      <c r="B378" t="s">
        <v>659</v>
      </c>
      <c r="C378" t="s">
        <v>77</v>
      </c>
      <c r="D378" t="s">
        <v>1794</v>
      </c>
      <c r="E378" t="s">
        <v>1795</v>
      </c>
      <c r="F378">
        <v>89</v>
      </c>
      <c r="G378">
        <v>42</v>
      </c>
      <c r="H378">
        <v>76</v>
      </c>
      <c r="I378" t="s">
        <v>220</v>
      </c>
      <c r="J378" s="7">
        <f t="shared" si="45"/>
        <v>5</v>
      </c>
      <c r="K378" t="s">
        <v>1179</v>
      </c>
      <c r="L378" s="1">
        <f t="shared" si="46"/>
        <v>45641</v>
      </c>
      <c r="M378" t="s">
        <v>1165</v>
      </c>
      <c r="N378" s="1">
        <f t="shared" si="47"/>
        <v>45626</v>
      </c>
      <c r="O378" s="1">
        <v>45577</v>
      </c>
      <c r="P378" s="1">
        <f t="shared" si="48"/>
        <v>45577</v>
      </c>
      <c r="Q378" t="s">
        <v>1796</v>
      </c>
      <c r="R378">
        <v>94</v>
      </c>
      <c r="S378">
        <v>81</v>
      </c>
      <c r="T378" t="s">
        <v>42</v>
      </c>
      <c r="U378" s="8">
        <v>470</v>
      </c>
      <c r="V378" s="8">
        <f t="shared" si="49"/>
        <v>445</v>
      </c>
      <c r="W378" t="str">
        <f t="shared" si="50"/>
        <v>Sufficient Stock</v>
      </c>
      <c r="X378" s="9">
        <f t="shared" si="51"/>
        <v>45627</v>
      </c>
      <c r="Y378">
        <f t="shared" si="52"/>
        <v>-64</v>
      </c>
      <c r="Z378" t="str">
        <f t="shared" si="53"/>
        <v>Invalid Data</v>
      </c>
    </row>
    <row r="379" spans="1:26" x14ac:dyDescent="0.4">
      <c r="A379" t="s">
        <v>1797</v>
      </c>
      <c r="B379" t="s">
        <v>1750</v>
      </c>
      <c r="C379" t="s">
        <v>18</v>
      </c>
      <c r="D379" t="s">
        <v>1798</v>
      </c>
      <c r="E379" t="s">
        <v>1799</v>
      </c>
      <c r="F379">
        <v>26</v>
      </c>
      <c r="G379">
        <v>21</v>
      </c>
      <c r="H379">
        <v>47</v>
      </c>
      <c r="I379" t="s">
        <v>591</v>
      </c>
      <c r="J379" s="7">
        <f t="shared" si="45"/>
        <v>10</v>
      </c>
      <c r="K379" s="1">
        <v>45359</v>
      </c>
      <c r="L379" s="1">
        <f t="shared" si="46"/>
        <v>45359</v>
      </c>
      <c r="M379" t="s">
        <v>22</v>
      </c>
      <c r="N379" s="1">
        <f t="shared" si="47"/>
        <v>45520</v>
      </c>
      <c r="O379" s="1">
        <v>45327</v>
      </c>
      <c r="P379" s="1">
        <f t="shared" si="48"/>
        <v>45327</v>
      </c>
      <c r="Q379" t="s">
        <v>1800</v>
      </c>
      <c r="R379">
        <v>40</v>
      </c>
      <c r="S379">
        <v>59</v>
      </c>
      <c r="T379" t="s">
        <v>26</v>
      </c>
      <c r="U379" s="8">
        <v>400</v>
      </c>
      <c r="V379" s="8">
        <f t="shared" si="49"/>
        <v>260</v>
      </c>
      <c r="W379" t="str">
        <f t="shared" si="50"/>
        <v>Sufficient Stock</v>
      </c>
      <c r="X379" s="9">
        <f t="shared" si="51"/>
        <v>45352</v>
      </c>
      <c r="Y379">
        <f t="shared" si="52"/>
        <v>-32</v>
      </c>
      <c r="Z379" t="str">
        <f t="shared" si="53"/>
        <v>Invalid Data</v>
      </c>
    </row>
    <row r="380" spans="1:26" x14ac:dyDescent="0.4">
      <c r="A380" t="s">
        <v>1801</v>
      </c>
      <c r="B380" t="s">
        <v>225</v>
      </c>
      <c r="C380" t="s">
        <v>54</v>
      </c>
      <c r="D380" t="s">
        <v>1802</v>
      </c>
      <c r="E380" t="s">
        <v>1527</v>
      </c>
      <c r="F380">
        <v>26</v>
      </c>
      <c r="G380">
        <v>95</v>
      </c>
      <c r="H380">
        <v>36</v>
      </c>
      <c r="I380" t="s">
        <v>21</v>
      </c>
      <c r="J380" s="7">
        <f t="shared" si="45"/>
        <v>4.5</v>
      </c>
      <c r="K380" t="s">
        <v>525</v>
      </c>
      <c r="L380" s="1">
        <f t="shared" si="46"/>
        <v>45502</v>
      </c>
      <c r="M380" s="1">
        <v>45809</v>
      </c>
      <c r="N380" s="1">
        <f t="shared" si="47"/>
        <v>45809</v>
      </c>
      <c r="O380" s="1">
        <v>45932</v>
      </c>
      <c r="P380" s="1">
        <f t="shared" si="48"/>
        <v>45932</v>
      </c>
      <c r="Q380" t="s">
        <v>1803</v>
      </c>
      <c r="R380">
        <v>92</v>
      </c>
      <c r="S380">
        <v>14</v>
      </c>
      <c r="T380" t="s">
        <v>51</v>
      </c>
      <c r="U380" s="8">
        <v>414</v>
      </c>
      <c r="V380" s="8">
        <f t="shared" si="49"/>
        <v>117</v>
      </c>
      <c r="W380" t="str">
        <f t="shared" si="50"/>
        <v>Reorder Required</v>
      </c>
      <c r="X380" s="9">
        <f t="shared" si="51"/>
        <v>45474</v>
      </c>
      <c r="Y380">
        <f t="shared" si="52"/>
        <v>430</v>
      </c>
      <c r="Z380" t="str">
        <f t="shared" si="53"/>
        <v>Safe</v>
      </c>
    </row>
    <row r="381" spans="1:26" x14ac:dyDescent="0.4">
      <c r="A381" t="s">
        <v>1804</v>
      </c>
      <c r="B381" t="s">
        <v>733</v>
      </c>
      <c r="C381" t="s">
        <v>54</v>
      </c>
      <c r="D381" t="s">
        <v>1805</v>
      </c>
      <c r="E381" t="s">
        <v>1564</v>
      </c>
      <c r="F381">
        <v>37</v>
      </c>
      <c r="G381">
        <v>38</v>
      </c>
      <c r="H381">
        <v>24</v>
      </c>
      <c r="I381" t="s">
        <v>57</v>
      </c>
      <c r="J381" s="7">
        <f t="shared" si="45"/>
        <v>4</v>
      </c>
      <c r="K381" t="s">
        <v>1005</v>
      </c>
      <c r="L381" s="1">
        <f t="shared" si="46"/>
        <v>45458</v>
      </c>
      <c r="M381" s="1">
        <v>45331</v>
      </c>
      <c r="N381" s="1">
        <f t="shared" si="47"/>
        <v>45331</v>
      </c>
      <c r="O381" t="s">
        <v>421</v>
      </c>
      <c r="P381" s="1">
        <f t="shared" si="48"/>
        <v>45524</v>
      </c>
      <c r="Q381" t="s">
        <v>1806</v>
      </c>
      <c r="R381">
        <v>93</v>
      </c>
      <c r="S381">
        <v>32</v>
      </c>
      <c r="T381" t="s">
        <v>51</v>
      </c>
      <c r="U381" s="8">
        <v>372</v>
      </c>
      <c r="V381" s="8">
        <f t="shared" si="49"/>
        <v>148</v>
      </c>
      <c r="W381" t="str">
        <f t="shared" si="50"/>
        <v>Reorder Required</v>
      </c>
      <c r="X381" s="9">
        <f t="shared" si="51"/>
        <v>45444</v>
      </c>
      <c r="Y381">
        <f t="shared" si="52"/>
        <v>66</v>
      </c>
      <c r="Z381" t="str">
        <f t="shared" si="53"/>
        <v>High Risk</v>
      </c>
    </row>
    <row r="382" spans="1:26" x14ac:dyDescent="0.4">
      <c r="A382" t="s">
        <v>1807</v>
      </c>
      <c r="B382" t="s">
        <v>1485</v>
      </c>
      <c r="C382" t="s">
        <v>77</v>
      </c>
      <c r="D382" t="s">
        <v>1808</v>
      </c>
      <c r="E382" t="s">
        <v>939</v>
      </c>
      <c r="F382">
        <v>76</v>
      </c>
      <c r="G382">
        <v>98</v>
      </c>
      <c r="H382">
        <v>41</v>
      </c>
      <c r="I382" t="s">
        <v>63</v>
      </c>
      <c r="J382" s="7">
        <f t="shared" si="45"/>
        <v>1.75</v>
      </c>
      <c r="K382" t="s">
        <v>93</v>
      </c>
      <c r="L382" s="1">
        <f t="shared" si="46"/>
        <v>45610</v>
      </c>
      <c r="M382" t="s">
        <v>811</v>
      </c>
      <c r="N382" s="1">
        <f t="shared" si="47"/>
        <v>45435</v>
      </c>
      <c r="O382" t="s">
        <v>108</v>
      </c>
      <c r="P382" s="1">
        <f t="shared" si="48"/>
        <v>45579</v>
      </c>
      <c r="Q382" t="s">
        <v>1809</v>
      </c>
      <c r="R382">
        <v>62</v>
      </c>
      <c r="S382">
        <v>48</v>
      </c>
      <c r="T382" t="s">
        <v>42</v>
      </c>
      <c r="U382" s="8">
        <v>108.5</v>
      </c>
      <c r="V382" s="8">
        <f t="shared" si="49"/>
        <v>133</v>
      </c>
      <c r="W382" t="str">
        <f t="shared" si="50"/>
        <v>Reorder Required</v>
      </c>
      <c r="X382" s="9">
        <f t="shared" si="51"/>
        <v>45597</v>
      </c>
      <c r="Y382">
        <f t="shared" si="52"/>
        <v>-31</v>
      </c>
      <c r="Z382" t="str">
        <f t="shared" si="53"/>
        <v>Invalid Data</v>
      </c>
    </row>
    <row r="383" spans="1:26" x14ac:dyDescent="0.4">
      <c r="A383" t="s">
        <v>1810</v>
      </c>
      <c r="B383" t="s">
        <v>131</v>
      </c>
      <c r="C383" t="s">
        <v>77</v>
      </c>
      <c r="D383" t="s">
        <v>1811</v>
      </c>
      <c r="E383" t="s">
        <v>1399</v>
      </c>
      <c r="F383">
        <v>80</v>
      </c>
      <c r="G383">
        <v>43</v>
      </c>
      <c r="H383">
        <v>80</v>
      </c>
      <c r="I383" t="s">
        <v>134</v>
      </c>
      <c r="J383" s="7">
        <f t="shared" si="45"/>
        <v>7</v>
      </c>
      <c r="K383" t="s">
        <v>207</v>
      </c>
      <c r="L383" s="1">
        <f t="shared" si="46"/>
        <v>45469</v>
      </c>
      <c r="M383" s="1">
        <v>45421</v>
      </c>
      <c r="N383" s="1">
        <f t="shared" si="47"/>
        <v>45421</v>
      </c>
      <c r="O383" s="1">
        <v>45630</v>
      </c>
      <c r="P383" s="1">
        <f t="shared" si="48"/>
        <v>45630</v>
      </c>
      <c r="Q383" t="s">
        <v>1812</v>
      </c>
      <c r="R383">
        <v>64</v>
      </c>
      <c r="S383">
        <v>53</v>
      </c>
      <c r="T383" t="s">
        <v>51</v>
      </c>
      <c r="U383" s="8">
        <v>448</v>
      </c>
      <c r="V383" s="8">
        <f t="shared" si="49"/>
        <v>560</v>
      </c>
      <c r="W383" t="str">
        <f t="shared" si="50"/>
        <v>Sufficient Stock</v>
      </c>
      <c r="X383" s="9">
        <f t="shared" si="51"/>
        <v>45444</v>
      </c>
      <c r="Y383">
        <f t="shared" si="52"/>
        <v>161</v>
      </c>
      <c r="Z383" t="str">
        <f t="shared" si="53"/>
        <v>Medium Risk</v>
      </c>
    </row>
    <row r="384" spans="1:26" x14ac:dyDescent="0.4">
      <c r="A384" t="s">
        <v>1813</v>
      </c>
      <c r="B384" t="s">
        <v>1814</v>
      </c>
      <c r="C384" t="s">
        <v>54</v>
      </c>
      <c r="D384" t="s">
        <v>1815</v>
      </c>
      <c r="E384" t="s">
        <v>212</v>
      </c>
      <c r="F384">
        <v>100</v>
      </c>
      <c r="G384">
        <v>3</v>
      </c>
      <c r="H384">
        <v>32</v>
      </c>
      <c r="I384" t="s">
        <v>106</v>
      </c>
      <c r="J384" s="7">
        <f t="shared" si="45"/>
        <v>2</v>
      </c>
      <c r="K384" t="s">
        <v>259</v>
      </c>
      <c r="L384" s="1">
        <f t="shared" si="46"/>
        <v>45523</v>
      </c>
      <c r="M384" s="1">
        <v>45301</v>
      </c>
      <c r="N384" s="1">
        <f t="shared" si="47"/>
        <v>45301</v>
      </c>
      <c r="O384" s="1">
        <v>45932</v>
      </c>
      <c r="P384" s="1">
        <f t="shared" si="48"/>
        <v>45932</v>
      </c>
      <c r="Q384" t="s">
        <v>1816</v>
      </c>
      <c r="R384">
        <v>98</v>
      </c>
      <c r="S384">
        <v>91</v>
      </c>
      <c r="T384" t="s">
        <v>42</v>
      </c>
      <c r="U384" s="8">
        <v>196</v>
      </c>
      <c r="V384" s="8">
        <f t="shared" si="49"/>
        <v>200</v>
      </c>
      <c r="W384" t="str">
        <f t="shared" si="50"/>
        <v>Sufficient Stock</v>
      </c>
      <c r="X384" s="9">
        <f t="shared" si="51"/>
        <v>45505</v>
      </c>
      <c r="Y384">
        <f t="shared" si="52"/>
        <v>409</v>
      </c>
      <c r="Z384" t="str">
        <f t="shared" si="53"/>
        <v>Safe</v>
      </c>
    </row>
    <row r="385" spans="1:26" x14ac:dyDescent="0.4">
      <c r="A385" t="s">
        <v>1817</v>
      </c>
      <c r="B385" t="s">
        <v>325</v>
      </c>
      <c r="C385" t="s">
        <v>77</v>
      </c>
      <c r="D385" t="s">
        <v>1818</v>
      </c>
      <c r="E385" t="s">
        <v>1339</v>
      </c>
      <c r="F385">
        <v>21</v>
      </c>
      <c r="G385">
        <v>87</v>
      </c>
      <c r="H385">
        <v>67</v>
      </c>
      <c r="I385" t="s">
        <v>1316</v>
      </c>
      <c r="J385" s="7">
        <f t="shared" si="45"/>
        <v>3.1</v>
      </c>
      <c r="K385" s="1">
        <v>45717</v>
      </c>
      <c r="L385" s="1">
        <f t="shared" si="46"/>
        <v>45717</v>
      </c>
      <c r="M385" t="s">
        <v>444</v>
      </c>
      <c r="N385" s="1">
        <f t="shared" si="47"/>
        <v>45680</v>
      </c>
      <c r="O385" t="s">
        <v>1125</v>
      </c>
      <c r="P385" s="1">
        <f t="shared" si="48"/>
        <v>45382</v>
      </c>
      <c r="Q385" t="s">
        <v>1819</v>
      </c>
      <c r="R385">
        <v>64</v>
      </c>
      <c r="S385">
        <v>69</v>
      </c>
      <c r="T385" t="s">
        <v>26</v>
      </c>
      <c r="U385" s="8">
        <v>198.4</v>
      </c>
      <c r="V385" s="8">
        <f t="shared" si="49"/>
        <v>65.100000000000009</v>
      </c>
      <c r="W385" t="str">
        <f t="shared" si="50"/>
        <v>Reorder Required</v>
      </c>
      <c r="X385" s="9">
        <f t="shared" si="51"/>
        <v>45717</v>
      </c>
      <c r="Y385">
        <f t="shared" si="52"/>
        <v>-335</v>
      </c>
      <c r="Z385" t="str">
        <f t="shared" si="53"/>
        <v>Invalid Data</v>
      </c>
    </row>
    <row r="386" spans="1:26" x14ac:dyDescent="0.4">
      <c r="A386" t="s">
        <v>1820</v>
      </c>
      <c r="B386" t="s">
        <v>1821</v>
      </c>
      <c r="C386" t="s">
        <v>68</v>
      </c>
      <c r="D386" t="s">
        <v>1822</v>
      </c>
      <c r="E386" t="s">
        <v>973</v>
      </c>
      <c r="F386">
        <v>33</v>
      </c>
      <c r="G386">
        <v>78</v>
      </c>
      <c r="H386">
        <v>79</v>
      </c>
      <c r="I386" t="s">
        <v>220</v>
      </c>
      <c r="J386" s="7">
        <f t="shared" si="45"/>
        <v>5</v>
      </c>
      <c r="K386" s="1">
        <v>45423</v>
      </c>
      <c r="L386" s="1">
        <f t="shared" si="46"/>
        <v>45423</v>
      </c>
      <c r="M386" s="1">
        <v>45603</v>
      </c>
      <c r="N386" s="1">
        <f t="shared" si="47"/>
        <v>45603</v>
      </c>
      <c r="O386" t="s">
        <v>335</v>
      </c>
      <c r="P386" s="1">
        <f t="shared" si="48"/>
        <v>45403</v>
      </c>
      <c r="Q386" t="s">
        <v>1823</v>
      </c>
      <c r="R386">
        <v>60</v>
      </c>
      <c r="S386">
        <v>25</v>
      </c>
      <c r="T386" t="s">
        <v>26</v>
      </c>
      <c r="U386" s="8">
        <v>300</v>
      </c>
      <c r="V386" s="8">
        <f t="shared" si="49"/>
        <v>165</v>
      </c>
      <c r="W386" t="str">
        <f t="shared" si="50"/>
        <v>Reorder Required</v>
      </c>
      <c r="X386" s="9">
        <f t="shared" si="51"/>
        <v>45413</v>
      </c>
      <c r="Y386">
        <f t="shared" si="52"/>
        <v>-20</v>
      </c>
      <c r="Z386" t="str">
        <f t="shared" si="53"/>
        <v>Invalid Data</v>
      </c>
    </row>
    <row r="387" spans="1:26" x14ac:dyDescent="0.4">
      <c r="A387" t="s">
        <v>1824</v>
      </c>
      <c r="B387" t="s">
        <v>1503</v>
      </c>
      <c r="C387" t="s">
        <v>54</v>
      </c>
      <c r="D387" t="s">
        <v>1825</v>
      </c>
      <c r="E387" t="s">
        <v>1380</v>
      </c>
      <c r="F387">
        <v>43</v>
      </c>
      <c r="G387">
        <v>63</v>
      </c>
      <c r="H387">
        <v>99</v>
      </c>
      <c r="I387" t="s">
        <v>242</v>
      </c>
      <c r="J387" s="7">
        <f t="shared" ref="J387:J450" si="54">VALUE(SUBSTITUTE(I387,"$",""))</f>
        <v>3.5</v>
      </c>
      <c r="K387" s="1">
        <v>45515</v>
      </c>
      <c r="L387" s="1">
        <f t="shared" ref="L387:L450" si="55">IF(
ISNUMBER(K387),
K387,
DATE(
RIGHT(K387,4),
LEFT(K387,FIND("/",K387)-1),
MID(K387,FIND("/",K387)+1,FIND("/",K387,FIND("/",K387)+1)-FIND("/",K387)-1)
)
)</f>
        <v>45515</v>
      </c>
      <c r="M387" t="s">
        <v>115</v>
      </c>
      <c r="N387" s="1">
        <f t="shared" ref="N387:N450" si="56">IF(
ISNUMBER(M387),
M387,
DATE(
RIGHT(M387,4),
LEFT(M387,FIND("/",M387)-1),
MID(M387,FIND("/",M387)+1,FIND("/",M387,FIND("/",M387)+1)-FIND("/",M387)-1)
)
)</f>
        <v>45639</v>
      </c>
      <c r="O387" s="1">
        <v>45992</v>
      </c>
      <c r="P387" s="1">
        <f t="shared" ref="P387:P450" si="57">IF(
ISNUMBER(O387),
O387,
DATE(
RIGHT(O387,4),
LEFT(O387,FIND("/",O387)-1),
MID(O387,FIND("/",O387)+1,FIND("/",O387,FIND("/",O387)+1)-FIND("/",O387)-1)
)
)</f>
        <v>45992</v>
      </c>
      <c r="Q387" t="s">
        <v>1826</v>
      </c>
      <c r="R387">
        <v>39</v>
      </c>
      <c r="S387">
        <v>77</v>
      </c>
      <c r="T387" t="s">
        <v>26</v>
      </c>
      <c r="U387" s="8">
        <v>136.5</v>
      </c>
      <c r="V387" s="8">
        <f t="shared" ref="V387:V450" si="58">F387*J387</f>
        <v>150.5</v>
      </c>
      <c r="W387" t="str">
        <f t="shared" ref="W387:W450" si="59">IF(F387&lt;=G387,"Reorder Required","Sufficient Stock")</f>
        <v>Reorder Required</v>
      </c>
      <c r="X387" s="9">
        <f t="shared" ref="X387:X450" si="60">DATE(YEAR(L387),MONTH(L387),1)</f>
        <v>45505</v>
      </c>
      <c r="Y387">
        <f t="shared" ref="Y387:Y450" si="61">P387-L387</f>
        <v>477</v>
      </c>
      <c r="Z387" t="str">
        <f t="shared" ref="Z387:Z450" si="62">IF(Y387&lt;0,"Invalid Data",
IF(Y387&lt;=30,"Critical",
IF(Y387&lt;=90,"High Risk",
IF(Y387&lt;=180,"Medium Risk",
IF(Y387&lt;=365,"Low Risk",
"Safe")))))</f>
        <v>Safe</v>
      </c>
    </row>
    <row r="388" spans="1:26" x14ac:dyDescent="0.4">
      <c r="A388" t="s">
        <v>1827</v>
      </c>
      <c r="B388" t="s">
        <v>210</v>
      </c>
      <c r="C388" t="s">
        <v>54</v>
      </c>
      <c r="D388" t="s">
        <v>1828</v>
      </c>
      <c r="E388" t="s">
        <v>1039</v>
      </c>
      <c r="F388">
        <v>34</v>
      </c>
      <c r="G388">
        <v>1</v>
      </c>
      <c r="H388">
        <v>79</v>
      </c>
      <c r="I388" t="s">
        <v>1829</v>
      </c>
      <c r="J388" s="7">
        <f t="shared" si="54"/>
        <v>6.2</v>
      </c>
      <c r="K388" s="1">
        <v>45632</v>
      </c>
      <c r="L388" s="1">
        <f t="shared" si="55"/>
        <v>45632</v>
      </c>
      <c r="M388" t="s">
        <v>230</v>
      </c>
      <c r="N388" s="1">
        <f t="shared" si="56"/>
        <v>45646</v>
      </c>
      <c r="O388" s="1">
        <v>45513</v>
      </c>
      <c r="P388" s="1">
        <f t="shared" si="57"/>
        <v>45513</v>
      </c>
      <c r="Q388" t="s">
        <v>1830</v>
      </c>
      <c r="R388">
        <v>58</v>
      </c>
      <c r="S388">
        <v>36</v>
      </c>
      <c r="T388" t="s">
        <v>26</v>
      </c>
      <c r="U388" s="8">
        <v>359.6</v>
      </c>
      <c r="V388" s="8">
        <f t="shared" si="58"/>
        <v>210.8</v>
      </c>
      <c r="W388" t="str">
        <f t="shared" si="59"/>
        <v>Sufficient Stock</v>
      </c>
      <c r="X388" s="9">
        <f t="shared" si="60"/>
        <v>45627</v>
      </c>
      <c r="Y388">
        <f t="shared" si="61"/>
        <v>-119</v>
      </c>
      <c r="Z388" t="str">
        <f t="shared" si="62"/>
        <v>Invalid Data</v>
      </c>
    </row>
    <row r="389" spans="1:26" x14ac:dyDescent="0.4">
      <c r="A389" t="s">
        <v>1831</v>
      </c>
      <c r="B389" t="s">
        <v>1290</v>
      </c>
      <c r="C389" t="s">
        <v>169</v>
      </c>
      <c r="D389" t="s">
        <v>1832</v>
      </c>
      <c r="E389" t="s">
        <v>1251</v>
      </c>
      <c r="F389">
        <v>82</v>
      </c>
      <c r="G389">
        <v>25</v>
      </c>
      <c r="H389">
        <v>94</v>
      </c>
      <c r="I389" t="s">
        <v>1293</v>
      </c>
      <c r="J389" s="7">
        <f t="shared" si="54"/>
        <v>7.5</v>
      </c>
      <c r="K389" t="s">
        <v>666</v>
      </c>
      <c r="L389" s="1">
        <f t="shared" si="55"/>
        <v>45381</v>
      </c>
      <c r="M389" t="s">
        <v>495</v>
      </c>
      <c r="N389" s="1">
        <f t="shared" si="56"/>
        <v>45367</v>
      </c>
      <c r="O389" t="s">
        <v>353</v>
      </c>
      <c r="P389" s="1">
        <f t="shared" si="57"/>
        <v>45703</v>
      </c>
      <c r="Q389" t="s">
        <v>1833</v>
      </c>
      <c r="R389">
        <v>66</v>
      </c>
      <c r="S389">
        <v>14</v>
      </c>
      <c r="T389" t="s">
        <v>42</v>
      </c>
      <c r="U389" s="8">
        <v>495</v>
      </c>
      <c r="V389" s="8">
        <f t="shared" si="58"/>
        <v>615</v>
      </c>
      <c r="W389" t="str">
        <f t="shared" si="59"/>
        <v>Sufficient Stock</v>
      </c>
      <c r="X389" s="9">
        <f t="shared" si="60"/>
        <v>45352</v>
      </c>
      <c r="Y389">
        <f t="shared" si="61"/>
        <v>322</v>
      </c>
      <c r="Z389" t="str">
        <f t="shared" si="62"/>
        <v>Low Risk</v>
      </c>
    </row>
    <row r="390" spans="1:26" x14ac:dyDescent="0.4">
      <c r="A390" t="s">
        <v>1834</v>
      </c>
      <c r="B390" t="s">
        <v>1835</v>
      </c>
      <c r="C390" t="s">
        <v>112</v>
      </c>
      <c r="D390" t="s">
        <v>1836</v>
      </c>
      <c r="E390" t="s">
        <v>1527</v>
      </c>
      <c r="F390">
        <v>17</v>
      </c>
      <c r="G390">
        <v>63</v>
      </c>
      <c r="H390">
        <v>3</v>
      </c>
      <c r="I390" t="s">
        <v>242</v>
      </c>
      <c r="J390" s="7">
        <f t="shared" si="54"/>
        <v>3.5</v>
      </c>
      <c r="K390" s="1">
        <v>45330</v>
      </c>
      <c r="L390" s="1">
        <f t="shared" si="55"/>
        <v>45330</v>
      </c>
      <c r="M390" t="s">
        <v>301</v>
      </c>
      <c r="N390" s="1">
        <f t="shared" si="56"/>
        <v>45528</v>
      </c>
      <c r="O390" t="s">
        <v>1508</v>
      </c>
      <c r="P390" s="1">
        <f t="shared" si="57"/>
        <v>45653</v>
      </c>
      <c r="Q390" t="s">
        <v>1837</v>
      </c>
      <c r="R390">
        <v>93</v>
      </c>
      <c r="S390">
        <v>26</v>
      </c>
      <c r="T390" t="s">
        <v>42</v>
      </c>
      <c r="U390" s="8">
        <v>325.5</v>
      </c>
      <c r="V390" s="8">
        <f t="shared" si="58"/>
        <v>59.5</v>
      </c>
      <c r="W390" t="str">
        <f t="shared" si="59"/>
        <v>Reorder Required</v>
      </c>
      <c r="X390" s="9">
        <f t="shared" si="60"/>
        <v>45323</v>
      </c>
      <c r="Y390">
        <f t="shared" si="61"/>
        <v>323</v>
      </c>
      <c r="Z390" t="str">
        <f t="shared" si="62"/>
        <v>Low Risk</v>
      </c>
    </row>
    <row r="391" spans="1:26" x14ac:dyDescent="0.4">
      <c r="A391" t="s">
        <v>1838</v>
      </c>
      <c r="B391" t="s">
        <v>17</v>
      </c>
      <c r="C391" t="s">
        <v>18</v>
      </c>
      <c r="D391" t="s">
        <v>1839</v>
      </c>
      <c r="E391" t="s">
        <v>1531</v>
      </c>
      <c r="F391">
        <v>36</v>
      </c>
      <c r="G391">
        <v>81</v>
      </c>
      <c r="H391">
        <v>54</v>
      </c>
      <c r="I391" t="s">
        <v>624</v>
      </c>
      <c r="J391" s="7">
        <f t="shared" si="54"/>
        <v>4.75</v>
      </c>
      <c r="K391" s="1">
        <v>45480</v>
      </c>
      <c r="L391" s="1">
        <f t="shared" si="55"/>
        <v>45480</v>
      </c>
      <c r="M391" t="s">
        <v>230</v>
      </c>
      <c r="N391" s="1">
        <f t="shared" si="56"/>
        <v>45646</v>
      </c>
      <c r="O391" t="s">
        <v>826</v>
      </c>
      <c r="P391" s="1">
        <f t="shared" si="57"/>
        <v>45535</v>
      </c>
      <c r="Q391" t="s">
        <v>1840</v>
      </c>
      <c r="R391">
        <v>73</v>
      </c>
      <c r="S391">
        <v>60</v>
      </c>
      <c r="T391" t="s">
        <v>26</v>
      </c>
      <c r="U391" s="8">
        <v>346.75</v>
      </c>
      <c r="V391" s="8">
        <f t="shared" si="58"/>
        <v>171</v>
      </c>
      <c r="W391" t="str">
        <f t="shared" si="59"/>
        <v>Reorder Required</v>
      </c>
      <c r="X391" s="9">
        <f t="shared" si="60"/>
        <v>45474</v>
      </c>
      <c r="Y391">
        <f t="shared" si="61"/>
        <v>55</v>
      </c>
      <c r="Z391" t="str">
        <f t="shared" si="62"/>
        <v>High Risk</v>
      </c>
    </row>
    <row r="392" spans="1:26" x14ac:dyDescent="0.4">
      <c r="A392" t="s">
        <v>1841</v>
      </c>
      <c r="B392" t="s">
        <v>704</v>
      </c>
      <c r="C392" t="s">
        <v>169</v>
      </c>
      <c r="D392" t="s">
        <v>1842</v>
      </c>
      <c r="E392" t="s">
        <v>334</v>
      </c>
      <c r="F392">
        <v>65</v>
      </c>
      <c r="G392">
        <v>79</v>
      </c>
      <c r="H392">
        <v>52</v>
      </c>
      <c r="I392" t="s">
        <v>147</v>
      </c>
      <c r="J392" s="7">
        <f t="shared" si="54"/>
        <v>8</v>
      </c>
      <c r="K392" s="1">
        <v>45631</v>
      </c>
      <c r="L392" s="1">
        <f t="shared" si="55"/>
        <v>45631</v>
      </c>
      <c r="M392" s="1">
        <v>45361</v>
      </c>
      <c r="N392" s="1">
        <f t="shared" si="56"/>
        <v>45361</v>
      </c>
      <c r="O392" t="s">
        <v>200</v>
      </c>
      <c r="P392" s="1">
        <f t="shared" si="57"/>
        <v>45442</v>
      </c>
      <c r="Q392" t="s">
        <v>1843</v>
      </c>
      <c r="R392">
        <v>56</v>
      </c>
      <c r="S392">
        <v>94</v>
      </c>
      <c r="T392" t="s">
        <v>26</v>
      </c>
      <c r="U392" s="8">
        <v>448</v>
      </c>
      <c r="V392" s="8">
        <f t="shared" si="58"/>
        <v>520</v>
      </c>
      <c r="W392" t="str">
        <f t="shared" si="59"/>
        <v>Reorder Required</v>
      </c>
      <c r="X392" s="9">
        <f t="shared" si="60"/>
        <v>45627</v>
      </c>
      <c r="Y392">
        <f t="shared" si="61"/>
        <v>-189</v>
      </c>
      <c r="Z392" t="str">
        <f t="shared" si="62"/>
        <v>Invalid Data</v>
      </c>
    </row>
    <row r="393" spans="1:26" x14ac:dyDescent="0.4">
      <c r="A393" t="s">
        <v>1844</v>
      </c>
      <c r="B393" t="s">
        <v>1470</v>
      </c>
      <c r="C393" t="s">
        <v>54</v>
      </c>
      <c r="D393" t="s">
        <v>1845</v>
      </c>
      <c r="E393" t="s">
        <v>427</v>
      </c>
      <c r="F393">
        <v>45</v>
      </c>
      <c r="G393">
        <v>28</v>
      </c>
      <c r="H393">
        <v>6</v>
      </c>
      <c r="I393" t="s">
        <v>21</v>
      </c>
      <c r="J393" s="7">
        <f t="shared" si="54"/>
        <v>4.5</v>
      </c>
      <c r="K393" t="s">
        <v>72</v>
      </c>
      <c r="L393" s="1">
        <f t="shared" si="55"/>
        <v>45369</v>
      </c>
      <c r="M393" t="s">
        <v>444</v>
      </c>
      <c r="N393" s="1">
        <f t="shared" si="56"/>
        <v>45680</v>
      </c>
      <c r="O393" t="s">
        <v>1173</v>
      </c>
      <c r="P393" s="1">
        <f t="shared" si="57"/>
        <v>45526</v>
      </c>
      <c r="Q393" t="s">
        <v>1846</v>
      </c>
      <c r="R393">
        <v>35</v>
      </c>
      <c r="S393">
        <v>16</v>
      </c>
      <c r="T393" t="s">
        <v>26</v>
      </c>
      <c r="U393" s="8">
        <v>157.5</v>
      </c>
      <c r="V393" s="8">
        <f t="shared" si="58"/>
        <v>202.5</v>
      </c>
      <c r="W393" t="str">
        <f t="shared" si="59"/>
        <v>Sufficient Stock</v>
      </c>
      <c r="X393" s="9">
        <f t="shared" si="60"/>
        <v>45352</v>
      </c>
      <c r="Y393">
        <f t="shared" si="61"/>
        <v>157</v>
      </c>
      <c r="Z393" t="str">
        <f t="shared" si="62"/>
        <v>Medium Risk</v>
      </c>
    </row>
    <row r="394" spans="1:26" x14ac:dyDescent="0.4">
      <c r="A394" t="s">
        <v>1847</v>
      </c>
      <c r="B394" t="s">
        <v>76</v>
      </c>
      <c r="C394" t="s">
        <v>77</v>
      </c>
      <c r="D394" t="s">
        <v>1848</v>
      </c>
      <c r="E394" t="s">
        <v>553</v>
      </c>
      <c r="F394">
        <v>35</v>
      </c>
      <c r="G394">
        <v>78</v>
      </c>
      <c r="H394">
        <v>68</v>
      </c>
      <c r="I394" t="s">
        <v>71</v>
      </c>
      <c r="J394" s="7">
        <f t="shared" si="54"/>
        <v>2.5</v>
      </c>
      <c r="K394" s="1">
        <v>45630</v>
      </c>
      <c r="L394" s="1">
        <f t="shared" si="55"/>
        <v>45630</v>
      </c>
      <c r="M394" t="s">
        <v>279</v>
      </c>
      <c r="N394" s="1">
        <f t="shared" si="56"/>
        <v>45676</v>
      </c>
      <c r="O394" s="1">
        <v>45389</v>
      </c>
      <c r="P394" s="1">
        <f t="shared" si="57"/>
        <v>45389</v>
      </c>
      <c r="Q394" t="s">
        <v>1849</v>
      </c>
      <c r="R394">
        <v>95</v>
      </c>
      <c r="S394">
        <v>91</v>
      </c>
      <c r="T394" t="s">
        <v>26</v>
      </c>
      <c r="U394" s="8">
        <v>237.5</v>
      </c>
      <c r="V394" s="8">
        <f t="shared" si="58"/>
        <v>87.5</v>
      </c>
      <c r="W394" t="str">
        <f t="shared" si="59"/>
        <v>Reorder Required</v>
      </c>
      <c r="X394" s="9">
        <f t="shared" si="60"/>
        <v>45627</v>
      </c>
      <c r="Y394">
        <f t="shared" si="61"/>
        <v>-241</v>
      </c>
      <c r="Z394" t="str">
        <f t="shared" si="62"/>
        <v>Invalid Data</v>
      </c>
    </row>
    <row r="395" spans="1:26" x14ac:dyDescent="0.4">
      <c r="A395" t="s">
        <v>1850</v>
      </c>
      <c r="B395" t="s">
        <v>138</v>
      </c>
      <c r="C395" t="s">
        <v>18</v>
      </c>
      <c r="D395" t="s">
        <v>1851</v>
      </c>
      <c r="E395" t="s">
        <v>1852</v>
      </c>
      <c r="F395">
        <v>96</v>
      </c>
      <c r="G395">
        <v>83</v>
      </c>
      <c r="H395">
        <v>50</v>
      </c>
      <c r="I395" t="s">
        <v>47</v>
      </c>
      <c r="J395" s="7">
        <f t="shared" si="54"/>
        <v>1.5</v>
      </c>
      <c r="K395" s="1">
        <v>45392</v>
      </c>
      <c r="L395" s="1">
        <f t="shared" si="55"/>
        <v>45392</v>
      </c>
      <c r="M395" t="s">
        <v>666</v>
      </c>
      <c r="N395" s="1">
        <f t="shared" si="56"/>
        <v>45381</v>
      </c>
      <c r="O395" t="s">
        <v>200</v>
      </c>
      <c r="P395" s="1">
        <f t="shared" si="57"/>
        <v>45442</v>
      </c>
      <c r="Q395" t="s">
        <v>1853</v>
      </c>
      <c r="R395">
        <v>81</v>
      </c>
      <c r="S395">
        <v>89</v>
      </c>
      <c r="T395" t="s">
        <v>26</v>
      </c>
      <c r="U395" s="8">
        <v>121.5</v>
      </c>
      <c r="V395" s="8">
        <f t="shared" si="58"/>
        <v>144</v>
      </c>
      <c r="W395" t="str">
        <f t="shared" si="59"/>
        <v>Sufficient Stock</v>
      </c>
      <c r="X395" s="9">
        <f t="shared" si="60"/>
        <v>45383</v>
      </c>
      <c r="Y395">
        <f t="shared" si="61"/>
        <v>50</v>
      </c>
      <c r="Z395" t="str">
        <f t="shared" si="62"/>
        <v>High Risk</v>
      </c>
    </row>
    <row r="396" spans="1:26" x14ac:dyDescent="0.4">
      <c r="A396" t="s">
        <v>1854</v>
      </c>
      <c r="B396" t="s">
        <v>698</v>
      </c>
      <c r="C396" t="s">
        <v>54</v>
      </c>
      <c r="D396" t="s">
        <v>1855</v>
      </c>
      <c r="E396" t="s">
        <v>371</v>
      </c>
      <c r="F396">
        <v>56</v>
      </c>
      <c r="G396">
        <v>75</v>
      </c>
      <c r="H396">
        <v>13</v>
      </c>
      <c r="I396" t="s">
        <v>220</v>
      </c>
      <c r="J396" s="7">
        <f t="shared" si="54"/>
        <v>5</v>
      </c>
      <c r="K396" s="1">
        <v>45391</v>
      </c>
      <c r="L396" s="1">
        <f t="shared" si="55"/>
        <v>45391</v>
      </c>
      <c r="M396" s="1">
        <v>45386</v>
      </c>
      <c r="N396" s="1">
        <f t="shared" si="56"/>
        <v>45386</v>
      </c>
      <c r="O396" t="s">
        <v>736</v>
      </c>
      <c r="P396" s="1">
        <f t="shared" si="57"/>
        <v>45433</v>
      </c>
      <c r="Q396" t="s">
        <v>1856</v>
      </c>
      <c r="R396">
        <v>42</v>
      </c>
      <c r="S396">
        <v>53</v>
      </c>
      <c r="T396" t="s">
        <v>42</v>
      </c>
      <c r="U396" s="8">
        <v>210</v>
      </c>
      <c r="V396" s="8">
        <f t="shared" si="58"/>
        <v>280</v>
      </c>
      <c r="W396" t="str">
        <f t="shared" si="59"/>
        <v>Reorder Required</v>
      </c>
      <c r="X396" s="9">
        <f t="shared" si="60"/>
        <v>45383</v>
      </c>
      <c r="Y396">
        <f t="shared" si="61"/>
        <v>42</v>
      </c>
      <c r="Z396" t="str">
        <f t="shared" si="62"/>
        <v>High Risk</v>
      </c>
    </row>
    <row r="397" spans="1:26" x14ac:dyDescent="0.4">
      <c r="A397" t="s">
        <v>1857</v>
      </c>
      <c r="B397" t="s">
        <v>447</v>
      </c>
      <c r="C397" t="s">
        <v>77</v>
      </c>
      <c r="D397" t="s">
        <v>1858</v>
      </c>
      <c r="E397" t="s">
        <v>781</v>
      </c>
      <c r="F397">
        <v>49</v>
      </c>
      <c r="G397">
        <v>94</v>
      </c>
      <c r="H397">
        <v>18</v>
      </c>
      <c r="I397" t="s">
        <v>39</v>
      </c>
      <c r="J397" s="7">
        <f t="shared" si="54"/>
        <v>6</v>
      </c>
      <c r="K397" s="1">
        <v>45638</v>
      </c>
      <c r="L397" s="1">
        <f t="shared" si="55"/>
        <v>45638</v>
      </c>
      <c r="M397" s="1">
        <v>45573</v>
      </c>
      <c r="N397" s="1">
        <f t="shared" si="56"/>
        <v>45573</v>
      </c>
      <c r="O397" t="s">
        <v>1141</v>
      </c>
      <c r="P397" s="1">
        <f t="shared" si="57"/>
        <v>45398</v>
      </c>
      <c r="Q397" t="s">
        <v>1859</v>
      </c>
      <c r="R397">
        <v>38</v>
      </c>
      <c r="S397">
        <v>11</v>
      </c>
      <c r="T397" t="s">
        <v>51</v>
      </c>
      <c r="U397" s="8">
        <v>228</v>
      </c>
      <c r="V397" s="8">
        <f t="shared" si="58"/>
        <v>294</v>
      </c>
      <c r="W397" t="str">
        <f t="shared" si="59"/>
        <v>Reorder Required</v>
      </c>
      <c r="X397" s="9">
        <f t="shared" si="60"/>
        <v>45627</v>
      </c>
      <c r="Y397">
        <f t="shared" si="61"/>
        <v>-240</v>
      </c>
      <c r="Z397" t="str">
        <f t="shared" si="62"/>
        <v>Invalid Data</v>
      </c>
    </row>
    <row r="398" spans="1:26" x14ac:dyDescent="0.4">
      <c r="A398" t="s">
        <v>1860</v>
      </c>
      <c r="B398" t="s">
        <v>196</v>
      </c>
      <c r="C398" t="s">
        <v>18</v>
      </c>
      <c r="D398" t="s">
        <v>1861</v>
      </c>
      <c r="E398" t="s">
        <v>578</v>
      </c>
      <c r="F398">
        <v>100</v>
      </c>
      <c r="G398">
        <v>10</v>
      </c>
      <c r="H398">
        <v>89</v>
      </c>
      <c r="I398" t="s">
        <v>47</v>
      </c>
      <c r="J398" s="7">
        <f t="shared" si="54"/>
        <v>1.5</v>
      </c>
      <c r="K398" t="s">
        <v>956</v>
      </c>
      <c r="L398" s="1">
        <f t="shared" si="55"/>
        <v>45405</v>
      </c>
      <c r="M398" s="1">
        <v>45658</v>
      </c>
      <c r="N398" s="1">
        <f t="shared" si="56"/>
        <v>45658</v>
      </c>
      <c r="O398" t="s">
        <v>1146</v>
      </c>
      <c r="P398" s="1">
        <f t="shared" si="57"/>
        <v>45464</v>
      </c>
      <c r="Q398" t="s">
        <v>1862</v>
      </c>
      <c r="R398">
        <v>76</v>
      </c>
      <c r="S398">
        <v>38</v>
      </c>
      <c r="T398" t="s">
        <v>42</v>
      </c>
      <c r="U398" s="8">
        <v>114</v>
      </c>
      <c r="V398" s="8">
        <f t="shared" si="58"/>
        <v>150</v>
      </c>
      <c r="W398" t="str">
        <f t="shared" si="59"/>
        <v>Sufficient Stock</v>
      </c>
      <c r="X398" s="9">
        <f t="shared" si="60"/>
        <v>45383</v>
      </c>
      <c r="Y398">
        <f t="shared" si="61"/>
        <v>59</v>
      </c>
      <c r="Z398" t="str">
        <f t="shared" si="62"/>
        <v>High Risk</v>
      </c>
    </row>
    <row r="399" spans="1:26" x14ac:dyDescent="0.4">
      <c r="A399" t="s">
        <v>1863</v>
      </c>
      <c r="B399" t="s">
        <v>263</v>
      </c>
      <c r="C399" t="s">
        <v>169</v>
      </c>
      <c r="D399" t="s">
        <v>1864</v>
      </c>
      <c r="E399" t="s">
        <v>1865</v>
      </c>
      <c r="F399">
        <v>30</v>
      </c>
      <c r="G399">
        <v>81</v>
      </c>
      <c r="H399">
        <v>99</v>
      </c>
      <c r="I399" t="s">
        <v>266</v>
      </c>
      <c r="J399" s="7">
        <f t="shared" si="54"/>
        <v>9</v>
      </c>
      <c r="K399" t="s">
        <v>322</v>
      </c>
      <c r="L399" s="1">
        <f t="shared" si="55"/>
        <v>45495</v>
      </c>
      <c r="M399" t="s">
        <v>585</v>
      </c>
      <c r="N399" s="1">
        <f t="shared" si="56"/>
        <v>45687</v>
      </c>
      <c r="O399" t="s">
        <v>1005</v>
      </c>
      <c r="P399" s="1">
        <f t="shared" si="57"/>
        <v>45458</v>
      </c>
      <c r="Q399" t="s">
        <v>1866</v>
      </c>
      <c r="R399">
        <v>99</v>
      </c>
      <c r="S399">
        <v>3</v>
      </c>
      <c r="T399" t="s">
        <v>42</v>
      </c>
      <c r="U399" s="8">
        <v>891</v>
      </c>
      <c r="V399" s="8">
        <f t="shared" si="58"/>
        <v>270</v>
      </c>
      <c r="W399" t="str">
        <f t="shared" si="59"/>
        <v>Reorder Required</v>
      </c>
      <c r="X399" s="9">
        <f t="shared" si="60"/>
        <v>45474</v>
      </c>
      <c r="Y399">
        <f t="shared" si="61"/>
        <v>-37</v>
      </c>
      <c r="Z399" t="str">
        <f t="shared" si="62"/>
        <v>Invalid Data</v>
      </c>
    </row>
    <row r="400" spans="1:26" x14ac:dyDescent="0.4">
      <c r="A400" t="s">
        <v>1867</v>
      </c>
      <c r="B400" t="s">
        <v>1470</v>
      </c>
      <c r="C400" t="s">
        <v>54</v>
      </c>
      <c r="D400" t="s">
        <v>1868</v>
      </c>
      <c r="E400" t="s">
        <v>46</v>
      </c>
      <c r="F400">
        <v>20</v>
      </c>
      <c r="G400">
        <v>91</v>
      </c>
      <c r="H400">
        <v>12</v>
      </c>
      <c r="I400" t="s">
        <v>21</v>
      </c>
      <c r="J400" s="7">
        <f t="shared" si="54"/>
        <v>4.5</v>
      </c>
      <c r="K400" t="s">
        <v>402</v>
      </c>
      <c r="L400" s="1">
        <f t="shared" si="55"/>
        <v>45622</v>
      </c>
      <c r="M400" t="s">
        <v>115</v>
      </c>
      <c r="N400" s="1">
        <f t="shared" si="56"/>
        <v>45639</v>
      </c>
      <c r="O400" s="1">
        <v>45303</v>
      </c>
      <c r="P400" s="1">
        <f t="shared" si="57"/>
        <v>45303</v>
      </c>
      <c r="Q400" t="s">
        <v>1869</v>
      </c>
      <c r="R400">
        <v>35</v>
      </c>
      <c r="S400">
        <v>50</v>
      </c>
      <c r="T400" t="s">
        <v>51</v>
      </c>
      <c r="U400" s="8">
        <v>157.5</v>
      </c>
      <c r="V400" s="8">
        <f t="shared" si="58"/>
        <v>90</v>
      </c>
      <c r="W400" t="str">
        <f t="shared" si="59"/>
        <v>Reorder Required</v>
      </c>
      <c r="X400" s="9">
        <f t="shared" si="60"/>
        <v>45597</v>
      </c>
      <c r="Y400">
        <f t="shared" si="61"/>
        <v>-319</v>
      </c>
      <c r="Z400" t="str">
        <f t="shared" si="62"/>
        <v>Invalid Data</v>
      </c>
    </row>
    <row r="401" spans="1:26" x14ac:dyDescent="0.4">
      <c r="A401" t="s">
        <v>1870</v>
      </c>
      <c r="B401" t="s">
        <v>943</v>
      </c>
      <c r="C401" t="s">
        <v>68</v>
      </c>
      <c r="D401" t="s">
        <v>1871</v>
      </c>
      <c r="E401" t="s">
        <v>1872</v>
      </c>
      <c r="F401">
        <v>85</v>
      </c>
      <c r="G401">
        <v>15</v>
      </c>
      <c r="H401">
        <v>16</v>
      </c>
      <c r="I401" t="s">
        <v>945</v>
      </c>
      <c r="J401" s="7">
        <f t="shared" si="54"/>
        <v>6.5</v>
      </c>
      <c r="K401" t="s">
        <v>725</v>
      </c>
      <c r="L401" s="1">
        <f t="shared" si="55"/>
        <v>45425</v>
      </c>
      <c r="M401" t="s">
        <v>48</v>
      </c>
      <c r="N401" s="1">
        <f t="shared" si="56"/>
        <v>45707</v>
      </c>
      <c r="O401" t="s">
        <v>536</v>
      </c>
      <c r="P401" s="1">
        <f t="shared" si="57"/>
        <v>45488</v>
      </c>
      <c r="Q401" t="s">
        <v>1873</v>
      </c>
      <c r="R401">
        <v>46</v>
      </c>
      <c r="S401">
        <v>24</v>
      </c>
      <c r="T401" t="s">
        <v>26</v>
      </c>
      <c r="U401" s="8">
        <v>299</v>
      </c>
      <c r="V401" s="8">
        <f t="shared" si="58"/>
        <v>552.5</v>
      </c>
      <c r="W401" t="str">
        <f t="shared" si="59"/>
        <v>Sufficient Stock</v>
      </c>
      <c r="X401" s="9">
        <f t="shared" si="60"/>
        <v>45413</v>
      </c>
      <c r="Y401">
        <f t="shared" si="61"/>
        <v>63</v>
      </c>
      <c r="Z401" t="str">
        <f t="shared" si="62"/>
        <v>High Risk</v>
      </c>
    </row>
    <row r="402" spans="1:26" x14ac:dyDescent="0.4">
      <c r="A402" t="s">
        <v>1874</v>
      </c>
      <c r="B402" t="s">
        <v>176</v>
      </c>
      <c r="C402" t="s">
        <v>54</v>
      </c>
      <c r="D402" t="s">
        <v>1875</v>
      </c>
      <c r="E402" t="s">
        <v>1039</v>
      </c>
      <c r="F402">
        <v>86</v>
      </c>
      <c r="G402">
        <v>90</v>
      </c>
      <c r="H402">
        <v>39</v>
      </c>
      <c r="I402" t="s">
        <v>1876</v>
      </c>
      <c r="J402" s="7">
        <f t="shared" si="54"/>
        <v>2.1</v>
      </c>
      <c r="K402" t="s">
        <v>1035</v>
      </c>
      <c r="L402" s="1">
        <f t="shared" si="55"/>
        <v>45585</v>
      </c>
      <c r="M402" t="s">
        <v>592</v>
      </c>
      <c r="N402" s="1">
        <f t="shared" si="56"/>
        <v>45350</v>
      </c>
      <c r="O402" s="1">
        <v>45482</v>
      </c>
      <c r="P402" s="1">
        <f t="shared" si="57"/>
        <v>45482</v>
      </c>
      <c r="Q402" t="s">
        <v>1877</v>
      </c>
      <c r="R402">
        <v>98</v>
      </c>
      <c r="S402">
        <v>85</v>
      </c>
      <c r="T402" t="s">
        <v>51</v>
      </c>
      <c r="U402" s="8">
        <v>205.8</v>
      </c>
      <c r="V402" s="8">
        <f t="shared" si="58"/>
        <v>180.6</v>
      </c>
      <c r="W402" t="str">
        <f t="shared" si="59"/>
        <v>Reorder Required</v>
      </c>
      <c r="X402" s="9">
        <f t="shared" si="60"/>
        <v>45566</v>
      </c>
      <c r="Y402">
        <f t="shared" si="61"/>
        <v>-103</v>
      </c>
      <c r="Z402" t="str">
        <f t="shared" si="62"/>
        <v>Invalid Data</v>
      </c>
    </row>
    <row r="403" spans="1:26" x14ac:dyDescent="0.4">
      <c r="A403" t="s">
        <v>1878</v>
      </c>
      <c r="B403" t="s">
        <v>363</v>
      </c>
      <c r="C403" t="s">
        <v>112</v>
      </c>
      <c r="D403" t="s">
        <v>1879</v>
      </c>
      <c r="E403" t="s">
        <v>1880</v>
      </c>
      <c r="F403">
        <v>65</v>
      </c>
      <c r="G403">
        <v>79</v>
      </c>
      <c r="H403">
        <v>49</v>
      </c>
      <c r="I403" t="s">
        <v>57</v>
      </c>
      <c r="J403" s="7">
        <f t="shared" si="54"/>
        <v>4</v>
      </c>
      <c r="K403" s="1">
        <v>45326</v>
      </c>
      <c r="L403" s="1">
        <f t="shared" si="55"/>
        <v>45326</v>
      </c>
      <c r="M403" s="1">
        <v>45571</v>
      </c>
      <c r="N403" s="1">
        <f t="shared" si="56"/>
        <v>45571</v>
      </c>
      <c r="O403" t="s">
        <v>383</v>
      </c>
      <c r="P403" s="1">
        <f t="shared" si="57"/>
        <v>45582</v>
      </c>
      <c r="Q403" t="s">
        <v>1881</v>
      </c>
      <c r="R403">
        <v>100</v>
      </c>
      <c r="S403">
        <v>9</v>
      </c>
      <c r="T403" t="s">
        <v>26</v>
      </c>
      <c r="U403" s="8">
        <v>400</v>
      </c>
      <c r="V403" s="8">
        <f t="shared" si="58"/>
        <v>260</v>
      </c>
      <c r="W403" t="str">
        <f t="shared" si="59"/>
        <v>Reorder Required</v>
      </c>
      <c r="X403" s="9">
        <f t="shared" si="60"/>
        <v>45323</v>
      </c>
      <c r="Y403">
        <f t="shared" si="61"/>
        <v>256</v>
      </c>
      <c r="Z403" t="str">
        <f t="shared" si="62"/>
        <v>Low Risk</v>
      </c>
    </row>
    <row r="404" spans="1:26" x14ac:dyDescent="0.4">
      <c r="A404" t="s">
        <v>1882</v>
      </c>
      <c r="B404" t="s">
        <v>659</v>
      </c>
      <c r="C404" t="s">
        <v>77</v>
      </c>
      <c r="D404" t="s">
        <v>1883</v>
      </c>
      <c r="E404" t="s">
        <v>1069</v>
      </c>
      <c r="F404">
        <v>67</v>
      </c>
      <c r="G404">
        <v>98</v>
      </c>
      <c r="H404">
        <v>92</v>
      </c>
      <c r="I404" t="s">
        <v>220</v>
      </c>
      <c r="J404" s="7">
        <f t="shared" si="54"/>
        <v>5</v>
      </c>
      <c r="K404" t="s">
        <v>1884</v>
      </c>
      <c r="L404" s="1">
        <f t="shared" si="55"/>
        <v>45404</v>
      </c>
      <c r="M404" t="s">
        <v>826</v>
      </c>
      <c r="N404" s="1">
        <f t="shared" si="56"/>
        <v>45535</v>
      </c>
      <c r="O404" s="1">
        <v>45485</v>
      </c>
      <c r="P404" s="1">
        <f t="shared" si="57"/>
        <v>45485</v>
      </c>
      <c r="Q404" t="s">
        <v>1885</v>
      </c>
      <c r="R404">
        <v>35</v>
      </c>
      <c r="S404">
        <v>98</v>
      </c>
      <c r="T404" t="s">
        <v>42</v>
      </c>
      <c r="U404" s="8">
        <v>175</v>
      </c>
      <c r="V404" s="8">
        <f t="shared" si="58"/>
        <v>335</v>
      </c>
      <c r="W404" t="str">
        <f t="shared" si="59"/>
        <v>Reorder Required</v>
      </c>
      <c r="X404" s="9">
        <f t="shared" si="60"/>
        <v>45383</v>
      </c>
      <c r="Y404">
        <f t="shared" si="61"/>
        <v>81</v>
      </c>
      <c r="Z404" t="str">
        <f t="shared" si="62"/>
        <v>High Risk</v>
      </c>
    </row>
    <row r="405" spans="1:26" x14ac:dyDescent="0.4">
      <c r="A405" t="s">
        <v>1886</v>
      </c>
      <c r="B405" t="s">
        <v>447</v>
      </c>
      <c r="C405" t="s">
        <v>77</v>
      </c>
      <c r="D405" t="s">
        <v>1887</v>
      </c>
      <c r="E405" t="s">
        <v>1395</v>
      </c>
      <c r="F405">
        <v>88</v>
      </c>
      <c r="G405">
        <v>4</v>
      </c>
      <c r="H405">
        <v>79</v>
      </c>
      <c r="I405" t="s">
        <v>39</v>
      </c>
      <c r="J405" s="7">
        <f t="shared" si="54"/>
        <v>6</v>
      </c>
      <c r="K405" t="s">
        <v>1234</v>
      </c>
      <c r="L405" s="1">
        <f t="shared" si="55"/>
        <v>45406</v>
      </c>
      <c r="M405" s="1">
        <v>45328</v>
      </c>
      <c r="N405" s="1">
        <f t="shared" si="56"/>
        <v>45328</v>
      </c>
      <c r="O405" t="s">
        <v>882</v>
      </c>
      <c r="P405" s="1">
        <f t="shared" si="57"/>
        <v>45518</v>
      </c>
      <c r="Q405" t="s">
        <v>1888</v>
      </c>
      <c r="R405">
        <v>23</v>
      </c>
      <c r="S405">
        <v>39</v>
      </c>
      <c r="T405" t="s">
        <v>26</v>
      </c>
      <c r="U405" s="8">
        <v>138</v>
      </c>
      <c r="V405" s="8">
        <f t="shared" si="58"/>
        <v>528</v>
      </c>
      <c r="W405" t="str">
        <f t="shared" si="59"/>
        <v>Sufficient Stock</v>
      </c>
      <c r="X405" s="9">
        <f t="shared" si="60"/>
        <v>45383</v>
      </c>
      <c r="Y405">
        <f t="shared" si="61"/>
        <v>112</v>
      </c>
      <c r="Z405" t="str">
        <f t="shared" si="62"/>
        <v>Medium Risk</v>
      </c>
    </row>
    <row r="406" spans="1:26" x14ac:dyDescent="0.4">
      <c r="A406" t="s">
        <v>1889</v>
      </c>
      <c r="B406" t="s">
        <v>989</v>
      </c>
      <c r="C406" t="s">
        <v>29</v>
      </c>
      <c r="D406" t="s">
        <v>1890</v>
      </c>
      <c r="E406" t="s">
        <v>1891</v>
      </c>
      <c r="F406">
        <v>14</v>
      </c>
      <c r="G406">
        <v>77</v>
      </c>
      <c r="H406">
        <v>78</v>
      </c>
      <c r="I406" t="s">
        <v>591</v>
      </c>
      <c r="J406" s="7">
        <f t="shared" si="54"/>
        <v>10</v>
      </c>
      <c r="K406" s="1">
        <v>45330</v>
      </c>
      <c r="L406" s="1">
        <f t="shared" si="55"/>
        <v>45330</v>
      </c>
      <c r="M406" t="s">
        <v>629</v>
      </c>
      <c r="N406" s="1">
        <f t="shared" si="56"/>
        <v>45532</v>
      </c>
      <c r="O406" s="1">
        <v>45300</v>
      </c>
      <c r="P406" s="1">
        <f t="shared" si="57"/>
        <v>45300</v>
      </c>
      <c r="Q406" t="s">
        <v>1892</v>
      </c>
      <c r="R406">
        <v>32</v>
      </c>
      <c r="S406">
        <v>24</v>
      </c>
      <c r="T406" t="s">
        <v>26</v>
      </c>
      <c r="U406" s="8">
        <v>320</v>
      </c>
      <c r="V406" s="8">
        <f t="shared" si="58"/>
        <v>140</v>
      </c>
      <c r="W406" t="str">
        <f t="shared" si="59"/>
        <v>Reorder Required</v>
      </c>
      <c r="X406" s="9">
        <f t="shared" si="60"/>
        <v>45323</v>
      </c>
      <c r="Y406">
        <f t="shared" si="61"/>
        <v>-30</v>
      </c>
      <c r="Z406" t="str">
        <f t="shared" si="62"/>
        <v>Invalid Data</v>
      </c>
    </row>
    <row r="407" spans="1:26" x14ac:dyDescent="0.4">
      <c r="A407" t="s">
        <v>1893</v>
      </c>
      <c r="B407" t="s">
        <v>677</v>
      </c>
      <c r="C407" t="s">
        <v>169</v>
      </c>
      <c r="D407" t="s">
        <v>1894</v>
      </c>
      <c r="E407" t="s">
        <v>1574</v>
      </c>
      <c r="F407">
        <v>85</v>
      </c>
      <c r="G407">
        <v>92</v>
      </c>
      <c r="H407">
        <v>66</v>
      </c>
      <c r="I407" t="s">
        <v>1895</v>
      </c>
      <c r="J407" s="7">
        <f t="shared" si="54"/>
        <v>6.7</v>
      </c>
      <c r="K407" t="s">
        <v>236</v>
      </c>
      <c r="L407" s="1">
        <f t="shared" si="55"/>
        <v>45379</v>
      </c>
      <c r="M407" s="1">
        <v>45658</v>
      </c>
      <c r="N407" s="1">
        <f t="shared" si="56"/>
        <v>45658</v>
      </c>
      <c r="O407" s="1">
        <v>45356</v>
      </c>
      <c r="P407" s="1">
        <f t="shared" si="57"/>
        <v>45356</v>
      </c>
      <c r="Q407" t="s">
        <v>1896</v>
      </c>
      <c r="R407">
        <v>54</v>
      </c>
      <c r="S407">
        <v>85</v>
      </c>
      <c r="T407" t="s">
        <v>42</v>
      </c>
      <c r="U407" s="8">
        <v>361.8</v>
      </c>
      <c r="V407" s="8">
        <f t="shared" si="58"/>
        <v>569.5</v>
      </c>
      <c r="W407" t="str">
        <f t="shared" si="59"/>
        <v>Reorder Required</v>
      </c>
      <c r="X407" s="9">
        <f t="shared" si="60"/>
        <v>45352</v>
      </c>
      <c r="Y407">
        <f t="shared" si="61"/>
        <v>-23</v>
      </c>
      <c r="Z407" t="str">
        <f t="shared" si="62"/>
        <v>Invalid Data</v>
      </c>
    </row>
    <row r="408" spans="1:26" x14ac:dyDescent="0.4">
      <c r="A408" t="s">
        <v>1897</v>
      </c>
      <c r="B408" t="s">
        <v>131</v>
      </c>
      <c r="C408" t="s">
        <v>77</v>
      </c>
      <c r="D408" t="s">
        <v>1898</v>
      </c>
      <c r="E408" t="s">
        <v>84</v>
      </c>
      <c r="F408">
        <v>74</v>
      </c>
      <c r="G408">
        <v>65</v>
      </c>
      <c r="H408">
        <v>5</v>
      </c>
      <c r="I408" t="s">
        <v>134</v>
      </c>
      <c r="J408" s="7">
        <f t="shared" si="54"/>
        <v>7</v>
      </c>
      <c r="K408" t="s">
        <v>585</v>
      </c>
      <c r="L408" s="1">
        <f t="shared" si="55"/>
        <v>45687</v>
      </c>
      <c r="M408" t="s">
        <v>854</v>
      </c>
      <c r="N408" s="1">
        <f t="shared" si="56"/>
        <v>45500</v>
      </c>
      <c r="O408" t="s">
        <v>495</v>
      </c>
      <c r="P408" s="1">
        <f t="shared" si="57"/>
        <v>45367</v>
      </c>
      <c r="Q408" t="s">
        <v>1899</v>
      </c>
      <c r="R408">
        <v>21</v>
      </c>
      <c r="S408">
        <v>42</v>
      </c>
      <c r="T408" t="s">
        <v>26</v>
      </c>
      <c r="U408" s="8">
        <v>147</v>
      </c>
      <c r="V408" s="8">
        <f t="shared" si="58"/>
        <v>518</v>
      </c>
      <c r="W408" t="str">
        <f t="shared" si="59"/>
        <v>Sufficient Stock</v>
      </c>
      <c r="X408" s="9">
        <f t="shared" si="60"/>
        <v>45658</v>
      </c>
      <c r="Y408">
        <f t="shared" si="61"/>
        <v>-320</v>
      </c>
      <c r="Z408" t="str">
        <f t="shared" si="62"/>
        <v>Invalid Data</v>
      </c>
    </row>
    <row r="409" spans="1:26" x14ac:dyDescent="0.4">
      <c r="A409" t="s">
        <v>1900</v>
      </c>
      <c r="B409" t="s">
        <v>923</v>
      </c>
      <c r="C409" t="s">
        <v>77</v>
      </c>
      <c r="D409" t="s">
        <v>1901</v>
      </c>
      <c r="E409" t="s">
        <v>1902</v>
      </c>
      <c r="F409">
        <v>21</v>
      </c>
      <c r="G409">
        <v>28</v>
      </c>
      <c r="H409">
        <v>72</v>
      </c>
      <c r="I409" t="s">
        <v>266</v>
      </c>
      <c r="J409" s="7">
        <f t="shared" si="54"/>
        <v>9</v>
      </c>
      <c r="K409" t="s">
        <v>366</v>
      </c>
      <c r="L409" s="1">
        <f t="shared" si="55"/>
        <v>45685</v>
      </c>
      <c r="M409" t="s">
        <v>592</v>
      </c>
      <c r="N409" s="1">
        <f t="shared" si="56"/>
        <v>45350</v>
      </c>
      <c r="O409" t="s">
        <v>656</v>
      </c>
      <c r="P409" s="1">
        <f t="shared" si="57"/>
        <v>45347</v>
      </c>
      <c r="Q409" t="s">
        <v>1903</v>
      </c>
      <c r="R409">
        <v>69</v>
      </c>
      <c r="S409">
        <v>51</v>
      </c>
      <c r="T409" t="s">
        <v>42</v>
      </c>
      <c r="U409" s="8">
        <v>621</v>
      </c>
      <c r="V409" s="8">
        <f t="shared" si="58"/>
        <v>189</v>
      </c>
      <c r="W409" t="str">
        <f t="shared" si="59"/>
        <v>Reorder Required</v>
      </c>
      <c r="X409" s="9">
        <f t="shared" si="60"/>
        <v>45658</v>
      </c>
      <c r="Y409">
        <f t="shared" si="61"/>
        <v>-338</v>
      </c>
      <c r="Z409" t="str">
        <f t="shared" si="62"/>
        <v>Invalid Data</v>
      </c>
    </row>
    <row r="410" spans="1:26" x14ac:dyDescent="0.4">
      <c r="A410" t="s">
        <v>1904</v>
      </c>
      <c r="B410" t="s">
        <v>533</v>
      </c>
      <c r="C410" t="s">
        <v>112</v>
      </c>
      <c r="D410" t="s">
        <v>1905</v>
      </c>
      <c r="E410" t="s">
        <v>1136</v>
      </c>
      <c r="F410">
        <v>22</v>
      </c>
      <c r="G410">
        <v>24</v>
      </c>
      <c r="H410">
        <v>94</v>
      </c>
      <c r="I410" t="s">
        <v>39</v>
      </c>
      <c r="J410" s="7">
        <f t="shared" si="54"/>
        <v>6</v>
      </c>
      <c r="K410" t="s">
        <v>1357</v>
      </c>
      <c r="L410" s="1">
        <f t="shared" si="55"/>
        <v>45492</v>
      </c>
      <c r="M410" t="s">
        <v>397</v>
      </c>
      <c r="N410" s="1">
        <f t="shared" si="56"/>
        <v>45494</v>
      </c>
      <c r="O410" t="s">
        <v>408</v>
      </c>
      <c r="P410" s="1">
        <f t="shared" si="57"/>
        <v>45609</v>
      </c>
      <c r="Q410" t="s">
        <v>1906</v>
      </c>
      <c r="R410">
        <v>47</v>
      </c>
      <c r="S410">
        <v>71</v>
      </c>
      <c r="T410" t="s">
        <v>51</v>
      </c>
      <c r="U410" s="8">
        <v>282</v>
      </c>
      <c r="V410" s="8">
        <f t="shared" si="58"/>
        <v>132</v>
      </c>
      <c r="W410" t="str">
        <f t="shared" si="59"/>
        <v>Reorder Required</v>
      </c>
      <c r="X410" s="9">
        <f t="shared" si="60"/>
        <v>45474</v>
      </c>
      <c r="Y410">
        <f t="shared" si="61"/>
        <v>117</v>
      </c>
      <c r="Z410" t="str">
        <f t="shared" si="62"/>
        <v>Medium Risk</v>
      </c>
    </row>
    <row r="411" spans="1:26" x14ac:dyDescent="0.4">
      <c r="A411" t="s">
        <v>1907</v>
      </c>
      <c r="B411" t="s">
        <v>447</v>
      </c>
      <c r="C411" t="s">
        <v>77</v>
      </c>
      <c r="D411" t="s">
        <v>1908</v>
      </c>
      <c r="E411" t="s">
        <v>801</v>
      </c>
      <c r="F411">
        <v>91</v>
      </c>
      <c r="G411">
        <v>14</v>
      </c>
      <c r="H411">
        <v>99</v>
      </c>
      <c r="I411" t="s">
        <v>39</v>
      </c>
      <c r="J411" s="7">
        <f t="shared" si="54"/>
        <v>6</v>
      </c>
      <c r="K411" s="1">
        <v>45932</v>
      </c>
      <c r="L411" s="1">
        <f t="shared" si="55"/>
        <v>45932</v>
      </c>
      <c r="M411" t="s">
        <v>286</v>
      </c>
      <c r="N411" s="1">
        <f t="shared" si="56"/>
        <v>45682</v>
      </c>
      <c r="O411" t="s">
        <v>1106</v>
      </c>
      <c r="P411" s="1">
        <f t="shared" si="57"/>
        <v>45679</v>
      </c>
      <c r="Q411" t="s">
        <v>1909</v>
      </c>
      <c r="R411">
        <v>50</v>
      </c>
      <c r="S411">
        <v>5</v>
      </c>
      <c r="T411" t="s">
        <v>42</v>
      </c>
      <c r="U411" s="8">
        <v>300</v>
      </c>
      <c r="V411" s="8">
        <f t="shared" si="58"/>
        <v>546</v>
      </c>
      <c r="W411" t="str">
        <f t="shared" si="59"/>
        <v>Sufficient Stock</v>
      </c>
      <c r="X411" s="9">
        <f t="shared" si="60"/>
        <v>45931</v>
      </c>
      <c r="Y411">
        <f t="shared" si="61"/>
        <v>-253</v>
      </c>
      <c r="Z411" t="str">
        <f t="shared" si="62"/>
        <v>Invalid Data</v>
      </c>
    </row>
    <row r="412" spans="1:26" x14ac:dyDescent="0.4">
      <c r="A412" t="s">
        <v>1910</v>
      </c>
      <c r="B412" t="s">
        <v>332</v>
      </c>
      <c r="C412" t="s">
        <v>112</v>
      </c>
      <c r="D412" t="s">
        <v>1911</v>
      </c>
      <c r="E412" t="s">
        <v>1891</v>
      </c>
      <c r="F412">
        <v>85</v>
      </c>
      <c r="G412">
        <v>57</v>
      </c>
      <c r="H412">
        <v>25</v>
      </c>
      <c r="I412" t="s">
        <v>242</v>
      </c>
      <c r="J412" s="7">
        <f t="shared" si="54"/>
        <v>3.5</v>
      </c>
      <c r="K412" t="s">
        <v>1597</v>
      </c>
      <c r="L412" s="1">
        <f t="shared" si="55"/>
        <v>45706</v>
      </c>
      <c r="M412" t="s">
        <v>428</v>
      </c>
      <c r="N412" s="1">
        <f t="shared" si="56"/>
        <v>45561</v>
      </c>
      <c r="O412" t="s">
        <v>73</v>
      </c>
      <c r="P412" s="1">
        <f t="shared" si="57"/>
        <v>45463</v>
      </c>
      <c r="Q412" t="s">
        <v>1912</v>
      </c>
      <c r="R412">
        <v>30</v>
      </c>
      <c r="S412">
        <v>42</v>
      </c>
      <c r="T412" t="s">
        <v>26</v>
      </c>
      <c r="U412" s="8">
        <v>105</v>
      </c>
      <c r="V412" s="8">
        <f t="shared" si="58"/>
        <v>297.5</v>
      </c>
      <c r="W412" t="str">
        <f t="shared" si="59"/>
        <v>Sufficient Stock</v>
      </c>
      <c r="X412" s="9">
        <f t="shared" si="60"/>
        <v>45689</v>
      </c>
      <c r="Y412">
        <f t="shared" si="61"/>
        <v>-243</v>
      </c>
      <c r="Z412" t="str">
        <f t="shared" si="62"/>
        <v>Invalid Data</v>
      </c>
    </row>
    <row r="413" spans="1:26" x14ac:dyDescent="0.4">
      <c r="A413" t="s">
        <v>1913</v>
      </c>
      <c r="B413" t="s">
        <v>539</v>
      </c>
      <c r="C413" t="s">
        <v>54</v>
      </c>
      <c r="D413" t="s">
        <v>1914</v>
      </c>
      <c r="E413" t="s">
        <v>1915</v>
      </c>
      <c r="F413">
        <v>12</v>
      </c>
      <c r="G413">
        <v>28</v>
      </c>
      <c r="H413">
        <v>11</v>
      </c>
      <c r="I413" t="s">
        <v>85</v>
      </c>
      <c r="J413" s="7">
        <f t="shared" si="54"/>
        <v>3</v>
      </c>
      <c r="K413" t="s">
        <v>566</v>
      </c>
      <c r="L413" s="1">
        <f t="shared" si="55"/>
        <v>45430</v>
      </c>
      <c r="M413" s="1">
        <v>45778</v>
      </c>
      <c r="N413" s="1">
        <f t="shared" si="56"/>
        <v>45778</v>
      </c>
      <c r="O413" t="s">
        <v>49</v>
      </c>
      <c r="P413" s="1">
        <f t="shared" si="57"/>
        <v>45399</v>
      </c>
      <c r="Q413" t="s">
        <v>1916</v>
      </c>
      <c r="R413">
        <v>46</v>
      </c>
      <c r="S413">
        <v>88</v>
      </c>
      <c r="T413" t="s">
        <v>42</v>
      </c>
      <c r="U413" s="8">
        <v>138</v>
      </c>
      <c r="V413" s="8">
        <f t="shared" si="58"/>
        <v>36</v>
      </c>
      <c r="W413" t="str">
        <f t="shared" si="59"/>
        <v>Reorder Required</v>
      </c>
      <c r="X413" s="9">
        <f t="shared" si="60"/>
        <v>45413</v>
      </c>
      <c r="Y413">
        <f t="shared" si="61"/>
        <v>-31</v>
      </c>
      <c r="Z413" t="str">
        <f t="shared" si="62"/>
        <v>Invalid Data</v>
      </c>
    </row>
    <row r="414" spans="1:26" x14ac:dyDescent="0.4">
      <c r="A414" t="s">
        <v>1917</v>
      </c>
      <c r="B414" t="s">
        <v>722</v>
      </c>
      <c r="C414" t="s">
        <v>54</v>
      </c>
      <c r="D414" t="s">
        <v>1918</v>
      </c>
      <c r="E414" t="s">
        <v>1919</v>
      </c>
      <c r="F414">
        <v>43</v>
      </c>
      <c r="G414">
        <v>65</v>
      </c>
      <c r="H414">
        <v>66</v>
      </c>
      <c r="I414" t="s">
        <v>39</v>
      </c>
      <c r="J414" s="7">
        <f t="shared" si="54"/>
        <v>6</v>
      </c>
      <c r="K414" t="s">
        <v>192</v>
      </c>
      <c r="L414" s="1">
        <f t="shared" si="55"/>
        <v>45647</v>
      </c>
      <c r="M414" s="1">
        <v>45360</v>
      </c>
      <c r="N414" s="1">
        <f t="shared" si="56"/>
        <v>45360</v>
      </c>
      <c r="O414" t="s">
        <v>467</v>
      </c>
      <c r="P414" s="1">
        <f t="shared" si="57"/>
        <v>45673</v>
      </c>
      <c r="Q414" t="s">
        <v>1920</v>
      </c>
      <c r="R414">
        <v>78</v>
      </c>
      <c r="S414">
        <v>73</v>
      </c>
      <c r="T414" t="s">
        <v>42</v>
      </c>
      <c r="U414" s="8">
        <v>468</v>
      </c>
      <c r="V414" s="8">
        <f t="shared" si="58"/>
        <v>258</v>
      </c>
      <c r="W414" t="str">
        <f t="shared" si="59"/>
        <v>Reorder Required</v>
      </c>
      <c r="X414" s="9">
        <f t="shared" si="60"/>
        <v>45627</v>
      </c>
      <c r="Y414">
        <f t="shared" si="61"/>
        <v>26</v>
      </c>
      <c r="Z414" t="str">
        <f t="shared" si="62"/>
        <v>Critical</v>
      </c>
    </row>
    <row r="415" spans="1:26" x14ac:dyDescent="0.4">
      <c r="A415" t="s">
        <v>1921</v>
      </c>
      <c r="B415" t="s">
        <v>1485</v>
      </c>
      <c r="C415" t="s">
        <v>77</v>
      </c>
      <c r="D415" t="s">
        <v>1922</v>
      </c>
      <c r="E415" t="s">
        <v>1271</v>
      </c>
      <c r="F415">
        <v>92</v>
      </c>
      <c r="G415">
        <v>92</v>
      </c>
      <c r="H415">
        <v>28</v>
      </c>
      <c r="I415" t="s">
        <v>63</v>
      </c>
      <c r="J415" s="7">
        <f t="shared" si="54"/>
        <v>1.75</v>
      </c>
      <c r="K415" t="s">
        <v>299</v>
      </c>
      <c r="L415" s="1">
        <f t="shared" si="55"/>
        <v>45678</v>
      </c>
      <c r="M415" s="1">
        <v>45574</v>
      </c>
      <c r="N415" s="1">
        <f t="shared" si="56"/>
        <v>45574</v>
      </c>
      <c r="O415" t="s">
        <v>293</v>
      </c>
      <c r="P415" s="1">
        <f t="shared" si="57"/>
        <v>45648</v>
      </c>
      <c r="Q415" t="s">
        <v>1923</v>
      </c>
      <c r="R415">
        <v>50</v>
      </c>
      <c r="S415">
        <v>67</v>
      </c>
      <c r="T415" t="s">
        <v>26</v>
      </c>
      <c r="U415" s="8">
        <v>87.5</v>
      </c>
      <c r="V415" s="8">
        <f t="shared" si="58"/>
        <v>161</v>
      </c>
      <c r="W415" t="str">
        <f t="shared" si="59"/>
        <v>Reorder Required</v>
      </c>
      <c r="X415" s="9">
        <f t="shared" si="60"/>
        <v>45658</v>
      </c>
      <c r="Y415">
        <f t="shared" si="61"/>
        <v>-30</v>
      </c>
      <c r="Z415" t="str">
        <f t="shared" si="62"/>
        <v>Invalid Data</v>
      </c>
    </row>
    <row r="416" spans="1:26" x14ac:dyDescent="0.4">
      <c r="A416" t="s">
        <v>1924</v>
      </c>
      <c r="B416" t="s">
        <v>994</v>
      </c>
      <c r="C416" t="s">
        <v>54</v>
      </c>
      <c r="D416" t="s">
        <v>1925</v>
      </c>
      <c r="E416" t="s">
        <v>1926</v>
      </c>
      <c r="F416">
        <v>23</v>
      </c>
      <c r="G416">
        <v>85</v>
      </c>
      <c r="H416">
        <v>94</v>
      </c>
      <c r="I416" t="s">
        <v>85</v>
      </c>
      <c r="J416" s="7">
        <f t="shared" si="54"/>
        <v>3</v>
      </c>
      <c r="K416" s="1">
        <v>45636</v>
      </c>
      <c r="L416" s="1">
        <f t="shared" si="55"/>
        <v>45636</v>
      </c>
      <c r="M416" t="s">
        <v>274</v>
      </c>
      <c r="N416" s="1">
        <f t="shared" si="56"/>
        <v>45496</v>
      </c>
      <c r="O416" t="s">
        <v>366</v>
      </c>
      <c r="P416" s="1">
        <f t="shared" si="57"/>
        <v>45685</v>
      </c>
      <c r="Q416" t="s">
        <v>1927</v>
      </c>
      <c r="R416">
        <v>92</v>
      </c>
      <c r="S416">
        <v>72</v>
      </c>
      <c r="T416" t="s">
        <v>42</v>
      </c>
      <c r="U416" s="8">
        <v>276</v>
      </c>
      <c r="V416" s="8">
        <f t="shared" si="58"/>
        <v>69</v>
      </c>
      <c r="W416" t="str">
        <f t="shared" si="59"/>
        <v>Reorder Required</v>
      </c>
      <c r="X416" s="9">
        <f t="shared" si="60"/>
        <v>45627</v>
      </c>
      <c r="Y416">
        <f t="shared" si="61"/>
        <v>49</v>
      </c>
      <c r="Z416" t="str">
        <f t="shared" si="62"/>
        <v>High Risk</v>
      </c>
    </row>
    <row r="417" spans="1:26" x14ac:dyDescent="0.4">
      <c r="A417" t="s">
        <v>1928</v>
      </c>
      <c r="B417" t="s">
        <v>88</v>
      </c>
      <c r="C417" t="s">
        <v>77</v>
      </c>
      <c r="D417" t="s">
        <v>1929</v>
      </c>
      <c r="E417" t="s">
        <v>1930</v>
      </c>
      <c r="F417">
        <v>77</v>
      </c>
      <c r="G417">
        <v>1</v>
      </c>
      <c r="H417">
        <v>41</v>
      </c>
      <c r="I417" t="s">
        <v>91</v>
      </c>
      <c r="J417" s="7">
        <f t="shared" si="54"/>
        <v>1</v>
      </c>
      <c r="K417" s="1">
        <v>45423</v>
      </c>
      <c r="L417" s="1">
        <f t="shared" si="55"/>
        <v>45423</v>
      </c>
      <c r="M417" s="1">
        <v>45779</v>
      </c>
      <c r="N417" s="1">
        <f t="shared" si="56"/>
        <v>45779</v>
      </c>
      <c r="O417" t="s">
        <v>549</v>
      </c>
      <c r="P417" s="1">
        <f t="shared" si="57"/>
        <v>45372</v>
      </c>
      <c r="Q417" t="s">
        <v>1931</v>
      </c>
      <c r="R417">
        <v>58</v>
      </c>
      <c r="S417">
        <v>55</v>
      </c>
      <c r="T417" t="s">
        <v>26</v>
      </c>
      <c r="U417" s="8">
        <v>58</v>
      </c>
      <c r="V417" s="8">
        <f t="shared" si="58"/>
        <v>77</v>
      </c>
      <c r="W417" t="str">
        <f t="shared" si="59"/>
        <v>Sufficient Stock</v>
      </c>
      <c r="X417" s="9">
        <f t="shared" si="60"/>
        <v>45413</v>
      </c>
      <c r="Y417">
        <f t="shared" si="61"/>
        <v>-51</v>
      </c>
      <c r="Z417" t="str">
        <f t="shared" si="62"/>
        <v>Invalid Data</v>
      </c>
    </row>
    <row r="418" spans="1:26" x14ac:dyDescent="0.4">
      <c r="A418" t="s">
        <v>1932</v>
      </c>
      <c r="B418" t="s">
        <v>1814</v>
      </c>
      <c r="C418" t="s">
        <v>54</v>
      </c>
      <c r="D418" t="s">
        <v>1933</v>
      </c>
      <c r="E418" t="s">
        <v>968</v>
      </c>
      <c r="F418">
        <v>65</v>
      </c>
      <c r="G418">
        <v>10</v>
      </c>
      <c r="H418">
        <v>81</v>
      </c>
      <c r="I418" t="s">
        <v>106</v>
      </c>
      <c r="J418" s="7">
        <f t="shared" si="54"/>
        <v>2</v>
      </c>
      <c r="K418" t="s">
        <v>422</v>
      </c>
      <c r="L418" s="1">
        <f t="shared" si="55"/>
        <v>45531</v>
      </c>
      <c r="M418" s="1">
        <v>45993</v>
      </c>
      <c r="N418" s="1">
        <f t="shared" si="56"/>
        <v>45993</v>
      </c>
      <c r="O418" s="1">
        <v>45509</v>
      </c>
      <c r="P418" s="1">
        <f t="shared" si="57"/>
        <v>45509</v>
      </c>
      <c r="Q418" t="s">
        <v>1934</v>
      </c>
      <c r="R418">
        <v>71</v>
      </c>
      <c r="S418">
        <v>61</v>
      </c>
      <c r="T418" t="s">
        <v>42</v>
      </c>
      <c r="U418" s="8">
        <v>142</v>
      </c>
      <c r="V418" s="8">
        <f t="shared" si="58"/>
        <v>130</v>
      </c>
      <c r="W418" t="str">
        <f t="shared" si="59"/>
        <v>Sufficient Stock</v>
      </c>
      <c r="X418" s="9">
        <f t="shared" si="60"/>
        <v>45505</v>
      </c>
      <c r="Y418">
        <f t="shared" si="61"/>
        <v>-22</v>
      </c>
      <c r="Z418" t="str">
        <f t="shared" si="62"/>
        <v>Invalid Data</v>
      </c>
    </row>
    <row r="419" spans="1:26" x14ac:dyDescent="0.4">
      <c r="A419" t="s">
        <v>1935</v>
      </c>
      <c r="B419" t="s">
        <v>709</v>
      </c>
      <c r="C419" t="s">
        <v>54</v>
      </c>
      <c r="D419" t="s">
        <v>1936</v>
      </c>
      <c r="E419" t="s">
        <v>1385</v>
      </c>
      <c r="F419">
        <v>82</v>
      </c>
      <c r="G419">
        <v>29</v>
      </c>
      <c r="H419">
        <v>62</v>
      </c>
      <c r="I419" t="s">
        <v>1937</v>
      </c>
      <c r="J419" s="7">
        <f t="shared" si="54"/>
        <v>15.31</v>
      </c>
      <c r="K419" s="1">
        <v>45512</v>
      </c>
      <c r="L419" s="1">
        <f t="shared" si="55"/>
        <v>45512</v>
      </c>
      <c r="M419" t="s">
        <v>72</v>
      </c>
      <c r="N419" s="1">
        <f t="shared" si="56"/>
        <v>45369</v>
      </c>
      <c r="O419" s="1">
        <v>45547</v>
      </c>
      <c r="P419" s="1">
        <f t="shared" si="57"/>
        <v>45547</v>
      </c>
      <c r="Q419" t="s">
        <v>1938</v>
      </c>
      <c r="R419">
        <v>77</v>
      </c>
      <c r="S419">
        <v>27</v>
      </c>
      <c r="T419" t="s">
        <v>42</v>
      </c>
      <c r="U419" s="8">
        <v>1178.8700000000001</v>
      </c>
      <c r="V419" s="8">
        <f t="shared" si="58"/>
        <v>1255.42</v>
      </c>
      <c r="W419" t="str">
        <f t="shared" si="59"/>
        <v>Sufficient Stock</v>
      </c>
      <c r="X419" s="9">
        <f t="shared" si="60"/>
        <v>45505</v>
      </c>
      <c r="Y419">
        <f t="shared" si="61"/>
        <v>35</v>
      </c>
      <c r="Z419" t="str">
        <f t="shared" si="62"/>
        <v>High Risk</v>
      </c>
    </row>
    <row r="420" spans="1:26" x14ac:dyDescent="0.4">
      <c r="A420" t="s">
        <v>1939</v>
      </c>
      <c r="B420" t="s">
        <v>144</v>
      </c>
      <c r="C420" t="s">
        <v>77</v>
      </c>
      <c r="D420" t="s">
        <v>1940</v>
      </c>
      <c r="E420" t="s">
        <v>1292</v>
      </c>
      <c r="F420">
        <v>20</v>
      </c>
      <c r="G420">
        <v>17</v>
      </c>
      <c r="H420">
        <v>71</v>
      </c>
      <c r="I420" t="s">
        <v>147</v>
      </c>
      <c r="J420" s="7">
        <f t="shared" si="54"/>
        <v>8</v>
      </c>
      <c r="K420" t="s">
        <v>548</v>
      </c>
      <c r="L420" s="1">
        <f t="shared" si="55"/>
        <v>45587</v>
      </c>
      <c r="M420" s="1">
        <v>45839</v>
      </c>
      <c r="N420" s="1">
        <f t="shared" si="56"/>
        <v>45839</v>
      </c>
      <c r="O420" t="s">
        <v>141</v>
      </c>
      <c r="P420" s="1">
        <f t="shared" si="57"/>
        <v>45612</v>
      </c>
      <c r="Q420" t="s">
        <v>1941</v>
      </c>
      <c r="R420">
        <v>50</v>
      </c>
      <c r="S420">
        <v>65</v>
      </c>
      <c r="T420" t="s">
        <v>51</v>
      </c>
      <c r="U420" s="8">
        <v>400</v>
      </c>
      <c r="V420" s="8">
        <f t="shared" si="58"/>
        <v>160</v>
      </c>
      <c r="W420" t="str">
        <f t="shared" si="59"/>
        <v>Sufficient Stock</v>
      </c>
      <c r="X420" s="9">
        <f t="shared" si="60"/>
        <v>45566</v>
      </c>
      <c r="Y420">
        <f t="shared" si="61"/>
        <v>25</v>
      </c>
      <c r="Z420" t="str">
        <f t="shared" si="62"/>
        <v>Critical</v>
      </c>
    </row>
    <row r="421" spans="1:26" x14ac:dyDescent="0.4">
      <c r="A421" t="s">
        <v>1942</v>
      </c>
      <c r="B421" t="s">
        <v>923</v>
      </c>
      <c r="C421" t="s">
        <v>77</v>
      </c>
      <c r="D421" t="s">
        <v>1943</v>
      </c>
      <c r="E421" t="s">
        <v>90</v>
      </c>
      <c r="F421">
        <v>31</v>
      </c>
      <c r="G421">
        <v>65</v>
      </c>
      <c r="H421">
        <v>94</v>
      </c>
      <c r="I421" t="s">
        <v>266</v>
      </c>
      <c r="J421" s="7">
        <f t="shared" si="54"/>
        <v>9</v>
      </c>
      <c r="K421" s="1">
        <v>45363</v>
      </c>
      <c r="L421" s="1">
        <f t="shared" si="55"/>
        <v>45363</v>
      </c>
      <c r="M421" t="s">
        <v>383</v>
      </c>
      <c r="N421" s="1">
        <f t="shared" si="56"/>
        <v>45582</v>
      </c>
      <c r="O421" s="1">
        <v>45446</v>
      </c>
      <c r="P421" s="1">
        <f t="shared" si="57"/>
        <v>45446</v>
      </c>
      <c r="Q421" t="s">
        <v>1944</v>
      </c>
      <c r="R421">
        <v>63</v>
      </c>
      <c r="S421">
        <v>7</v>
      </c>
      <c r="T421" t="s">
        <v>42</v>
      </c>
      <c r="U421" s="8">
        <v>567</v>
      </c>
      <c r="V421" s="8">
        <f t="shared" si="58"/>
        <v>279</v>
      </c>
      <c r="W421" t="str">
        <f t="shared" si="59"/>
        <v>Reorder Required</v>
      </c>
      <c r="X421" s="9">
        <f t="shared" si="60"/>
        <v>45352</v>
      </c>
      <c r="Y421">
        <f t="shared" si="61"/>
        <v>83</v>
      </c>
      <c r="Z421" t="str">
        <f t="shared" si="62"/>
        <v>High Risk</v>
      </c>
    </row>
    <row r="422" spans="1:26" x14ac:dyDescent="0.4">
      <c r="A422" t="s">
        <v>1945</v>
      </c>
      <c r="B422" t="s">
        <v>325</v>
      </c>
      <c r="C422" t="s">
        <v>77</v>
      </c>
      <c r="D422" t="s">
        <v>1946</v>
      </c>
      <c r="E422" t="s">
        <v>1947</v>
      </c>
      <c r="F422">
        <v>36</v>
      </c>
      <c r="G422">
        <v>75</v>
      </c>
      <c r="H422">
        <v>35</v>
      </c>
      <c r="I422" t="s">
        <v>407</v>
      </c>
      <c r="J422" s="7">
        <f t="shared" si="54"/>
        <v>2.9</v>
      </c>
      <c r="K422" t="s">
        <v>1053</v>
      </c>
      <c r="L422" s="1">
        <f t="shared" si="55"/>
        <v>45395</v>
      </c>
      <c r="M422" t="s">
        <v>579</v>
      </c>
      <c r="N422" s="1">
        <f t="shared" si="56"/>
        <v>45460</v>
      </c>
      <c r="O422" t="s">
        <v>1418</v>
      </c>
      <c r="P422" s="1">
        <f t="shared" si="57"/>
        <v>45619</v>
      </c>
      <c r="Q422" t="s">
        <v>1948</v>
      </c>
      <c r="R422">
        <v>26</v>
      </c>
      <c r="S422">
        <v>41</v>
      </c>
      <c r="T422" t="s">
        <v>26</v>
      </c>
      <c r="U422" s="8">
        <v>75.399999999999991</v>
      </c>
      <c r="V422" s="8">
        <f t="shared" si="58"/>
        <v>104.39999999999999</v>
      </c>
      <c r="W422" t="str">
        <f t="shared" si="59"/>
        <v>Reorder Required</v>
      </c>
      <c r="X422" s="9">
        <f t="shared" si="60"/>
        <v>45383</v>
      </c>
      <c r="Y422">
        <f t="shared" si="61"/>
        <v>224</v>
      </c>
      <c r="Z422" t="str">
        <f t="shared" si="62"/>
        <v>Low Risk</v>
      </c>
    </row>
    <row r="423" spans="1:26" x14ac:dyDescent="0.4">
      <c r="A423" t="s">
        <v>1949</v>
      </c>
      <c r="B423" t="s">
        <v>431</v>
      </c>
      <c r="C423" t="s">
        <v>29</v>
      </c>
      <c r="D423" t="s">
        <v>1950</v>
      </c>
      <c r="E423" t="s">
        <v>535</v>
      </c>
      <c r="F423">
        <v>59</v>
      </c>
      <c r="G423">
        <v>20</v>
      </c>
      <c r="H423">
        <v>17</v>
      </c>
      <c r="I423" t="s">
        <v>220</v>
      </c>
      <c r="J423" s="7">
        <f t="shared" si="54"/>
        <v>5</v>
      </c>
      <c r="K423" s="1">
        <v>45455</v>
      </c>
      <c r="L423" s="1">
        <f t="shared" si="55"/>
        <v>45455</v>
      </c>
      <c r="M423" t="s">
        <v>127</v>
      </c>
      <c r="N423" s="1">
        <f t="shared" si="56"/>
        <v>45473</v>
      </c>
      <c r="O423" s="1">
        <v>45632</v>
      </c>
      <c r="P423" s="1">
        <f t="shared" si="57"/>
        <v>45632</v>
      </c>
      <c r="Q423" t="s">
        <v>1951</v>
      </c>
      <c r="R423">
        <v>45</v>
      </c>
      <c r="S423">
        <v>15</v>
      </c>
      <c r="T423" t="s">
        <v>26</v>
      </c>
      <c r="U423" s="8">
        <v>225</v>
      </c>
      <c r="V423" s="8">
        <f t="shared" si="58"/>
        <v>295</v>
      </c>
      <c r="W423" t="str">
        <f t="shared" si="59"/>
        <v>Sufficient Stock</v>
      </c>
      <c r="X423" s="9">
        <f t="shared" si="60"/>
        <v>45444</v>
      </c>
      <c r="Y423">
        <f t="shared" si="61"/>
        <v>177</v>
      </c>
      <c r="Z423" t="str">
        <f t="shared" si="62"/>
        <v>Medium Risk</v>
      </c>
    </row>
    <row r="424" spans="1:26" x14ac:dyDescent="0.4">
      <c r="A424" t="s">
        <v>1952</v>
      </c>
      <c r="B424" t="s">
        <v>44</v>
      </c>
      <c r="C424" t="s">
        <v>18</v>
      </c>
      <c r="D424" t="s">
        <v>1953</v>
      </c>
      <c r="E424" t="s">
        <v>365</v>
      </c>
      <c r="F424">
        <v>11</v>
      </c>
      <c r="G424">
        <v>10</v>
      </c>
      <c r="H424">
        <v>80</v>
      </c>
      <c r="I424" t="s">
        <v>47</v>
      </c>
      <c r="J424" s="7">
        <f t="shared" si="54"/>
        <v>1.5</v>
      </c>
      <c r="K424" s="1">
        <v>45418</v>
      </c>
      <c r="L424" s="1">
        <f t="shared" si="55"/>
        <v>45418</v>
      </c>
      <c r="M424" t="s">
        <v>1351</v>
      </c>
      <c r="N424" s="1">
        <f t="shared" si="56"/>
        <v>45562</v>
      </c>
      <c r="O424" s="1">
        <v>45330</v>
      </c>
      <c r="P424" s="1">
        <f t="shared" si="57"/>
        <v>45330</v>
      </c>
      <c r="Q424" t="s">
        <v>1954</v>
      </c>
      <c r="R424">
        <v>48</v>
      </c>
      <c r="S424">
        <v>65</v>
      </c>
      <c r="T424" t="s">
        <v>26</v>
      </c>
      <c r="U424" s="8">
        <v>72</v>
      </c>
      <c r="V424" s="8">
        <f t="shared" si="58"/>
        <v>16.5</v>
      </c>
      <c r="W424" t="str">
        <f t="shared" si="59"/>
        <v>Sufficient Stock</v>
      </c>
      <c r="X424" s="9">
        <f t="shared" si="60"/>
        <v>45413</v>
      </c>
      <c r="Y424">
        <f t="shared" si="61"/>
        <v>-88</v>
      </c>
      <c r="Z424" t="str">
        <f t="shared" si="62"/>
        <v>Invalid Data</v>
      </c>
    </row>
    <row r="425" spans="1:26" x14ac:dyDescent="0.4">
      <c r="A425" t="s">
        <v>1955</v>
      </c>
      <c r="B425" t="s">
        <v>318</v>
      </c>
      <c r="C425" t="s">
        <v>29</v>
      </c>
      <c r="D425" t="s">
        <v>1956</v>
      </c>
      <c r="E425" t="s">
        <v>1957</v>
      </c>
      <c r="F425">
        <v>24</v>
      </c>
      <c r="G425">
        <v>77</v>
      </c>
      <c r="H425">
        <v>32</v>
      </c>
      <c r="I425" t="s">
        <v>1958</v>
      </c>
      <c r="J425" s="7">
        <f t="shared" si="54"/>
        <v>15.5</v>
      </c>
      <c r="K425" t="s">
        <v>72</v>
      </c>
      <c r="L425" s="1">
        <f t="shared" si="55"/>
        <v>45369</v>
      </c>
      <c r="M425" s="1">
        <v>45571</v>
      </c>
      <c r="N425" s="1">
        <f t="shared" si="56"/>
        <v>45571</v>
      </c>
      <c r="O425" s="1">
        <v>45385</v>
      </c>
      <c r="P425" s="1">
        <f t="shared" si="57"/>
        <v>45385</v>
      </c>
      <c r="Q425" t="s">
        <v>1959</v>
      </c>
      <c r="R425">
        <v>80</v>
      </c>
      <c r="S425">
        <v>42</v>
      </c>
      <c r="T425" t="s">
        <v>26</v>
      </c>
      <c r="U425" s="8">
        <v>1240</v>
      </c>
      <c r="V425" s="8">
        <f t="shared" si="58"/>
        <v>372</v>
      </c>
      <c r="W425" t="str">
        <f t="shared" si="59"/>
        <v>Reorder Required</v>
      </c>
      <c r="X425" s="9">
        <f t="shared" si="60"/>
        <v>45352</v>
      </c>
      <c r="Y425">
        <f t="shared" si="61"/>
        <v>16</v>
      </c>
      <c r="Z425" t="str">
        <f t="shared" si="62"/>
        <v>Critical</v>
      </c>
    </row>
    <row r="426" spans="1:26" x14ac:dyDescent="0.4">
      <c r="A426" t="s">
        <v>1960</v>
      </c>
      <c r="B426" t="s">
        <v>263</v>
      </c>
      <c r="C426" t="s">
        <v>169</v>
      </c>
      <c r="D426" t="s">
        <v>1961</v>
      </c>
      <c r="E426" t="s">
        <v>1962</v>
      </c>
      <c r="F426">
        <v>75</v>
      </c>
      <c r="G426">
        <v>80</v>
      </c>
      <c r="H426">
        <v>87</v>
      </c>
      <c r="I426" t="s">
        <v>266</v>
      </c>
      <c r="J426" s="7">
        <f t="shared" si="54"/>
        <v>9</v>
      </c>
      <c r="K426" s="1">
        <v>45450</v>
      </c>
      <c r="L426" s="1">
        <f t="shared" si="55"/>
        <v>45450</v>
      </c>
      <c r="M426" s="1">
        <v>45361</v>
      </c>
      <c r="N426" s="1">
        <f t="shared" si="56"/>
        <v>45361</v>
      </c>
      <c r="O426" t="s">
        <v>301</v>
      </c>
      <c r="P426" s="1">
        <f t="shared" si="57"/>
        <v>45528</v>
      </c>
      <c r="Q426" t="s">
        <v>1963</v>
      </c>
      <c r="R426">
        <v>49</v>
      </c>
      <c r="S426">
        <v>40</v>
      </c>
      <c r="T426" t="s">
        <v>42</v>
      </c>
      <c r="U426" s="8">
        <v>441</v>
      </c>
      <c r="V426" s="8">
        <f t="shared" si="58"/>
        <v>675</v>
      </c>
      <c r="W426" t="str">
        <f t="shared" si="59"/>
        <v>Reorder Required</v>
      </c>
      <c r="X426" s="9">
        <f t="shared" si="60"/>
        <v>45444</v>
      </c>
      <c r="Y426">
        <f t="shared" si="61"/>
        <v>78</v>
      </c>
      <c r="Z426" t="str">
        <f t="shared" si="62"/>
        <v>High Risk</v>
      </c>
    </row>
    <row r="427" spans="1:26" x14ac:dyDescent="0.4">
      <c r="A427" t="s">
        <v>1964</v>
      </c>
      <c r="B427" t="s">
        <v>318</v>
      </c>
      <c r="C427" t="s">
        <v>29</v>
      </c>
      <c r="D427" t="s">
        <v>1965</v>
      </c>
      <c r="E427" t="s">
        <v>133</v>
      </c>
      <c r="F427">
        <v>11</v>
      </c>
      <c r="G427">
        <v>72</v>
      </c>
      <c r="H427">
        <v>5</v>
      </c>
      <c r="I427" t="s">
        <v>320</v>
      </c>
      <c r="J427" s="7">
        <f t="shared" si="54"/>
        <v>15</v>
      </c>
      <c r="K427" s="1">
        <v>45511</v>
      </c>
      <c r="L427" s="1">
        <f t="shared" si="55"/>
        <v>45511</v>
      </c>
      <c r="M427" s="1">
        <v>45606</v>
      </c>
      <c r="N427" s="1">
        <f t="shared" si="56"/>
        <v>45606</v>
      </c>
      <c r="O427" s="1">
        <v>45963</v>
      </c>
      <c r="P427" s="1">
        <f t="shared" si="57"/>
        <v>45963</v>
      </c>
      <c r="Q427" t="s">
        <v>1966</v>
      </c>
      <c r="R427">
        <v>89</v>
      </c>
      <c r="S427">
        <v>4</v>
      </c>
      <c r="T427" t="s">
        <v>51</v>
      </c>
      <c r="U427" s="8">
        <v>1335</v>
      </c>
      <c r="V427" s="8">
        <f t="shared" si="58"/>
        <v>165</v>
      </c>
      <c r="W427" t="str">
        <f t="shared" si="59"/>
        <v>Reorder Required</v>
      </c>
      <c r="X427" s="9">
        <f t="shared" si="60"/>
        <v>45505</v>
      </c>
      <c r="Y427">
        <f t="shared" si="61"/>
        <v>452</v>
      </c>
      <c r="Z427" t="str">
        <f t="shared" si="62"/>
        <v>Safe</v>
      </c>
    </row>
    <row r="428" spans="1:26" x14ac:dyDescent="0.4">
      <c r="A428" t="s">
        <v>1967</v>
      </c>
      <c r="B428" t="s">
        <v>1017</v>
      </c>
      <c r="C428" t="s">
        <v>169</v>
      </c>
      <c r="D428" t="s">
        <v>1968</v>
      </c>
      <c r="E428" t="s">
        <v>1718</v>
      </c>
      <c r="F428">
        <v>60</v>
      </c>
      <c r="G428">
        <v>64</v>
      </c>
      <c r="H428">
        <v>36</v>
      </c>
      <c r="I428" t="s">
        <v>591</v>
      </c>
      <c r="J428" s="7">
        <f t="shared" si="54"/>
        <v>10</v>
      </c>
      <c r="K428" s="1">
        <v>45331</v>
      </c>
      <c r="L428" s="1">
        <f t="shared" si="55"/>
        <v>45331</v>
      </c>
      <c r="M428" t="s">
        <v>656</v>
      </c>
      <c r="N428" s="1">
        <f t="shared" si="56"/>
        <v>45347</v>
      </c>
      <c r="O428" t="s">
        <v>353</v>
      </c>
      <c r="P428" s="1">
        <f t="shared" si="57"/>
        <v>45703</v>
      </c>
      <c r="Q428" t="s">
        <v>1969</v>
      </c>
      <c r="R428">
        <v>34</v>
      </c>
      <c r="S428">
        <v>48</v>
      </c>
      <c r="T428" t="s">
        <v>26</v>
      </c>
      <c r="U428" s="8">
        <v>340</v>
      </c>
      <c r="V428" s="8">
        <f t="shared" si="58"/>
        <v>600</v>
      </c>
      <c r="W428" t="str">
        <f t="shared" si="59"/>
        <v>Reorder Required</v>
      </c>
      <c r="X428" s="9">
        <f t="shared" si="60"/>
        <v>45323</v>
      </c>
      <c r="Y428">
        <f t="shared" si="61"/>
        <v>372</v>
      </c>
      <c r="Z428" t="str">
        <f t="shared" si="62"/>
        <v>Safe</v>
      </c>
    </row>
    <row r="429" spans="1:26" x14ac:dyDescent="0.4">
      <c r="A429" t="s">
        <v>1970</v>
      </c>
      <c r="B429" t="s">
        <v>311</v>
      </c>
      <c r="C429" t="s">
        <v>54</v>
      </c>
      <c r="D429" t="s">
        <v>1971</v>
      </c>
      <c r="E429" t="s">
        <v>1467</v>
      </c>
      <c r="F429">
        <v>91</v>
      </c>
      <c r="G429">
        <v>6</v>
      </c>
      <c r="H429">
        <v>37</v>
      </c>
      <c r="I429" t="s">
        <v>554</v>
      </c>
      <c r="J429" s="7">
        <f t="shared" si="54"/>
        <v>2.4</v>
      </c>
      <c r="K429" s="1">
        <v>45296</v>
      </c>
      <c r="L429" s="1">
        <f t="shared" si="55"/>
        <v>45296</v>
      </c>
      <c r="M429" s="1">
        <v>45481</v>
      </c>
      <c r="N429" s="1">
        <f t="shared" si="56"/>
        <v>45481</v>
      </c>
      <c r="O429" s="1">
        <v>45451</v>
      </c>
      <c r="P429" s="1">
        <f t="shared" si="57"/>
        <v>45451</v>
      </c>
      <c r="Q429" t="s">
        <v>1972</v>
      </c>
      <c r="R429">
        <v>38</v>
      </c>
      <c r="S429">
        <v>70</v>
      </c>
      <c r="T429" t="s">
        <v>42</v>
      </c>
      <c r="U429" s="8">
        <v>91.2</v>
      </c>
      <c r="V429" s="8">
        <f t="shared" si="58"/>
        <v>218.4</v>
      </c>
      <c r="W429" t="str">
        <f t="shared" si="59"/>
        <v>Sufficient Stock</v>
      </c>
      <c r="X429" s="9">
        <f t="shared" si="60"/>
        <v>45292</v>
      </c>
      <c r="Y429">
        <f t="shared" si="61"/>
        <v>155</v>
      </c>
      <c r="Z429" t="str">
        <f t="shared" si="62"/>
        <v>Medium Risk</v>
      </c>
    </row>
    <row r="430" spans="1:26" x14ac:dyDescent="0.4">
      <c r="A430" t="s">
        <v>1973</v>
      </c>
      <c r="B430" t="s">
        <v>76</v>
      </c>
      <c r="C430" t="s">
        <v>77</v>
      </c>
      <c r="D430" t="s">
        <v>1974</v>
      </c>
      <c r="E430" t="s">
        <v>1975</v>
      </c>
      <c r="F430">
        <v>43</v>
      </c>
      <c r="G430">
        <v>78</v>
      </c>
      <c r="H430">
        <v>85</v>
      </c>
      <c r="I430" t="s">
        <v>71</v>
      </c>
      <c r="J430" s="7">
        <f t="shared" si="54"/>
        <v>2.5</v>
      </c>
      <c r="K430" s="1">
        <v>45538</v>
      </c>
      <c r="L430" s="1">
        <f t="shared" si="55"/>
        <v>45538</v>
      </c>
      <c r="M430" t="s">
        <v>382</v>
      </c>
      <c r="N430" s="1">
        <f t="shared" si="56"/>
        <v>45534</v>
      </c>
      <c r="O430" t="s">
        <v>165</v>
      </c>
      <c r="P430" s="1">
        <f t="shared" si="57"/>
        <v>45465</v>
      </c>
      <c r="Q430" t="s">
        <v>1976</v>
      </c>
      <c r="R430">
        <v>48</v>
      </c>
      <c r="S430">
        <v>98</v>
      </c>
      <c r="T430" t="s">
        <v>42</v>
      </c>
      <c r="U430" s="8">
        <v>120</v>
      </c>
      <c r="V430" s="8">
        <f t="shared" si="58"/>
        <v>107.5</v>
      </c>
      <c r="W430" t="str">
        <f t="shared" si="59"/>
        <v>Reorder Required</v>
      </c>
      <c r="X430" s="9">
        <f t="shared" si="60"/>
        <v>45536</v>
      </c>
      <c r="Y430">
        <f t="shared" si="61"/>
        <v>-73</v>
      </c>
      <c r="Z430" t="str">
        <f t="shared" si="62"/>
        <v>Invalid Data</v>
      </c>
    </row>
    <row r="431" spans="1:26" x14ac:dyDescent="0.4">
      <c r="A431" t="s">
        <v>1977</v>
      </c>
      <c r="B431" t="s">
        <v>138</v>
      </c>
      <c r="C431" t="s">
        <v>18</v>
      </c>
      <c r="D431" t="s">
        <v>1978</v>
      </c>
      <c r="E431" t="s">
        <v>925</v>
      </c>
      <c r="F431">
        <v>25</v>
      </c>
      <c r="G431">
        <v>60</v>
      </c>
      <c r="H431">
        <v>36</v>
      </c>
      <c r="I431" t="s">
        <v>47</v>
      </c>
      <c r="J431" s="7">
        <f t="shared" si="54"/>
        <v>1.5</v>
      </c>
      <c r="K431" t="s">
        <v>280</v>
      </c>
      <c r="L431" s="1">
        <f t="shared" si="55"/>
        <v>45704</v>
      </c>
      <c r="M431" t="s">
        <v>893</v>
      </c>
      <c r="N431" s="1">
        <f t="shared" si="56"/>
        <v>45530</v>
      </c>
      <c r="O431" t="s">
        <v>287</v>
      </c>
      <c r="P431" s="1">
        <f t="shared" si="57"/>
        <v>45595</v>
      </c>
      <c r="Q431" t="s">
        <v>1979</v>
      </c>
      <c r="R431">
        <v>31</v>
      </c>
      <c r="S431">
        <v>41</v>
      </c>
      <c r="T431" t="s">
        <v>42</v>
      </c>
      <c r="U431" s="8">
        <v>46.5</v>
      </c>
      <c r="V431" s="8">
        <f t="shared" si="58"/>
        <v>37.5</v>
      </c>
      <c r="W431" t="str">
        <f t="shared" si="59"/>
        <v>Reorder Required</v>
      </c>
      <c r="X431" s="9">
        <f t="shared" si="60"/>
        <v>45689</v>
      </c>
      <c r="Y431">
        <f t="shared" si="61"/>
        <v>-109</v>
      </c>
      <c r="Z431" t="str">
        <f t="shared" si="62"/>
        <v>Invalid Data</v>
      </c>
    </row>
    <row r="432" spans="1:26" x14ac:dyDescent="0.4">
      <c r="A432" t="s">
        <v>1980</v>
      </c>
      <c r="B432" t="s">
        <v>189</v>
      </c>
      <c r="C432" t="s">
        <v>77</v>
      </c>
      <c r="D432" t="s">
        <v>1981</v>
      </c>
      <c r="E432" t="s">
        <v>1585</v>
      </c>
      <c r="F432">
        <v>96</v>
      </c>
      <c r="G432">
        <v>9</v>
      </c>
      <c r="H432">
        <v>57</v>
      </c>
      <c r="I432" t="s">
        <v>1982</v>
      </c>
      <c r="J432" s="7">
        <f t="shared" si="54"/>
        <v>11.8</v>
      </c>
      <c r="K432" t="s">
        <v>321</v>
      </c>
      <c r="L432" s="1">
        <f t="shared" si="55"/>
        <v>45683</v>
      </c>
      <c r="M432" t="s">
        <v>688</v>
      </c>
      <c r="N432" s="1">
        <f t="shared" si="56"/>
        <v>45459</v>
      </c>
      <c r="O432" s="1">
        <v>45451</v>
      </c>
      <c r="P432" s="1">
        <f t="shared" si="57"/>
        <v>45451</v>
      </c>
      <c r="Q432" t="s">
        <v>1983</v>
      </c>
      <c r="R432">
        <v>78</v>
      </c>
      <c r="S432">
        <v>67</v>
      </c>
      <c r="T432" t="s">
        <v>51</v>
      </c>
      <c r="U432" s="8">
        <v>920.40000000000009</v>
      </c>
      <c r="V432" s="8">
        <f t="shared" si="58"/>
        <v>1132.8000000000002</v>
      </c>
      <c r="W432" t="str">
        <f t="shared" si="59"/>
        <v>Sufficient Stock</v>
      </c>
      <c r="X432" s="9">
        <f t="shared" si="60"/>
        <v>45658</v>
      </c>
      <c r="Y432">
        <f t="shared" si="61"/>
        <v>-232</v>
      </c>
      <c r="Z432" t="str">
        <f t="shared" si="62"/>
        <v>Invalid Data</v>
      </c>
    </row>
    <row r="433" spans="1:26" x14ac:dyDescent="0.4">
      <c r="A433" t="s">
        <v>1984</v>
      </c>
      <c r="B433" t="s">
        <v>1290</v>
      </c>
      <c r="C433" t="s">
        <v>169</v>
      </c>
      <c r="D433" t="s">
        <v>1985</v>
      </c>
      <c r="E433" t="s">
        <v>1986</v>
      </c>
      <c r="F433">
        <v>30</v>
      </c>
      <c r="G433">
        <v>29</v>
      </c>
      <c r="H433">
        <v>70</v>
      </c>
      <c r="I433" t="s">
        <v>1293</v>
      </c>
      <c r="J433" s="7">
        <f t="shared" si="54"/>
        <v>7.5</v>
      </c>
      <c r="K433" t="s">
        <v>165</v>
      </c>
      <c r="L433" s="1">
        <f t="shared" si="55"/>
        <v>45465</v>
      </c>
      <c r="M433" t="s">
        <v>244</v>
      </c>
      <c r="N433" s="1">
        <f t="shared" si="56"/>
        <v>45578</v>
      </c>
      <c r="O433" t="s">
        <v>567</v>
      </c>
      <c r="P433" s="1">
        <f t="shared" si="57"/>
        <v>45555</v>
      </c>
      <c r="Q433" t="s">
        <v>1987</v>
      </c>
      <c r="R433">
        <v>80</v>
      </c>
      <c r="S433">
        <v>43</v>
      </c>
      <c r="T433" t="s">
        <v>42</v>
      </c>
      <c r="U433" s="8">
        <v>600</v>
      </c>
      <c r="V433" s="8">
        <f t="shared" si="58"/>
        <v>225</v>
      </c>
      <c r="W433" t="str">
        <f t="shared" si="59"/>
        <v>Sufficient Stock</v>
      </c>
      <c r="X433" s="9">
        <f t="shared" si="60"/>
        <v>45444</v>
      </c>
      <c r="Y433">
        <f t="shared" si="61"/>
        <v>90</v>
      </c>
      <c r="Z433" t="str">
        <f t="shared" si="62"/>
        <v>High Risk</v>
      </c>
    </row>
    <row r="434" spans="1:26" x14ac:dyDescent="0.4">
      <c r="A434" t="s">
        <v>1988</v>
      </c>
      <c r="B434" t="s">
        <v>517</v>
      </c>
      <c r="C434" t="s">
        <v>18</v>
      </c>
      <c r="D434" t="s">
        <v>1989</v>
      </c>
      <c r="E434" t="s">
        <v>1990</v>
      </c>
      <c r="F434">
        <v>56</v>
      </c>
      <c r="G434">
        <v>4</v>
      </c>
      <c r="H434">
        <v>74</v>
      </c>
      <c r="I434" t="s">
        <v>21</v>
      </c>
      <c r="J434" s="7">
        <f t="shared" si="54"/>
        <v>4.5</v>
      </c>
      <c r="K434" t="s">
        <v>1014</v>
      </c>
      <c r="L434" s="1">
        <f t="shared" si="55"/>
        <v>45366</v>
      </c>
      <c r="M434" s="1">
        <v>45389</v>
      </c>
      <c r="N434" s="1">
        <f t="shared" si="56"/>
        <v>45389</v>
      </c>
      <c r="O434" t="s">
        <v>40</v>
      </c>
      <c r="P434" s="1">
        <f t="shared" si="57"/>
        <v>45557</v>
      </c>
      <c r="Q434" t="s">
        <v>1991</v>
      </c>
      <c r="R434">
        <v>61</v>
      </c>
      <c r="S434">
        <v>73</v>
      </c>
      <c r="T434" t="s">
        <v>51</v>
      </c>
      <c r="U434" s="8">
        <v>274.5</v>
      </c>
      <c r="V434" s="8">
        <f t="shared" si="58"/>
        <v>252</v>
      </c>
      <c r="W434" t="str">
        <f t="shared" si="59"/>
        <v>Sufficient Stock</v>
      </c>
      <c r="X434" s="9">
        <f t="shared" si="60"/>
        <v>45352</v>
      </c>
      <c r="Y434">
        <f t="shared" si="61"/>
        <v>191</v>
      </c>
      <c r="Z434" t="str">
        <f t="shared" si="62"/>
        <v>Low Risk</v>
      </c>
    </row>
    <row r="435" spans="1:26" x14ac:dyDescent="0.4">
      <c r="A435" t="s">
        <v>1992</v>
      </c>
      <c r="B435" t="s">
        <v>1835</v>
      </c>
      <c r="C435" t="s">
        <v>112</v>
      </c>
      <c r="D435" t="s">
        <v>1993</v>
      </c>
      <c r="E435" t="s">
        <v>735</v>
      </c>
      <c r="F435">
        <v>91</v>
      </c>
      <c r="G435">
        <v>71</v>
      </c>
      <c r="H435">
        <v>17</v>
      </c>
      <c r="I435" t="s">
        <v>242</v>
      </c>
      <c r="J435" s="7">
        <f t="shared" si="54"/>
        <v>3.5</v>
      </c>
      <c r="K435" s="1">
        <v>45931</v>
      </c>
      <c r="L435" s="1">
        <f t="shared" si="55"/>
        <v>45931</v>
      </c>
      <c r="M435" s="1">
        <v>45299</v>
      </c>
      <c r="N435" s="1">
        <f t="shared" si="56"/>
        <v>45299</v>
      </c>
      <c r="O435" s="1">
        <v>45357</v>
      </c>
      <c r="P435" s="1">
        <f t="shared" si="57"/>
        <v>45357</v>
      </c>
      <c r="Q435" t="s">
        <v>1994</v>
      </c>
      <c r="R435">
        <v>74</v>
      </c>
      <c r="S435">
        <v>57</v>
      </c>
      <c r="T435" t="s">
        <v>51</v>
      </c>
      <c r="U435" s="8">
        <v>259</v>
      </c>
      <c r="V435" s="8">
        <f t="shared" si="58"/>
        <v>318.5</v>
      </c>
      <c r="W435" t="str">
        <f t="shared" si="59"/>
        <v>Sufficient Stock</v>
      </c>
      <c r="X435" s="9">
        <f t="shared" si="60"/>
        <v>45931</v>
      </c>
      <c r="Y435">
        <f t="shared" si="61"/>
        <v>-574</v>
      </c>
      <c r="Z435" t="str">
        <f t="shared" si="62"/>
        <v>Invalid Data</v>
      </c>
    </row>
    <row r="436" spans="1:26" x14ac:dyDescent="0.4">
      <c r="A436" t="s">
        <v>1995</v>
      </c>
      <c r="B436" t="s">
        <v>103</v>
      </c>
      <c r="C436" t="s">
        <v>18</v>
      </c>
      <c r="D436" t="s">
        <v>1996</v>
      </c>
      <c r="E436" t="s">
        <v>1120</v>
      </c>
      <c r="F436">
        <v>27</v>
      </c>
      <c r="G436">
        <v>64</v>
      </c>
      <c r="H436">
        <v>78</v>
      </c>
      <c r="I436" t="s">
        <v>106</v>
      </c>
      <c r="J436" s="7">
        <f t="shared" si="54"/>
        <v>2</v>
      </c>
      <c r="K436" t="s">
        <v>173</v>
      </c>
      <c r="L436" s="1">
        <f t="shared" si="55"/>
        <v>45521</v>
      </c>
      <c r="M436" s="1">
        <v>45387</v>
      </c>
      <c r="N436" s="1">
        <f t="shared" si="56"/>
        <v>45387</v>
      </c>
      <c r="O436" t="s">
        <v>811</v>
      </c>
      <c r="P436" s="1">
        <f t="shared" si="57"/>
        <v>45435</v>
      </c>
      <c r="Q436" t="s">
        <v>1997</v>
      </c>
      <c r="R436">
        <v>57</v>
      </c>
      <c r="S436">
        <v>4</v>
      </c>
      <c r="T436" t="s">
        <v>51</v>
      </c>
      <c r="U436" s="8">
        <v>114</v>
      </c>
      <c r="V436" s="8">
        <f t="shared" si="58"/>
        <v>54</v>
      </c>
      <c r="W436" t="str">
        <f t="shared" si="59"/>
        <v>Reorder Required</v>
      </c>
      <c r="X436" s="9">
        <f t="shared" si="60"/>
        <v>45505</v>
      </c>
      <c r="Y436">
        <f t="shared" si="61"/>
        <v>-86</v>
      </c>
      <c r="Z436" t="str">
        <f t="shared" si="62"/>
        <v>Invalid Data</v>
      </c>
    </row>
    <row r="437" spans="1:26" x14ac:dyDescent="0.4">
      <c r="A437" t="s">
        <v>1998</v>
      </c>
      <c r="B437" t="s">
        <v>820</v>
      </c>
      <c r="C437" t="s">
        <v>77</v>
      </c>
      <c r="D437" t="s">
        <v>1999</v>
      </c>
      <c r="E437" t="s">
        <v>641</v>
      </c>
      <c r="F437">
        <v>28</v>
      </c>
      <c r="G437">
        <v>90</v>
      </c>
      <c r="H437">
        <v>70</v>
      </c>
      <c r="I437" t="s">
        <v>1593</v>
      </c>
      <c r="J437" s="7">
        <f t="shared" si="54"/>
        <v>2.4500000000000002</v>
      </c>
      <c r="K437" s="1">
        <v>45423</v>
      </c>
      <c r="L437" s="1">
        <f t="shared" si="55"/>
        <v>45423</v>
      </c>
      <c r="M437" t="s">
        <v>180</v>
      </c>
      <c r="N437" s="1">
        <f t="shared" si="56"/>
        <v>45702</v>
      </c>
      <c r="O437" t="s">
        <v>366</v>
      </c>
      <c r="P437" s="1">
        <f t="shared" si="57"/>
        <v>45685</v>
      </c>
      <c r="Q437" t="s">
        <v>2000</v>
      </c>
      <c r="R437">
        <v>76</v>
      </c>
      <c r="S437">
        <v>78</v>
      </c>
      <c r="T437" t="s">
        <v>51</v>
      </c>
      <c r="U437" s="8">
        <v>186.20000000000002</v>
      </c>
      <c r="V437" s="8">
        <f t="shared" si="58"/>
        <v>68.600000000000009</v>
      </c>
      <c r="W437" t="str">
        <f t="shared" si="59"/>
        <v>Reorder Required</v>
      </c>
      <c r="X437" s="9">
        <f t="shared" si="60"/>
        <v>45413</v>
      </c>
      <c r="Y437">
        <f t="shared" si="61"/>
        <v>262</v>
      </c>
      <c r="Z437" t="str">
        <f t="shared" si="62"/>
        <v>Low Risk</v>
      </c>
    </row>
    <row r="438" spans="1:26" x14ac:dyDescent="0.4">
      <c r="A438" t="s">
        <v>2001</v>
      </c>
      <c r="B438" t="s">
        <v>839</v>
      </c>
      <c r="C438" t="s">
        <v>77</v>
      </c>
      <c r="D438" t="s">
        <v>2002</v>
      </c>
      <c r="E438" t="s">
        <v>186</v>
      </c>
      <c r="F438">
        <v>92</v>
      </c>
      <c r="G438">
        <v>67</v>
      </c>
      <c r="H438">
        <v>51</v>
      </c>
      <c r="I438" t="s">
        <v>57</v>
      </c>
      <c r="J438" s="7">
        <f t="shared" si="54"/>
        <v>4</v>
      </c>
      <c r="K438" s="1">
        <v>45416</v>
      </c>
      <c r="L438" s="1">
        <f t="shared" si="55"/>
        <v>45416</v>
      </c>
      <c r="M438" s="1">
        <v>45547</v>
      </c>
      <c r="N438" s="1">
        <f t="shared" si="56"/>
        <v>45547</v>
      </c>
      <c r="O438" t="s">
        <v>148</v>
      </c>
      <c r="P438" s="1">
        <f t="shared" si="57"/>
        <v>45431</v>
      </c>
      <c r="Q438" t="s">
        <v>2003</v>
      </c>
      <c r="R438">
        <v>23</v>
      </c>
      <c r="S438">
        <v>78</v>
      </c>
      <c r="T438" t="s">
        <v>26</v>
      </c>
      <c r="U438" s="8">
        <v>92</v>
      </c>
      <c r="V438" s="8">
        <f t="shared" si="58"/>
        <v>368</v>
      </c>
      <c r="W438" t="str">
        <f t="shared" si="59"/>
        <v>Sufficient Stock</v>
      </c>
      <c r="X438" s="9">
        <f t="shared" si="60"/>
        <v>45413</v>
      </c>
      <c r="Y438">
        <f t="shared" si="61"/>
        <v>15</v>
      </c>
      <c r="Z438" t="str">
        <f t="shared" si="62"/>
        <v>Critical</v>
      </c>
    </row>
    <row r="439" spans="1:26" x14ac:dyDescent="0.4">
      <c r="A439" t="s">
        <v>2004</v>
      </c>
      <c r="B439" t="s">
        <v>814</v>
      </c>
      <c r="C439" t="s">
        <v>169</v>
      </c>
      <c r="D439" t="s">
        <v>2005</v>
      </c>
      <c r="E439" t="s">
        <v>1242</v>
      </c>
      <c r="F439">
        <v>37</v>
      </c>
      <c r="G439">
        <v>33</v>
      </c>
      <c r="H439">
        <v>80</v>
      </c>
      <c r="I439" t="s">
        <v>817</v>
      </c>
      <c r="J439" s="7">
        <f t="shared" si="54"/>
        <v>18</v>
      </c>
      <c r="K439" t="s">
        <v>192</v>
      </c>
      <c r="L439" s="1">
        <f t="shared" si="55"/>
        <v>45647</v>
      </c>
      <c r="M439" s="1">
        <v>45570</v>
      </c>
      <c r="N439" s="1">
        <f t="shared" si="56"/>
        <v>45570</v>
      </c>
      <c r="O439" s="1">
        <v>45387</v>
      </c>
      <c r="P439" s="1">
        <f t="shared" si="57"/>
        <v>45387</v>
      </c>
      <c r="Q439" t="s">
        <v>2006</v>
      </c>
      <c r="R439">
        <v>27</v>
      </c>
      <c r="S439">
        <v>73</v>
      </c>
      <c r="T439" t="s">
        <v>42</v>
      </c>
      <c r="U439" s="8">
        <v>486</v>
      </c>
      <c r="V439" s="8">
        <f t="shared" si="58"/>
        <v>666</v>
      </c>
      <c r="W439" t="str">
        <f t="shared" si="59"/>
        <v>Sufficient Stock</v>
      </c>
      <c r="X439" s="9">
        <f t="shared" si="60"/>
        <v>45627</v>
      </c>
      <c r="Y439">
        <f t="shared" si="61"/>
        <v>-260</v>
      </c>
      <c r="Z439" t="str">
        <f t="shared" si="62"/>
        <v>Invalid Data</v>
      </c>
    </row>
    <row r="440" spans="1:26" x14ac:dyDescent="0.4">
      <c r="A440" t="s">
        <v>2007</v>
      </c>
      <c r="B440" t="s">
        <v>885</v>
      </c>
      <c r="C440" t="s">
        <v>18</v>
      </c>
      <c r="D440" t="s">
        <v>2008</v>
      </c>
      <c r="E440" t="s">
        <v>2009</v>
      </c>
      <c r="F440">
        <v>28</v>
      </c>
      <c r="G440">
        <v>24</v>
      </c>
      <c r="H440">
        <v>97</v>
      </c>
      <c r="I440" t="s">
        <v>71</v>
      </c>
      <c r="J440" s="7">
        <f t="shared" si="54"/>
        <v>2.5</v>
      </c>
      <c r="K440" t="s">
        <v>40</v>
      </c>
      <c r="L440" s="1">
        <f t="shared" si="55"/>
        <v>45557</v>
      </c>
      <c r="M440" s="1">
        <v>45631</v>
      </c>
      <c r="N440" s="1">
        <f t="shared" si="56"/>
        <v>45631</v>
      </c>
      <c r="O440" s="1">
        <v>45542</v>
      </c>
      <c r="P440" s="1">
        <f t="shared" si="57"/>
        <v>45542</v>
      </c>
      <c r="Q440" t="s">
        <v>2010</v>
      </c>
      <c r="R440">
        <v>82</v>
      </c>
      <c r="S440">
        <v>5</v>
      </c>
      <c r="T440" t="s">
        <v>26</v>
      </c>
      <c r="U440" s="8">
        <v>205</v>
      </c>
      <c r="V440" s="8">
        <f t="shared" si="58"/>
        <v>70</v>
      </c>
      <c r="W440" t="str">
        <f t="shared" si="59"/>
        <v>Sufficient Stock</v>
      </c>
      <c r="X440" s="9">
        <f t="shared" si="60"/>
        <v>45536</v>
      </c>
      <c r="Y440">
        <f t="shared" si="61"/>
        <v>-15</v>
      </c>
      <c r="Z440" t="str">
        <f t="shared" si="62"/>
        <v>Invalid Data</v>
      </c>
    </row>
    <row r="441" spans="1:26" x14ac:dyDescent="0.4">
      <c r="A441" t="s">
        <v>2011</v>
      </c>
      <c r="B441" t="s">
        <v>677</v>
      </c>
      <c r="C441" t="s">
        <v>169</v>
      </c>
      <c r="D441" t="s">
        <v>2012</v>
      </c>
      <c r="E441" t="s">
        <v>38</v>
      </c>
      <c r="F441">
        <v>30</v>
      </c>
      <c r="G441">
        <v>42</v>
      </c>
      <c r="H441">
        <v>8</v>
      </c>
      <c r="I441" t="s">
        <v>134</v>
      </c>
      <c r="J441" s="7">
        <f t="shared" si="54"/>
        <v>7</v>
      </c>
      <c r="K441" s="1">
        <v>45327</v>
      </c>
      <c r="L441" s="1">
        <f t="shared" si="55"/>
        <v>45327</v>
      </c>
      <c r="M441" s="1">
        <v>45809</v>
      </c>
      <c r="N441" s="1">
        <f t="shared" si="56"/>
        <v>45809</v>
      </c>
      <c r="O441" s="1">
        <v>45603</v>
      </c>
      <c r="P441" s="1">
        <f t="shared" si="57"/>
        <v>45603</v>
      </c>
      <c r="Q441" t="s">
        <v>2013</v>
      </c>
      <c r="R441">
        <v>48</v>
      </c>
      <c r="S441">
        <v>23</v>
      </c>
      <c r="T441" t="s">
        <v>51</v>
      </c>
      <c r="U441" s="8">
        <v>336</v>
      </c>
      <c r="V441" s="8">
        <f t="shared" si="58"/>
        <v>210</v>
      </c>
      <c r="W441" t="str">
        <f t="shared" si="59"/>
        <v>Reorder Required</v>
      </c>
      <c r="X441" s="9">
        <f t="shared" si="60"/>
        <v>45323</v>
      </c>
      <c r="Y441">
        <f t="shared" si="61"/>
        <v>276</v>
      </c>
      <c r="Z441" t="str">
        <f t="shared" si="62"/>
        <v>Low Risk</v>
      </c>
    </row>
    <row r="442" spans="1:26" x14ac:dyDescent="0.4">
      <c r="A442" t="s">
        <v>2014</v>
      </c>
      <c r="B442" t="s">
        <v>28</v>
      </c>
      <c r="C442" t="s">
        <v>29</v>
      </c>
      <c r="D442" t="s">
        <v>2015</v>
      </c>
      <c r="E442" t="s">
        <v>1069</v>
      </c>
      <c r="F442">
        <v>98</v>
      </c>
      <c r="G442">
        <v>83</v>
      </c>
      <c r="H442">
        <v>5</v>
      </c>
      <c r="I442" t="s">
        <v>32</v>
      </c>
      <c r="J442" s="7">
        <f t="shared" si="54"/>
        <v>20</v>
      </c>
      <c r="K442" s="1">
        <v>45450</v>
      </c>
      <c r="L442" s="1">
        <f t="shared" si="55"/>
        <v>45450</v>
      </c>
      <c r="M442" t="s">
        <v>450</v>
      </c>
      <c r="N442" s="1">
        <f t="shared" si="56"/>
        <v>45688</v>
      </c>
      <c r="O442" t="s">
        <v>268</v>
      </c>
      <c r="P442" s="1">
        <f t="shared" si="57"/>
        <v>45652</v>
      </c>
      <c r="Q442" t="s">
        <v>2016</v>
      </c>
      <c r="R442">
        <v>39</v>
      </c>
      <c r="S442">
        <v>79</v>
      </c>
      <c r="T442" t="s">
        <v>51</v>
      </c>
      <c r="U442" s="8">
        <v>780</v>
      </c>
      <c r="V442" s="8">
        <f t="shared" si="58"/>
        <v>1960</v>
      </c>
      <c r="W442" t="str">
        <f t="shared" si="59"/>
        <v>Sufficient Stock</v>
      </c>
      <c r="X442" s="9">
        <f t="shared" si="60"/>
        <v>45444</v>
      </c>
      <c r="Y442">
        <f t="shared" si="61"/>
        <v>202</v>
      </c>
      <c r="Z442" t="str">
        <f t="shared" si="62"/>
        <v>Low Risk</v>
      </c>
    </row>
    <row r="443" spans="1:26" x14ac:dyDescent="0.4">
      <c r="A443" t="s">
        <v>2017</v>
      </c>
      <c r="B443" t="s">
        <v>311</v>
      </c>
      <c r="C443" t="s">
        <v>54</v>
      </c>
      <c r="D443" t="s">
        <v>2018</v>
      </c>
      <c r="E443" t="s">
        <v>634</v>
      </c>
      <c r="F443">
        <v>65</v>
      </c>
      <c r="G443">
        <v>88</v>
      </c>
      <c r="H443">
        <v>20</v>
      </c>
      <c r="I443" t="s">
        <v>71</v>
      </c>
      <c r="J443" s="7">
        <f t="shared" si="54"/>
        <v>2.5</v>
      </c>
      <c r="K443" t="s">
        <v>366</v>
      </c>
      <c r="L443" s="1">
        <f t="shared" si="55"/>
        <v>45685</v>
      </c>
      <c r="M443" t="s">
        <v>473</v>
      </c>
      <c r="N443" s="1">
        <f t="shared" si="56"/>
        <v>45616</v>
      </c>
      <c r="O443" t="s">
        <v>525</v>
      </c>
      <c r="P443" s="1">
        <f t="shared" si="57"/>
        <v>45502</v>
      </c>
      <c r="Q443" t="s">
        <v>2019</v>
      </c>
      <c r="R443">
        <v>89</v>
      </c>
      <c r="S443">
        <v>37</v>
      </c>
      <c r="T443" t="s">
        <v>42</v>
      </c>
      <c r="U443" s="8">
        <v>222.5</v>
      </c>
      <c r="V443" s="8">
        <f t="shared" si="58"/>
        <v>162.5</v>
      </c>
      <c r="W443" t="str">
        <f t="shared" si="59"/>
        <v>Reorder Required</v>
      </c>
      <c r="X443" s="9">
        <f t="shared" si="60"/>
        <v>45658</v>
      </c>
      <c r="Y443">
        <f t="shared" si="61"/>
        <v>-183</v>
      </c>
      <c r="Z443" t="str">
        <f t="shared" si="62"/>
        <v>Invalid Data</v>
      </c>
    </row>
    <row r="444" spans="1:26" x14ac:dyDescent="0.4">
      <c r="A444" t="s">
        <v>2020</v>
      </c>
      <c r="B444" t="s">
        <v>627</v>
      </c>
      <c r="C444" t="s">
        <v>18</v>
      </c>
      <c r="D444" t="s">
        <v>2021</v>
      </c>
      <c r="E444" t="s">
        <v>1364</v>
      </c>
      <c r="F444">
        <v>42</v>
      </c>
      <c r="G444">
        <v>3</v>
      </c>
      <c r="H444">
        <v>21</v>
      </c>
      <c r="I444" t="s">
        <v>106</v>
      </c>
      <c r="J444" s="7">
        <f t="shared" si="54"/>
        <v>2</v>
      </c>
      <c r="K444" t="s">
        <v>24</v>
      </c>
      <c r="L444" s="1">
        <f t="shared" si="55"/>
        <v>45554</v>
      </c>
      <c r="M444" t="s">
        <v>542</v>
      </c>
      <c r="N444" s="1">
        <f t="shared" si="56"/>
        <v>45684</v>
      </c>
      <c r="O444" t="s">
        <v>935</v>
      </c>
      <c r="P444" s="1">
        <f t="shared" si="57"/>
        <v>45560</v>
      </c>
      <c r="Q444" t="s">
        <v>2022</v>
      </c>
      <c r="R444">
        <v>35</v>
      </c>
      <c r="S444">
        <v>22</v>
      </c>
      <c r="T444" t="s">
        <v>51</v>
      </c>
      <c r="U444" s="8">
        <v>70</v>
      </c>
      <c r="V444" s="8">
        <f t="shared" si="58"/>
        <v>84</v>
      </c>
      <c r="W444" t="str">
        <f t="shared" si="59"/>
        <v>Sufficient Stock</v>
      </c>
      <c r="X444" s="9">
        <f t="shared" si="60"/>
        <v>45536</v>
      </c>
      <c r="Y444">
        <f t="shared" si="61"/>
        <v>6</v>
      </c>
      <c r="Z444" t="str">
        <f t="shared" si="62"/>
        <v>Critical</v>
      </c>
    </row>
    <row r="445" spans="1:26" x14ac:dyDescent="0.4">
      <c r="A445" t="s">
        <v>2023</v>
      </c>
      <c r="B445" t="s">
        <v>311</v>
      </c>
      <c r="C445" t="s">
        <v>54</v>
      </c>
      <c r="D445" t="s">
        <v>2024</v>
      </c>
      <c r="E445" t="s">
        <v>2025</v>
      </c>
      <c r="F445">
        <v>63</v>
      </c>
      <c r="G445">
        <v>60</v>
      </c>
      <c r="H445">
        <v>54</v>
      </c>
      <c r="I445" t="s">
        <v>71</v>
      </c>
      <c r="J445" s="7">
        <f t="shared" si="54"/>
        <v>2.5</v>
      </c>
      <c r="K445" t="s">
        <v>268</v>
      </c>
      <c r="L445" s="1">
        <f t="shared" si="55"/>
        <v>45652</v>
      </c>
      <c r="M445" t="s">
        <v>736</v>
      </c>
      <c r="N445" s="1">
        <f t="shared" si="56"/>
        <v>45433</v>
      </c>
      <c r="O445" t="s">
        <v>643</v>
      </c>
      <c r="P445" s="1">
        <f t="shared" si="57"/>
        <v>45397</v>
      </c>
      <c r="Q445" t="s">
        <v>2026</v>
      </c>
      <c r="R445">
        <v>33</v>
      </c>
      <c r="S445">
        <v>31</v>
      </c>
      <c r="T445" t="s">
        <v>42</v>
      </c>
      <c r="U445" s="8">
        <v>82.5</v>
      </c>
      <c r="V445" s="8">
        <f t="shared" si="58"/>
        <v>157.5</v>
      </c>
      <c r="W445" t="str">
        <f t="shared" si="59"/>
        <v>Sufficient Stock</v>
      </c>
      <c r="X445" s="9">
        <f t="shared" si="60"/>
        <v>45627</v>
      </c>
      <c r="Y445">
        <f t="shared" si="61"/>
        <v>-255</v>
      </c>
      <c r="Z445" t="str">
        <f t="shared" si="62"/>
        <v>Invalid Data</v>
      </c>
    </row>
    <row r="446" spans="1:26" x14ac:dyDescent="0.4">
      <c r="A446" t="s">
        <v>2027</v>
      </c>
      <c r="B446" t="s">
        <v>476</v>
      </c>
      <c r="C446" t="s">
        <v>54</v>
      </c>
      <c r="D446" t="s">
        <v>2028</v>
      </c>
      <c r="E446" t="s">
        <v>1581</v>
      </c>
      <c r="F446">
        <v>85</v>
      </c>
      <c r="G446">
        <v>54</v>
      </c>
      <c r="H446">
        <v>18</v>
      </c>
      <c r="I446" t="s">
        <v>57</v>
      </c>
      <c r="J446" s="7">
        <f t="shared" si="54"/>
        <v>4</v>
      </c>
      <c r="K446" t="s">
        <v>358</v>
      </c>
      <c r="L446" s="1">
        <f t="shared" si="55"/>
        <v>45501</v>
      </c>
      <c r="M446" t="s">
        <v>415</v>
      </c>
      <c r="N446" s="1">
        <f t="shared" si="56"/>
        <v>45588</v>
      </c>
      <c r="O446" t="s">
        <v>866</v>
      </c>
      <c r="P446" s="1">
        <f t="shared" si="57"/>
        <v>45486</v>
      </c>
      <c r="Q446" t="s">
        <v>2029</v>
      </c>
      <c r="R446">
        <v>85</v>
      </c>
      <c r="S446">
        <v>44</v>
      </c>
      <c r="T446" t="s">
        <v>26</v>
      </c>
      <c r="U446" s="8">
        <v>340</v>
      </c>
      <c r="V446" s="8">
        <f t="shared" si="58"/>
        <v>340</v>
      </c>
      <c r="W446" t="str">
        <f t="shared" si="59"/>
        <v>Sufficient Stock</v>
      </c>
      <c r="X446" s="9">
        <f t="shared" si="60"/>
        <v>45474</v>
      </c>
      <c r="Y446">
        <f t="shared" si="61"/>
        <v>-15</v>
      </c>
      <c r="Z446" t="str">
        <f t="shared" si="62"/>
        <v>Invalid Data</v>
      </c>
    </row>
    <row r="447" spans="1:26" x14ac:dyDescent="0.4">
      <c r="A447" t="s">
        <v>2030</v>
      </c>
      <c r="B447" t="s">
        <v>88</v>
      </c>
      <c r="C447" t="s">
        <v>77</v>
      </c>
      <c r="D447" t="s">
        <v>2031</v>
      </c>
      <c r="E447" t="s">
        <v>881</v>
      </c>
      <c r="F447">
        <v>44</v>
      </c>
      <c r="G447">
        <v>75</v>
      </c>
      <c r="H447">
        <v>72</v>
      </c>
      <c r="I447" t="s">
        <v>91</v>
      </c>
      <c r="J447" s="7">
        <f t="shared" si="54"/>
        <v>1</v>
      </c>
      <c r="K447" t="s">
        <v>524</v>
      </c>
      <c r="L447" s="1">
        <f t="shared" si="55"/>
        <v>45640</v>
      </c>
      <c r="M447" t="s">
        <v>1188</v>
      </c>
      <c r="N447" s="1">
        <f t="shared" si="56"/>
        <v>45625</v>
      </c>
      <c r="O447" s="1">
        <v>45330</v>
      </c>
      <c r="P447" s="1">
        <f t="shared" si="57"/>
        <v>45330</v>
      </c>
      <c r="Q447" t="s">
        <v>2032</v>
      </c>
      <c r="R447">
        <v>96</v>
      </c>
      <c r="S447">
        <v>38</v>
      </c>
      <c r="T447" t="s">
        <v>26</v>
      </c>
      <c r="U447" s="8">
        <v>96</v>
      </c>
      <c r="V447" s="8">
        <f t="shared" si="58"/>
        <v>44</v>
      </c>
      <c r="W447" t="str">
        <f t="shared" si="59"/>
        <v>Reorder Required</v>
      </c>
      <c r="X447" s="9">
        <f t="shared" si="60"/>
        <v>45627</v>
      </c>
      <c r="Y447">
        <f t="shared" si="61"/>
        <v>-310</v>
      </c>
      <c r="Z447" t="str">
        <f t="shared" si="62"/>
        <v>Invalid Data</v>
      </c>
    </row>
    <row r="448" spans="1:26" x14ac:dyDescent="0.4">
      <c r="A448" t="s">
        <v>2033</v>
      </c>
      <c r="B448" t="s">
        <v>53</v>
      </c>
      <c r="C448" t="s">
        <v>54</v>
      </c>
      <c r="D448" t="s">
        <v>2034</v>
      </c>
      <c r="E448" t="s">
        <v>191</v>
      </c>
      <c r="F448">
        <v>26</v>
      </c>
      <c r="G448">
        <v>69</v>
      </c>
      <c r="H448">
        <v>90</v>
      </c>
      <c r="I448" t="s">
        <v>57</v>
      </c>
      <c r="J448" s="7">
        <f t="shared" si="54"/>
        <v>4</v>
      </c>
      <c r="K448" s="1">
        <v>45638</v>
      </c>
      <c r="L448" s="1">
        <f t="shared" si="55"/>
        <v>45638</v>
      </c>
      <c r="M448" s="1">
        <v>45510</v>
      </c>
      <c r="N448" s="1">
        <f t="shared" si="56"/>
        <v>45510</v>
      </c>
      <c r="O448" t="s">
        <v>1357</v>
      </c>
      <c r="P448" s="1">
        <f t="shared" si="57"/>
        <v>45492</v>
      </c>
      <c r="Q448" t="s">
        <v>2035</v>
      </c>
      <c r="R448">
        <v>47</v>
      </c>
      <c r="S448">
        <v>35</v>
      </c>
      <c r="T448" t="s">
        <v>51</v>
      </c>
      <c r="U448" s="8">
        <v>188</v>
      </c>
      <c r="V448" s="8">
        <f t="shared" si="58"/>
        <v>104</v>
      </c>
      <c r="W448" t="str">
        <f t="shared" si="59"/>
        <v>Reorder Required</v>
      </c>
      <c r="X448" s="9">
        <f t="shared" si="60"/>
        <v>45627</v>
      </c>
      <c r="Y448">
        <f t="shared" si="61"/>
        <v>-146</v>
      </c>
      <c r="Z448" t="str">
        <f t="shared" si="62"/>
        <v>Invalid Data</v>
      </c>
    </row>
    <row r="449" spans="1:26" x14ac:dyDescent="0.4">
      <c r="A449" t="s">
        <v>2036</v>
      </c>
      <c r="B449" t="s">
        <v>1534</v>
      </c>
      <c r="C449" t="s">
        <v>18</v>
      </c>
      <c r="D449" t="s">
        <v>2037</v>
      </c>
      <c r="E449" t="s">
        <v>934</v>
      </c>
      <c r="F449">
        <v>49</v>
      </c>
      <c r="G449">
        <v>59</v>
      </c>
      <c r="H449">
        <v>73</v>
      </c>
      <c r="I449" t="s">
        <v>220</v>
      </c>
      <c r="J449" s="7">
        <f t="shared" si="54"/>
        <v>5</v>
      </c>
      <c r="K449" t="s">
        <v>946</v>
      </c>
      <c r="L449" s="1">
        <f t="shared" si="55"/>
        <v>45400</v>
      </c>
      <c r="M449" s="1">
        <v>45447</v>
      </c>
      <c r="N449" s="1">
        <f t="shared" si="56"/>
        <v>45447</v>
      </c>
      <c r="O449" t="s">
        <v>64</v>
      </c>
      <c r="P449" s="1">
        <f t="shared" si="57"/>
        <v>45438</v>
      </c>
      <c r="Q449" t="s">
        <v>2038</v>
      </c>
      <c r="R449">
        <v>93</v>
      </c>
      <c r="S449">
        <v>45</v>
      </c>
      <c r="T449" t="s">
        <v>26</v>
      </c>
      <c r="U449" s="8">
        <v>465</v>
      </c>
      <c r="V449" s="8">
        <f t="shared" si="58"/>
        <v>245</v>
      </c>
      <c r="W449" t="str">
        <f t="shared" si="59"/>
        <v>Reorder Required</v>
      </c>
      <c r="X449" s="9">
        <f t="shared" si="60"/>
        <v>45383</v>
      </c>
      <c r="Y449">
        <f t="shared" si="61"/>
        <v>38</v>
      </c>
      <c r="Z449" t="str">
        <f t="shared" si="62"/>
        <v>High Risk</v>
      </c>
    </row>
    <row r="450" spans="1:26" x14ac:dyDescent="0.4">
      <c r="A450" t="s">
        <v>2039</v>
      </c>
      <c r="B450" t="s">
        <v>722</v>
      </c>
      <c r="C450" t="s">
        <v>54</v>
      </c>
      <c r="D450" t="s">
        <v>2040</v>
      </c>
      <c r="E450" t="s">
        <v>887</v>
      </c>
      <c r="F450">
        <v>59</v>
      </c>
      <c r="G450">
        <v>79</v>
      </c>
      <c r="H450">
        <v>87</v>
      </c>
      <c r="I450" t="s">
        <v>39</v>
      </c>
      <c r="J450" s="7">
        <f t="shared" si="54"/>
        <v>6</v>
      </c>
      <c r="K450" s="1">
        <v>45360</v>
      </c>
      <c r="L450" s="1">
        <f t="shared" si="55"/>
        <v>45360</v>
      </c>
      <c r="M450" s="1">
        <v>45361</v>
      </c>
      <c r="N450" s="1">
        <f t="shared" si="56"/>
        <v>45361</v>
      </c>
      <c r="O450" t="s">
        <v>609</v>
      </c>
      <c r="P450" s="1">
        <f t="shared" si="57"/>
        <v>45504</v>
      </c>
      <c r="Q450" t="s">
        <v>2041</v>
      </c>
      <c r="R450">
        <v>47</v>
      </c>
      <c r="S450">
        <v>18</v>
      </c>
      <c r="T450" t="s">
        <v>51</v>
      </c>
      <c r="U450" s="8">
        <v>282</v>
      </c>
      <c r="V450" s="8">
        <f t="shared" si="58"/>
        <v>354</v>
      </c>
      <c r="W450" t="str">
        <f t="shared" si="59"/>
        <v>Reorder Required</v>
      </c>
      <c r="X450" s="9">
        <f t="shared" si="60"/>
        <v>45352</v>
      </c>
      <c r="Y450">
        <f t="shared" si="61"/>
        <v>144</v>
      </c>
      <c r="Z450" t="str">
        <f t="shared" si="62"/>
        <v>Medium Risk</v>
      </c>
    </row>
    <row r="451" spans="1:26" x14ac:dyDescent="0.4">
      <c r="A451" t="s">
        <v>2042</v>
      </c>
      <c r="B451" t="s">
        <v>196</v>
      </c>
      <c r="C451" t="s">
        <v>18</v>
      </c>
      <c r="D451" t="s">
        <v>2043</v>
      </c>
      <c r="E451" t="s">
        <v>1461</v>
      </c>
      <c r="F451">
        <v>19</v>
      </c>
      <c r="G451">
        <v>81</v>
      </c>
      <c r="H451">
        <v>33</v>
      </c>
      <c r="I451" t="s">
        <v>47</v>
      </c>
      <c r="J451" s="7">
        <f t="shared" ref="J451:J514" si="63">VALUE(SUBSTITUTE(I451,"$",""))</f>
        <v>1.5</v>
      </c>
      <c r="K451" t="s">
        <v>23</v>
      </c>
      <c r="L451" s="1">
        <f t="shared" ref="L451:L514" si="64">IF(
ISNUMBER(K451),
K451,
DATE(
RIGHT(K451,4),
LEFT(K451,FIND("/",K451)-1),
MID(K451,FIND("/",K451)+1,FIND("/",K451,FIND("/",K451)+1)-FIND("/",K451)-1)
)
)</f>
        <v>45472</v>
      </c>
      <c r="M451" t="s">
        <v>199</v>
      </c>
      <c r="N451" s="1">
        <f t="shared" ref="N451:N514" si="65">IF(
ISNUMBER(M451),
M451,
DATE(
RIGHT(M451,4),
LEFT(M451,FIND("/",M451)-1),
MID(M451,FIND("/",M451)+1,FIND("/",M451,FIND("/",M451)+1)-FIND("/",M451)-1)
)
)</f>
        <v>45710</v>
      </c>
      <c r="O451" t="s">
        <v>898</v>
      </c>
      <c r="P451" s="1">
        <f t="shared" ref="P451:P514" si="66">IF(
ISNUMBER(O451),
O451,
DATE(
RIGHT(O451,4),
LEFT(O451,FIND("/",O451)-1),
MID(O451,FIND("/",O451)+1,FIND("/",O451,FIND("/",O451)+1)-FIND("/",O451)-1)
)
)</f>
        <v>45650</v>
      </c>
      <c r="Q451" t="s">
        <v>2044</v>
      </c>
      <c r="R451">
        <v>39</v>
      </c>
      <c r="S451">
        <v>85</v>
      </c>
      <c r="T451" t="s">
        <v>42</v>
      </c>
      <c r="U451" s="8">
        <v>58.5</v>
      </c>
      <c r="V451" s="8">
        <f t="shared" ref="V451:V514" si="67">F451*J451</f>
        <v>28.5</v>
      </c>
      <c r="W451" t="str">
        <f t="shared" ref="W451:W514" si="68">IF(F451&lt;=G451,"Reorder Required","Sufficient Stock")</f>
        <v>Reorder Required</v>
      </c>
      <c r="X451" s="9">
        <f t="shared" ref="X451:X514" si="69">DATE(YEAR(L451),MONTH(L451),1)</f>
        <v>45444</v>
      </c>
      <c r="Y451">
        <f t="shared" ref="Y451:Y514" si="70">P451-L451</f>
        <v>178</v>
      </c>
      <c r="Z451" t="str">
        <f t="shared" ref="Z451:Z514" si="71">IF(Y451&lt;0,"Invalid Data",
IF(Y451&lt;=30,"Critical",
IF(Y451&lt;=90,"High Risk",
IF(Y451&lt;=180,"Medium Risk",
IF(Y451&lt;=365,"Low Risk",
"Safe")))))</f>
        <v>Medium Risk</v>
      </c>
    </row>
    <row r="452" spans="1:26" x14ac:dyDescent="0.4">
      <c r="A452" t="s">
        <v>2045</v>
      </c>
      <c r="B452" t="s">
        <v>482</v>
      </c>
      <c r="C452" t="s">
        <v>54</v>
      </c>
      <c r="D452" t="s">
        <v>2046</v>
      </c>
      <c r="E452" t="s">
        <v>334</v>
      </c>
      <c r="F452">
        <v>47</v>
      </c>
      <c r="G452">
        <v>41</v>
      </c>
      <c r="H452">
        <v>63</v>
      </c>
      <c r="I452" t="s">
        <v>85</v>
      </c>
      <c r="J452" s="7">
        <f t="shared" si="63"/>
        <v>3</v>
      </c>
      <c r="K452" t="s">
        <v>643</v>
      </c>
      <c r="L452" s="1">
        <f t="shared" si="64"/>
        <v>45397</v>
      </c>
      <c r="M452" s="1">
        <v>45297</v>
      </c>
      <c r="N452" s="1">
        <f t="shared" si="65"/>
        <v>45297</v>
      </c>
      <c r="O452" s="1">
        <v>45901</v>
      </c>
      <c r="P452" s="1">
        <f t="shared" si="66"/>
        <v>45901</v>
      </c>
      <c r="Q452" t="s">
        <v>2047</v>
      </c>
      <c r="R452">
        <v>39</v>
      </c>
      <c r="S452">
        <v>54</v>
      </c>
      <c r="T452" t="s">
        <v>51</v>
      </c>
      <c r="U452" s="8">
        <v>117</v>
      </c>
      <c r="V452" s="8">
        <f t="shared" si="67"/>
        <v>141</v>
      </c>
      <c r="W452" t="str">
        <f t="shared" si="68"/>
        <v>Sufficient Stock</v>
      </c>
      <c r="X452" s="9">
        <f t="shared" si="69"/>
        <v>45383</v>
      </c>
      <c r="Y452">
        <f t="shared" si="70"/>
        <v>504</v>
      </c>
      <c r="Z452" t="str">
        <f t="shared" si="71"/>
        <v>Safe</v>
      </c>
    </row>
    <row r="453" spans="1:26" x14ac:dyDescent="0.4">
      <c r="A453" t="s">
        <v>2048</v>
      </c>
      <c r="B453" t="s">
        <v>1383</v>
      </c>
      <c r="C453" t="s">
        <v>54</v>
      </c>
      <c r="D453" t="s">
        <v>2049</v>
      </c>
      <c r="E453" t="s">
        <v>1758</v>
      </c>
      <c r="F453">
        <v>98</v>
      </c>
      <c r="G453">
        <v>62</v>
      </c>
      <c r="H453">
        <v>97</v>
      </c>
      <c r="I453" t="s">
        <v>1386</v>
      </c>
      <c r="J453" s="7">
        <f t="shared" si="63"/>
        <v>5.5</v>
      </c>
      <c r="K453" t="s">
        <v>666</v>
      </c>
      <c r="L453" s="1">
        <f t="shared" si="64"/>
        <v>45381</v>
      </c>
      <c r="M453" t="s">
        <v>1331</v>
      </c>
      <c r="N453" s="1">
        <f t="shared" si="65"/>
        <v>45529</v>
      </c>
      <c r="O453" s="1">
        <v>45902</v>
      </c>
      <c r="P453" s="1">
        <f t="shared" si="66"/>
        <v>45902</v>
      </c>
      <c r="Q453" t="s">
        <v>2050</v>
      </c>
      <c r="R453">
        <v>59</v>
      </c>
      <c r="S453">
        <v>19</v>
      </c>
      <c r="T453" t="s">
        <v>51</v>
      </c>
      <c r="U453" s="8">
        <v>324.5</v>
      </c>
      <c r="V453" s="8">
        <f t="shared" si="67"/>
        <v>539</v>
      </c>
      <c r="W453" t="str">
        <f t="shared" si="68"/>
        <v>Sufficient Stock</v>
      </c>
      <c r="X453" s="9">
        <f t="shared" si="69"/>
        <v>45352</v>
      </c>
      <c r="Y453">
        <f t="shared" si="70"/>
        <v>521</v>
      </c>
      <c r="Z453" t="str">
        <f t="shared" si="71"/>
        <v>Safe</v>
      </c>
    </row>
    <row r="454" spans="1:26" x14ac:dyDescent="0.4">
      <c r="A454" t="s">
        <v>2051</v>
      </c>
      <c r="B454" t="s">
        <v>994</v>
      </c>
      <c r="C454" t="s">
        <v>54</v>
      </c>
      <c r="D454" t="s">
        <v>2052</v>
      </c>
      <c r="E454" t="s">
        <v>2053</v>
      </c>
      <c r="F454">
        <v>51</v>
      </c>
      <c r="G454">
        <v>72</v>
      </c>
      <c r="H454">
        <v>85</v>
      </c>
      <c r="I454" t="s">
        <v>85</v>
      </c>
      <c r="J454" s="7">
        <f t="shared" si="63"/>
        <v>3</v>
      </c>
      <c r="K454" t="s">
        <v>1630</v>
      </c>
      <c r="L454" s="1">
        <f t="shared" si="64"/>
        <v>45374</v>
      </c>
      <c r="M454" t="s">
        <v>1482</v>
      </c>
      <c r="N454" s="1">
        <f t="shared" si="65"/>
        <v>45396</v>
      </c>
      <c r="O454" t="s">
        <v>415</v>
      </c>
      <c r="P454" s="1">
        <f t="shared" si="66"/>
        <v>45588</v>
      </c>
      <c r="Q454" t="s">
        <v>2054</v>
      </c>
      <c r="R454">
        <v>23</v>
      </c>
      <c r="S454">
        <v>17</v>
      </c>
      <c r="T454" t="s">
        <v>51</v>
      </c>
      <c r="U454" s="8">
        <v>69</v>
      </c>
      <c r="V454" s="8">
        <f t="shared" si="67"/>
        <v>153</v>
      </c>
      <c r="W454" t="str">
        <f t="shared" si="68"/>
        <v>Reorder Required</v>
      </c>
      <c r="X454" s="9">
        <f t="shared" si="69"/>
        <v>45352</v>
      </c>
      <c r="Y454">
        <f t="shared" si="70"/>
        <v>214</v>
      </c>
      <c r="Z454" t="str">
        <f t="shared" si="71"/>
        <v>Low Risk</v>
      </c>
    </row>
    <row r="455" spans="1:26" x14ac:dyDescent="0.4">
      <c r="A455" t="s">
        <v>2055</v>
      </c>
      <c r="B455" t="s">
        <v>1017</v>
      </c>
      <c r="C455" t="s">
        <v>169</v>
      </c>
      <c r="D455" t="s">
        <v>2056</v>
      </c>
      <c r="E455" t="s">
        <v>832</v>
      </c>
      <c r="F455">
        <v>100</v>
      </c>
      <c r="G455">
        <v>99</v>
      </c>
      <c r="H455">
        <v>8</v>
      </c>
      <c r="I455" t="s">
        <v>591</v>
      </c>
      <c r="J455" s="7">
        <f t="shared" si="63"/>
        <v>10</v>
      </c>
      <c r="K455" t="s">
        <v>48</v>
      </c>
      <c r="L455" s="1">
        <f t="shared" si="64"/>
        <v>45707</v>
      </c>
      <c r="M455" t="s">
        <v>1272</v>
      </c>
      <c r="N455" s="1">
        <f t="shared" si="65"/>
        <v>45591</v>
      </c>
      <c r="O455" s="1">
        <v>45485</v>
      </c>
      <c r="P455" s="1">
        <f t="shared" si="66"/>
        <v>45485</v>
      </c>
      <c r="Q455" t="s">
        <v>2057</v>
      </c>
      <c r="R455">
        <v>54</v>
      </c>
      <c r="S455">
        <v>92</v>
      </c>
      <c r="T455" t="s">
        <v>26</v>
      </c>
      <c r="U455" s="8">
        <v>540</v>
      </c>
      <c r="V455" s="8">
        <f t="shared" si="67"/>
        <v>1000</v>
      </c>
      <c r="W455" t="str">
        <f t="shared" si="68"/>
        <v>Sufficient Stock</v>
      </c>
      <c r="X455" s="9">
        <f t="shared" si="69"/>
        <v>45689</v>
      </c>
      <c r="Y455">
        <f t="shared" si="70"/>
        <v>-222</v>
      </c>
      <c r="Z455" t="str">
        <f t="shared" si="71"/>
        <v>Invalid Data</v>
      </c>
    </row>
    <row r="456" spans="1:26" x14ac:dyDescent="0.4">
      <c r="A456" t="s">
        <v>2058</v>
      </c>
      <c r="B456" t="s">
        <v>1485</v>
      </c>
      <c r="C456" t="s">
        <v>77</v>
      </c>
      <c r="D456" t="s">
        <v>2059</v>
      </c>
      <c r="E456" t="s">
        <v>20</v>
      </c>
      <c r="F456">
        <v>55</v>
      </c>
      <c r="G456">
        <v>50</v>
      </c>
      <c r="H456">
        <v>56</v>
      </c>
      <c r="I456" t="s">
        <v>2060</v>
      </c>
      <c r="J456" s="7">
        <f t="shared" si="63"/>
        <v>1.7</v>
      </c>
      <c r="K456" s="1">
        <v>45297</v>
      </c>
      <c r="L456" s="1">
        <f t="shared" si="64"/>
        <v>45297</v>
      </c>
      <c r="M456" s="1">
        <v>45546</v>
      </c>
      <c r="N456" s="1">
        <f t="shared" si="65"/>
        <v>45546</v>
      </c>
      <c r="O456" t="s">
        <v>455</v>
      </c>
      <c r="P456" s="1">
        <f t="shared" si="66"/>
        <v>45590</v>
      </c>
      <c r="Q456" t="s">
        <v>2061</v>
      </c>
      <c r="R456">
        <v>62</v>
      </c>
      <c r="S456">
        <v>26</v>
      </c>
      <c r="T456" t="s">
        <v>42</v>
      </c>
      <c r="U456" s="8">
        <v>105.39999999999999</v>
      </c>
      <c r="V456" s="8">
        <f t="shared" si="67"/>
        <v>93.5</v>
      </c>
      <c r="W456" t="str">
        <f t="shared" si="68"/>
        <v>Sufficient Stock</v>
      </c>
      <c r="X456" s="9">
        <f t="shared" si="69"/>
        <v>45292</v>
      </c>
      <c r="Y456">
        <f t="shared" si="70"/>
        <v>293</v>
      </c>
      <c r="Z456" t="str">
        <f t="shared" si="71"/>
        <v>Low Risk</v>
      </c>
    </row>
    <row r="457" spans="1:26" x14ac:dyDescent="0.4">
      <c r="A457" t="s">
        <v>2062</v>
      </c>
      <c r="B457" t="s">
        <v>663</v>
      </c>
      <c r="C457" t="s">
        <v>77</v>
      </c>
      <c r="D457" t="s">
        <v>2063</v>
      </c>
      <c r="E457" t="s">
        <v>2064</v>
      </c>
      <c r="F457">
        <v>14</v>
      </c>
      <c r="G457">
        <v>87</v>
      </c>
      <c r="H457">
        <v>8</v>
      </c>
      <c r="I457" t="s">
        <v>57</v>
      </c>
      <c r="J457" s="7">
        <f t="shared" si="63"/>
        <v>4</v>
      </c>
      <c r="K457" s="1">
        <v>45568</v>
      </c>
      <c r="L457" s="1">
        <f t="shared" si="64"/>
        <v>45568</v>
      </c>
      <c r="M457" s="1">
        <v>45607</v>
      </c>
      <c r="N457" s="1">
        <f t="shared" si="65"/>
        <v>45607</v>
      </c>
      <c r="O457" t="s">
        <v>585</v>
      </c>
      <c r="P457" s="1">
        <f t="shared" si="66"/>
        <v>45687</v>
      </c>
      <c r="Q457" t="s">
        <v>2065</v>
      </c>
      <c r="R457">
        <v>90</v>
      </c>
      <c r="S457">
        <v>14</v>
      </c>
      <c r="T457" t="s">
        <v>51</v>
      </c>
      <c r="U457" s="8">
        <v>360</v>
      </c>
      <c r="V457" s="8">
        <f t="shared" si="67"/>
        <v>56</v>
      </c>
      <c r="W457" t="str">
        <f t="shared" si="68"/>
        <v>Reorder Required</v>
      </c>
      <c r="X457" s="9">
        <f t="shared" si="69"/>
        <v>45566</v>
      </c>
      <c r="Y457">
        <f t="shared" si="70"/>
        <v>119</v>
      </c>
      <c r="Z457" t="str">
        <f t="shared" si="71"/>
        <v>Medium Risk</v>
      </c>
    </row>
    <row r="458" spans="1:26" x14ac:dyDescent="0.4">
      <c r="A458" t="s">
        <v>2066</v>
      </c>
      <c r="B458" t="s">
        <v>203</v>
      </c>
      <c r="C458" t="s">
        <v>77</v>
      </c>
      <c r="D458" t="s">
        <v>2067</v>
      </c>
      <c r="E458" t="s">
        <v>401</v>
      </c>
      <c r="F458">
        <v>29</v>
      </c>
      <c r="G458">
        <v>33</v>
      </c>
      <c r="H458">
        <v>88</v>
      </c>
      <c r="I458" t="s">
        <v>206</v>
      </c>
      <c r="J458" s="7">
        <f t="shared" si="63"/>
        <v>0.8</v>
      </c>
      <c r="K458" t="s">
        <v>1357</v>
      </c>
      <c r="L458" s="1">
        <f t="shared" si="64"/>
        <v>45492</v>
      </c>
      <c r="M458" t="s">
        <v>243</v>
      </c>
      <c r="N458" s="1">
        <f t="shared" si="65"/>
        <v>45527</v>
      </c>
      <c r="O458" t="s">
        <v>372</v>
      </c>
      <c r="P458" s="1">
        <f t="shared" si="66"/>
        <v>45427</v>
      </c>
      <c r="Q458" t="s">
        <v>2068</v>
      </c>
      <c r="R458">
        <v>50</v>
      </c>
      <c r="S458">
        <v>35</v>
      </c>
      <c r="T458" t="s">
        <v>26</v>
      </c>
      <c r="U458" s="8">
        <v>40</v>
      </c>
      <c r="V458" s="8">
        <f t="shared" si="67"/>
        <v>23.200000000000003</v>
      </c>
      <c r="W458" t="str">
        <f t="shared" si="68"/>
        <v>Reorder Required</v>
      </c>
      <c r="X458" s="9">
        <f t="shared" si="69"/>
        <v>45474</v>
      </c>
      <c r="Y458">
        <f t="shared" si="70"/>
        <v>-65</v>
      </c>
      <c r="Z458" t="str">
        <f t="shared" si="71"/>
        <v>Invalid Data</v>
      </c>
    </row>
    <row r="459" spans="1:26" x14ac:dyDescent="0.4">
      <c r="A459" t="s">
        <v>2069</v>
      </c>
      <c r="B459" t="s">
        <v>595</v>
      </c>
      <c r="C459" t="s">
        <v>112</v>
      </c>
      <c r="D459" t="s">
        <v>2070</v>
      </c>
      <c r="E459" t="s">
        <v>1183</v>
      </c>
      <c r="F459">
        <v>100</v>
      </c>
      <c r="G459">
        <v>1</v>
      </c>
      <c r="H459">
        <v>26</v>
      </c>
      <c r="I459" t="s">
        <v>220</v>
      </c>
      <c r="J459" s="7">
        <f t="shared" si="63"/>
        <v>5</v>
      </c>
      <c r="K459" s="1">
        <v>45330</v>
      </c>
      <c r="L459" s="1">
        <f t="shared" si="64"/>
        <v>45330</v>
      </c>
      <c r="M459" t="s">
        <v>549</v>
      </c>
      <c r="N459" s="1">
        <f t="shared" si="65"/>
        <v>45372</v>
      </c>
      <c r="O459" t="s">
        <v>1357</v>
      </c>
      <c r="P459" s="1">
        <f t="shared" si="66"/>
        <v>45492</v>
      </c>
      <c r="Q459" t="s">
        <v>2071</v>
      </c>
      <c r="R459">
        <v>47</v>
      </c>
      <c r="S459">
        <v>79</v>
      </c>
      <c r="T459" t="s">
        <v>51</v>
      </c>
      <c r="U459" s="8">
        <v>235</v>
      </c>
      <c r="V459" s="8">
        <f t="shared" si="67"/>
        <v>500</v>
      </c>
      <c r="W459" t="str">
        <f t="shared" si="68"/>
        <v>Sufficient Stock</v>
      </c>
      <c r="X459" s="9">
        <f t="shared" si="69"/>
        <v>45323</v>
      </c>
      <c r="Y459">
        <f t="shared" si="70"/>
        <v>162</v>
      </c>
      <c r="Z459" t="str">
        <f t="shared" si="71"/>
        <v>Medium Risk</v>
      </c>
    </row>
    <row r="460" spans="1:26" x14ac:dyDescent="0.4">
      <c r="A460" t="s">
        <v>2072</v>
      </c>
      <c r="B460" t="s">
        <v>447</v>
      </c>
      <c r="C460" t="s">
        <v>77</v>
      </c>
      <c r="D460" t="s">
        <v>2073</v>
      </c>
      <c r="E460" t="s">
        <v>1292</v>
      </c>
      <c r="F460">
        <v>49</v>
      </c>
      <c r="G460">
        <v>28</v>
      </c>
      <c r="H460">
        <v>74</v>
      </c>
      <c r="I460" t="s">
        <v>39</v>
      </c>
      <c r="J460" s="7">
        <f t="shared" si="63"/>
        <v>6</v>
      </c>
      <c r="K460" s="1">
        <v>45901</v>
      </c>
      <c r="L460" s="1">
        <f t="shared" si="64"/>
        <v>45901</v>
      </c>
      <c r="M460" t="s">
        <v>1217</v>
      </c>
      <c r="N460" s="1">
        <f t="shared" si="65"/>
        <v>45671</v>
      </c>
      <c r="O460" t="s">
        <v>181</v>
      </c>
      <c r="P460" s="1">
        <f t="shared" si="66"/>
        <v>45407</v>
      </c>
      <c r="Q460" t="s">
        <v>2074</v>
      </c>
      <c r="R460">
        <v>70</v>
      </c>
      <c r="S460">
        <v>38</v>
      </c>
      <c r="T460" t="s">
        <v>26</v>
      </c>
      <c r="U460" s="8">
        <v>420</v>
      </c>
      <c r="V460" s="8">
        <f t="shared" si="67"/>
        <v>294</v>
      </c>
      <c r="W460" t="str">
        <f t="shared" si="68"/>
        <v>Sufficient Stock</v>
      </c>
      <c r="X460" s="9">
        <f t="shared" si="69"/>
        <v>45901</v>
      </c>
      <c r="Y460">
        <f t="shared" si="70"/>
        <v>-494</v>
      </c>
      <c r="Z460" t="str">
        <f t="shared" si="71"/>
        <v>Invalid Data</v>
      </c>
    </row>
    <row r="461" spans="1:26" x14ac:dyDescent="0.4">
      <c r="A461" t="s">
        <v>2075</v>
      </c>
      <c r="B461" t="s">
        <v>912</v>
      </c>
      <c r="C461" t="s">
        <v>68</v>
      </c>
      <c r="D461" t="s">
        <v>2076</v>
      </c>
      <c r="E461" t="s">
        <v>1512</v>
      </c>
      <c r="F461">
        <v>75</v>
      </c>
      <c r="G461">
        <v>61</v>
      </c>
      <c r="H461">
        <v>19</v>
      </c>
      <c r="I461" t="s">
        <v>106</v>
      </c>
      <c r="J461" s="7">
        <f t="shared" si="63"/>
        <v>2</v>
      </c>
      <c r="K461" t="s">
        <v>1500</v>
      </c>
      <c r="L461" s="1">
        <f t="shared" si="64"/>
        <v>45711</v>
      </c>
      <c r="M461" t="s">
        <v>1664</v>
      </c>
      <c r="N461" s="1">
        <f t="shared" si="65"/>
        <v>45686</v>
      </c>
      <c r="O461" s="1">
        <v>45332</v>
      </c>
      <c r="P461" s="1">
        <f t="shared" si="66"/>
        <v>45332</v>
      </c>
      <c r="Q461" t="s">
        <v>2077</v>
      </c>
      <c r="R461">
        <v>79</v>
      </c>
      <c r="S461">
        <v>69</v>
      </c>
      <c r="T461" t="s">
        <v>42</v>
      </c>
      <c r="U461" s="8">
        <v>158</v>
      </c>
      <c r="V461" s="8">
        <f t="shared" si="67"/>
        <v>150</v>
      </c>
      <c r="W461" t="str">
        <f t="shared" si="68"/>
        <v>Sufficient Stock</v>
      </c>
      <c r="X461" s="9">
        <f t="shared" si="69"/>
        <v>45689</v>
      </c>
      <c r="Y461">
        <f t="shared" si="70"/>
        <v>-379</v>
      </c>
      <c r="Z461" t="str">
        <f t="shared" si="71"/>
        <v>Invalid Data</v>
      </c>
    </row>
    <row r="462" spans="1:26" x14ac:dyDescent="0.4">
      <c r="A462" t="s">
        <v>2078</v>
      </c>
      <c r="B462" t="s">
        <v>492</v>
      </c>
      <c r="C462" t="s">
        <v>77</v>
      </c>
      <c r="D462" t="s">
        <v>2079</v>
      </c>
      <c r="E462" t="s">
        <v>2080</v>
      </c>
      <c r="F462">
        <v>82</v>
      </c>
      <c r="G462">
        <v>12</v>
      </c>
      <c r="H462">
        <v>94</v>
      </c>
      <c r="I462" t="s">
        <v>2081</v>
      </c>
      <c r="J462" s="7">
        <f t="shared" si="63"/>
        <v>4.0999999999999996</v>
      </c>
      <c r="K462" t="s">
        <v>592</v>
      </c>
      <c r="L462" s="1">
        <f t="shared" si="64"/>
        <v>45350</v>
      </c>
      <c r="M462" t="s">
        <v>73</v>
      </c>
      <c r="N462" s="1">
        <f t="shared" si="65"/>
        <v>45463</v>
      </c>
      <c r="O462" t="s">
        <v>299</v>
      </c>
      <c r="P462" s="1">
        <f t="shared" si="66"/>
        <v>45678</v>
      </c>
      <c r="Q462" t="s">
        <v>2082</v>
      </c>
      <c r="R462">
        <v>69</v>
      </c>
      <c r="S462">
        <v>93</v>
      </c>
      <c r="T462" t="s">
        <v>51</v>
      </c>
      <c r="U462" s="8">
        <v>282.89999999999998</v>
      </c>
      <c r="V462" s="8">
        <f t="shared" si="67"/>
        <v>336.2</v>
      </c>
      <c r="W462" t="str">
        <f t="shared" si="68"/>
        <v>Sufficient Stock</v>
      </c>
      <c r="X462" s="9">
        <f t="shared" si="69"/>
        <v>45323</v>
      </c>
      <c r="Y462">
        <f t="shared" si="70"/>
        <v>328</v>
      </c>
      <c r="Z462" t="str">
        <f t="shared" si="71"/>
        <v>Low Risk</v>
      </c>
    </row>
    <row r="463" spans="1:26" x14ac:dyDescent="0.4">
      <c r="A463" t="s">
        <v>2083</v>
      </c>
      <c r="B463" t="s">
        <v>659</v>
      </c>
      <c r="C463" t="s">
        <v>77</v>
      </c>
      <c r="D463" t="s">
        <v>2084</v>
      </c>
      <c r="E463" t="s">
        <v>31</v>
      </c>
      <c r="F463">
        <v>68</v>
      </c>
      <c r="G463">
        <v>82</v>
      </c>
      <c r="H463">
        <v>58</v>
      </c>
      <c r="I463" t="s">
        <v>978</v>
      </c>
      <c r="J463" s="7">
        <f t="shared" si="63"/>
        <v>4.8</v>
      </c>
      <c r="K463" s="1">
        <v>45508</v>
      </c>
      <c r="L463" s="1">
        <f t="shared" si="64"/>
        <v>45508</v>
      </c>
      <c r="M463" t="s">
        <v>301</v>
      </c>
      <c r="N463" s="1">
        <f t="shared" si="65"/>
        <v>45528</v>
      </c>
      <c r="O463" s="1">
        <v>45416</v>
      </c>
      <c r="P463" s="1">
        <f t="shared" si="66"/>
        <v>45416</v>
      </c>
      <c r="Q463" t="s">
        <v>2085</v>
      </c>
      <c r="R463">
        <v>90</v>
      </c>
      <c r="S463">
        <v>2</v>
      </c>
      <c r="T463" t="s">
        <v>42</v>
      </c>
      <c r="U463" s="8">
        <v>432</v>
      </c>
      <c r="V463" s="8">
        <f t="shared" si="67"/>
        <v>326.39999999999998</v>
      </c>
      <c r="W463" t="str">
        <f t="shared" si="68"/>
        <v>Reorder Required</v>
      </c>
      <c r="X463" s="9">
        <f t="shared" si="69"/>
        <v>45505</v>
      </c>
      <c r="Y463">
        <f t="shared" si="70"/>
        <v>-92</v>
      </c>
      <c r="Z463" t="str">
        <f t="shared" si="71"/>
        <v>Invalid Data</v>
      </c>
    </row>
    <row r="464" spans="1:26" x14ac:dyDescent="0.4">
      <c r="A464" t="s">
        <v>2086</v>
      </c>
      <c r="B464" t="s">
        <v>67</v>
      </c>
      <c r="C464" t="s">
        <v>68</v>
      </c>
      <c r="D464" t="s">
        <v>2087</v>
      </c>
      <c r="E464" t="s">
        <v>2088</v>
      </c>
      <c r="F464">
        <v>70</v>
      </c>
      <c r="G464">
        <v>96</v>
      </c>
      <c r="H464">
        <v>85</v>
      </c>
      <c r="I464" t="s">
        <v>71</v>
      </c>
      <c r="J464" s="7">
        <f t="shared" si="63"/>
        <v>2.5</v>
      </c>
      <c r="K464" t="s">
        <v>555</v>
      </c>
      <c r="L464" s="1">
        <f t="shared" si="64"/>
        <v>45348</v>
      </c>
      <c r="M464" s="1">
        <v>45360</v>
      </c>
      <c r="N464" s="1">
        <f t="shared" si="65"/>
        <v>45360</v>
      </c>
      <c r="O464" t="s">
        <v>526</v>
      </c>
      <c r="P464" s="1">
        <f t="shared" si="66"/>
        <v>45592</v>
      </c>
      <c r="Q464" t="s">
        <v>2089</v>
      </c>
      <c r="R464">
        <v>34</v>
      </c>
      <c r="S464">
        <v>3</v>
      </c>
      <c r="T464" t="s">
        <v>51</v>
      </c>
      <c r="U464" s="8">
        <v>85</v>
      </c>
      <c r="V464" s="8">
        <f t="shared" si="67"/>
        <v>175</v>
      </c>
      <c r="W464" t="str">
        <f t="shared" si="68"/>
        <v>Reorder Required</v>
      </c>
      <c r="X464" s="9">
        <f t="shared" si="69"/>
        <v>45323</v>
      </c>
      <c r="Y464">
        <f t="shared" si="70"/>
        <v>244</v>
      </c>
      <c r="Z464" t="str">
        <f t="shared" si="71"/>
        <v>Low Risk</v>
      </c>
    </row>
    <row r="465" spans="1:26" x14ac:dyDescent="0.4">
      <c r="A465" t="s">
        <v>2090</v>
      </c>
      <c r="B465" t="s">
        <v>1761</v>
      </c>
      <c r="C465" t="s">
        <v>169</v>
      </c>
      <c r="D465" t="s">
        <v>2091</v>
      </c>
      <c r="E465" t="s">
        <v>1124</v>
      </c>
      <c r="F465">
        <v>49</v>
      </c>
      <c r="G465">
        <v>48</v>
      </c>
      <c r="H465">
        <v>62</v>
      </c>
      <c r="I465" t="s">
        <v>320</v>
      </c>
      <c r="J465" s="7">
        <f t="shared" si="63"/>
        <v>15</v>
      </c>
      <c r="K465" t="s">
        <v>1080</v>
      </c>
      <c r="L465" s="1">
        <f t="shared" si="64"/>
        <v>45551</v>
      </c>
      <c r="M465" t="s">
        <v>656</v>
      </c>
      <c r="N465" s="1">
        <f t="shared" si="65"/>
        <v>45347</v>
      </c>
      <c r="O465" t="s">
        <v>882</v>
      </c>
      <c r="P465" s="1">
        <f t="shared" si="66"/>
        <v>45518</v>
      </c>
      <c r="Q465" t="s">
        <v>2092</v>
      </c>
      <c r="R465">
        <v>96</v>
      </c>
      <c r="S465">
        <v>37</v>
      </c>
      <c r="T465" t="s">
        <v>51</v>
      </c>
      <c r="U465" s="8">
        <v>1440</v>
      </c>
      <c r="V465" s="8">
        <f t="shared" si="67"/>
        <v>735</v>
      </c>
      <c r="W465" t="str">
        <f t="shared" si="68"/>
        <v>Sufficient Stock</v>
      </c>
      <c r="X465" s="9">
        <f t="shared" si="69"/>
        <v>45536</v>
      </c>
      <c r="Y465">
        <f t="shared" si="70"/>
        <v>-33</v>
      </c>
      <c r="Z465" t="str">
        <f t="shared" si="71"/>
        <v>Invalid Data</v>
      </c>
    </row>
    <row r="466" spans="1:26" x14ac:dyDescent="0.4">
      <c r="A466" t="s">
        <v>2093</v>
      </c>
      <c r="B466" t="s">
        <v>1290</v>
      </c>
      <c r="C466" t="s">
        <v>169</v>
      </c>
      <c r="D466" t="s">
        <v>2094</v>
      </c>
      <c r="E466" t="s">
        <v>2095</v>
      </c>
      <c r="F466">
        <v>89</v>
      </c>
      <c r="G466">
        <v>26</v>
      </c>
      <c r="H466">
        <v>36</v>
      </c>
      <c r="I466" t="s">
        <v>1293</v>
      </c>
      <c r="J466" s="7">
        <f t="shared" si="63"/>
        <v>7.5</v>
      </c>
      <c r="K466" t="s">
        <v>420</v>
      </c>
      <c r="L466" s="1">
        <f t="shared" si="64"/>
        <v>45589</v>
      </c>
      <c r="M466" t="s">
        <v>1387</v>
      </c>
      <c r="N466" s="1">
        <f t="shared" si="65"/>
        <v>45503</v>
      </c>
      <c r="O466" t="s">
        <v>128</v>
      </c>
      <c r="P466" s="1">
        <f t="shared" si="66"/>
        <v>45457</v>
      </c>
      <c r="Q466" t="s">
        <v>2096</v>
      </c>
      <c r="R466">
        <v>48</v>
      </c>
      <c r="S466">
        <v>94</v>
      </c>
      <c r="T466" t="s">
        <v>51</v>
      </c>
      <c r="U466" s="8">
        <v>360</v>
      </c>
      <c r="V466" s="8">
        <f t="shared" si="67"/>
        <v>667.5</v>
      </c>
      <c r="W466" t="str">
        <f t="shared" si="68"/>
        <v>Sufficient Stock</v>
      </c>
      <c r="X466" s="9">
        <f t="shared" si="69"/>
        <v>45566</v>
      </c>
      <c r="Y466">
        <f t="shared" si="70"/>
        <v>-132</v>
      </c>
      <c r="Z466" t="str">
        <f t="shared" si="71"/>
        <v>Invalid Data</v>
      </c>
    </row>
    <row r="467" spans="1:26" x14ac:dyDescent="0.4">
      <c r="A467" t="s">
        <v>2097</v>
      </c>
      <c r="B467" t="s">
        <v>602</v>
      </c>
      <c r="C467" t="s">
        <v>77</v>
      </c>
      <c r="D467" t="s">
        <v>2098</v>
      </c>
      <c r="E467" t="s">
        <v>1192</v>
      </c>
      <c r="F467">
        <v>88</v>
      </c>
      <c r="G467">
        <v>53</v>
      </c>
      <c r="H467">
        <v>44</v>
      </c>
      <c r="I467" t="s">
        <v>266</v>
      </c>
      <c r="J467" s="7">
        <f t="shared" si="63"/>
        <v>9</v>
      </c>
      <c r="K467" s="1">
        <v>45748</v>
      </c>
      <c r="L467" s="1">
        <f t="shared" si="64"/>
        <v>45748</v>
      </c>
      <c r="M467" t="s">
        <v>898</v>
      </c>
      <c r="N467" s="1">
        <f t="shared" si="65"/>
        <v>45650</v>
      </c>
      <c r="O467" s="1">
        <v>45810</v>
      </c>
      <c r="P467" s="1">
        <f t="shared" si="66"/>
        <v>45810</v>
      </c>
      <c r="Q467" t="s">
        <v>2099</v>
      </c>
      <c r="R467">
        <v>56</v>
      </c>
      <c r="S467">
        <v>14</v>
      </c>
      <c r="T467" t="s">
        <v>26</v>
      </c>
      <c r="U467" s="8">
        <v>504</v>
      </c>
      <c r="V467" s="8">
        <f t="shared" si="67"/>
        <v>792</v>
      </c>
      <c r="W467" t="str">
        <f t="shared" si="68"/>
        <v>Sufficient Stock</v>
      </c>
      <c r="X467" s="9">
        <f t="shared" si="69"/>
        <v>45748</v>
      </c>
      <c r="Y467">
        <f t="shared" si="70"/>
        <v>62</v>
      </c>
      <c r="Z467" t="str">
        <f t="shared" si="71"/>
        <v>High Risk</v>
      </c>
    </row>
    <row r="468" spans="1:26" x14ac:dyDescent="0.4">
      <c r="A468" t="s">
        <v>2100</v>
      </c>
      <c r="B468" t="s">
        <v>869</v>
      </c>
      <c r="C468" t="s">
        <v>29</v>
      </c>
      <c r="D468" t="s">
        <v>2101</v>
      </c>
      <c r="E468" t="s">
        <v>1169</v>
      </c>
      <c r="F468">
        <v>39</v>
      </c>
      <c r="G468">
        <v>88</v>
      </c>
      <c r="H468">
        <v>100</v>
      </c>
      <c r="I468" t="s">
        <v>147</v>
      </c>
      <c r="J468" s="7">
        <f t="shared" si="63"/>
        <v>8</v>
      </c>
      <c r="K468" t="s">
        <v>308</v>
      </c>
      <c r="L468" s="1">
        <f t="shared" si="64"/>
        <v>45621</v>
      </c>
      <c r="M468" t="s">
        <v>585</v>
      </c>
      <c r="N468" s="1">
        <f t="shared" si="65"/>
        <v>45687</v>
      </c>
      <c r="O468" t="s">
        <v>372</v>
      </c>
      <c r="P468" s="1">
        <f t="shared" si="66"/>
        <v>45427</v>
      </c>
      <c r="Q468" t="s">
        <v>2102</v>
      </c>
      <c r="R468">
        <v>28</v>
      </c>
      <c r="S468">
        <v>18</v>
      </c>
      <c r="T468" t="s">
        <v>42</v>
      </c>
      <c r="U468" s="8">
        <v>224</v>
      </c>
      <c r="V468" s="8">
        <f t="shared" si="67"/>
        <v>312</v>
      </c>
      <c r="W468" t="str">
        <f t="shared" si="68"/>
        <v>Reorder Required</v>
      </c>
      <c r="X468" s="9">
        <f t="shared" si="69"/>
        <v>45597</v>
      </c>
      <c r="Y468">
        <f t="shared" si="70"/>
        <v>-194</v>
      </c>
      <c r="Z468" t="str">
        <f t="shared" si="71"/>
        <v>Invalid Data</v>
      </c>
    </row>
    <row r="469" spans="1:26" x14ac:dyDescent="0.4">
      <c r="A469" t="s">
        <v>2103</v>
      </c>
      <c r="B469" t="s">
        <v>779</v>
      </c>
      <c r="C469" t="s">
        <v>54</v>
      </c>
      <c r="D469" t="s">
        <v>2104</v>
      </c>
      <c r="E469" t="s">
        <v>724</v>
      </c>
      <c r="F469">
        <v>87</v>
      </c>
      <c r="G469">
        <v>91</v>
      </c>
      <c r="H469">
        <v>94</v>
      </c>
      <c r="I469" t="s">
        <v>71</v>
      </c>
      <c r="J469" s="7">
        <f t="shared" si="63"/>
        <v>2.5</v>
      </c>
      <c r="K469" s="1">
        <v>45389</v>
      </c>
      <c r="L469" s="1">
        <f t="shared" si="64"/>
        <v>45389</v>
      </c>
      <c r="M469" t="s">
        <v>935</v>
      </c>
      <c r="N469" s="1">
        <f t="shared" si="65"/>
        <v>45560</v>
      </c>
      <c r="O469" t="s">
        <v>1110</v>
      </c>
      <c r="P469" s="1">
        <f t="shared" si="66"/>
        <v>45468</v>
      </c>
      <c r="Q469" t="s">
        <v>2105</v>
      </c>
      <c r="R469">
        <v>47</v>
      </c>
      <c r="S469">
        <v>4</v>
      </c>
      <c r="T469" t="s">
        <v>26</v>
      </c>
      <c r="U469" s="8">
        <v>117.5</v>
      </c>
      <c r="V469" s="8">
        <f t="shared" si="67"/>
        <v>217.5</v>
      </c>
      <c r="W469" t="str">
        <f t="shared" si="68"/>
        <v>Reorder Required</v>
      </c>
      <c r="X469" s="9">
        <f t="shared" si="69"/>
        <v>45383</v>
      </c>
      <c r="Y469">
        <f t="shared" si="70"/>
        <v>79</v>
      </c>
      <c r="Z469" t="str">
        <f t="shared" si="71"/>
        <v>High Risk</v>
      </c>
    </row>
    <row r="470" spans="1:26" x14ac:dyDescent="0.4">
      <c r="A470" t="s">
        <v>2106</v>
      </c>
      <c r="B470" t="s">
        <v>218</v>
      </c>
      <c r="C470" t="s">
        <v>112</v>
      </c>
      <c r="D470" t="s">
        <v>2107</v>
      </c>
      <c r="E470" t="s">
        <v>597</v>
      </c>
      <c r="F470">
        <v>93</v>
      </c>
      <c r="G470">
        <v>50</v>
      </c>
      <c r="H470">
        <v>43</v>
      </c>
      <c r="I470" t="s">
        <v>220</v>
      </c>
      <c r="J470" s="7">
        <f t="shared" si="63"/>
        <v>5</v>
      </c>
      <c r="K470" t="s">
        <v>1488</v>
      </c>
      <c r="L470" s="1">
        <f t="shared" si="64"/>
        <v>45470</v>
      </c>
      <c r="M470" t="s">
        <v>347</v>
      </c>
      <c r="N470" s="1">
        <f t="shared" si="65"/>
        <v>45428</v>
      </c>
      <c r="O470" s="1">
        <v>45545</v>
      </c>
      <c r="P470" s="1">
        <f t="shared" si="66"/>
        <v>45545</v>
      </c>
      <c r="Q470" t="s">
        <v>2108</v>
      </c>
      <c r="R470">
        <v>76</v>
      </c>
      <c r="S470">
        <v>35</v>
      </c>
      <c r="T470" t="s">
        <v>26</v>
      </c>
      <c r="U470" s="8">
        <v>380</v>
      </c>
      <c r="V470" s="8">
        <f t="shared" si="67"/>
        <v>465</v>
      </c>
      <c r="W470" t="str">
        <f t="shared" si="68"/>
        <v>Sufficient Stock</v>
      </c>
      <c r="X470" s="9">
        <f t="shared" si="69"/>
        <v>45444</v>
      </c>
      <c r="Y470">
        <f t="shared" si="70"/>
        <v>75</v>
      </c>
      <c r="Z470" t="str">
        <f t="shared" si="71"/>
        <v>High Risk</v>
      </c>
    </row>
    <row r="471" spans="1:26" x14ac:dyDescent="0.4">
      <c r="A471" t="s">
        <v>2109</v>
      </c>
      <c r="B471" t="s">
        <v>932</v>
      </c>
      <c r="C471" t="s">
        <v>77</v>
      </c>
      <c r="D471" t="s">
        <v>2110</v>
      </c>
      <c r="E471" t="s">
        <v>2111</v>
      </c>
      <c r="F471">
        <v>23</v>
      </c>
      <c r="G471">
        <v>21</v>
      </c>
      <c r="H471">
        <v>59</v>
      </c>
      <c r="I471" t="s">
        <v>554</v>
      </c>
      <c r="J471" s="7">
        <f t="shared" si="63"/>
        <v>2.4</v>
      </c>
      <c r="K471" t="s">
        <v>700</v>
      </c>
      <c r="L471" s="1">
        <f t="shared" si="64"/>
        <v>45519</v>
      </c>
      <c r="M471" s="1">
        <v>45568</v>
      </c>
      <c r="N471" s="1">
        <f t="shared" si="65"/>
        <v>45568</v>
      </c>
      <c r="O471" s="1">
        <v>45483</v>
      </c>
      <c r="P471" s="1">
        <f t="shared" si="66"/>
        <v>45483</v>
      </c>
      <c r="Q471" t="s">
        <v>2112</v>
      </c>
      <c r="R471">
        <v>81</v>
      </c>
      <c r="S471">
        <v>8</v>
      </c>
      <c r="T471" t="s">
        <v>51</v>
      </c>
      <c r="U471" s="8">
        <v>194.4</v>
      </c>
      <c r="V471" s="8">
        <f t="shared" si="67"/>
        <v>55.199999999999996</v>
      </c>
      <c r="W471" t="str">
        <f t="shared" si="68"/>
        <v>Sufficient Stock</v>
      </c>
      <c r="X471" s="9">
        <f t="shared" si="69"/>
        <v>45505</v>
      </c>
      <c r="Y471">
        <f t="shared" si="70"/>
        <v>-36</v>
      </c>
      <c r="Z471" t="str">
        <f t="shared" si="71"/>
        <v>Invalid Data</v>
      </c>
    </row>
    <row r="472" spans="1:26" x14ac:dyDescent="0.4">
      <c r="A472" t="s">
        <v>2113</v>
      </c>
      <c r="B472" t="s">
        <v>1712</v>
      </c>
      <c r="C472" t="s">
        <v>112</v>
      </c>
      <c r="D472" t="s">
        <v>2114</v>
      </c>
      <c r="E472" t="s">
        <v>2115</v>
      </c>
      <c r="F472">
        <v>94</v>
      </c>
      <c r="G472">
        <v>34</v>
      </c>
      <c r="H472">
        <v>21</v>
      </c>
      <c r="I472" t="s">
        <v>1386</v>
      </c>
      <c r="J472" s="7">
        <f t="shared" si="63"/>
        <v>5.5</v>
      </c>
      <c r="K472" t="s">
        <v>72</v>
      </c>
      <c r="L472" s="1">
        <f t="shared" si="64"/>
        <v>45369</v>
      </c>
      <c r="M472" t="s">
        <v>300</v>
      </c>
      <c r="N472" s="1">
        <f t="shared" si="65"/>
        <v>45371</v>
      </c>
      <c r="O472" s="1">
        <v>45302</v>
      </c>
      <c r="P472" s="1">
        <f t="shared" si="66"/>
        <v>45302</v>
      </c>
      <c r="Q472" t="s">
        <v>2116</v>
      </c>
      <c r="R472">
        <v>74</v>
      </c>
      <c r="S472">
        <v>70</v>
      </c>
      <c r="T472" t="s">
        <v>42</v>
      </c>
      <c r="U472" s="8">
        <v>407</v>
      </c>
      <c r="V472" s="8">
        <f t="shared" si="67"/>
        <v>517</v>
      </c>
      <c r="W472" t="str">
        <f t="shared" si="68"/>
        <v>Sufficient Stock</v>
      </c>
      <c r="X472" s="9">
        <f t="shared" si="69"/>
        <v>45352</v>
      </c>
      <c r="Y472">
        <f t="shared" si="70"/>
        <v>-67</v>
      </c>
      <c r="Z472" t="str">
        <f t="shared" si="71"/>
        <v>Invalid Data</v>
      </c>
    </row>
    <row r="473" spans="1:26" x14ac:dyDescent="0.4">
      <c r="A473" t="s">
        <v>2117</v>
      </c>
      <c r="B473" t="s">
        <v>1228</v>
      </c>
      <c r="C473" t="s">
        <v>112</v>
      </c>
      <c r="D473" t="s">
        <v>2118</v>
      </c>
      <c r="E473" t="s">
        <v>825</v>
      </c>
      <c r="F473">
        <v>38</v>
      </c>
      <c r="G473">
        <v>43</v>
      </c>
      <c r="H473">
        <v>91</v>
      </c>
      <c r="I473" t="s">
        <v>57</v>
      </c>
      <c r="J473" s="7">
        <f t="shared" si="63"/>
        <v>4</v>
      </c>
      <c r="K473" t="s">
        <v>635</v>
      </c>
      <c r="L473" s="1">
        <f t="shared" si="64"/>
        <v>45402</v>
      </c>
      <c r="M473" t="s">
        <v>228</v>
      </c>
      <c r="N473" s="1">
        <f t="shared" si="65"/>
        <v>45522</v>
      </c>
      <c r="O473" t="s">
        <v>1597</v>
      </c>
      <c r="P473" s="1">
        <f t="shared" si="66"/>
        <v>45706</v>
      </c>
      <c r="Q473" t="s">
        <v>2119</v>
      </c>
      <c r="R473">
        <v>72</v>
      </c>
      <c r="S473">
        <v>64</v>
      </c>
      <c r="T473" t="s">
        <v>51</v>
      </c>
      <c r="U473" s="8">
        <v>288</v>
      </c>
      <c r="V473" s="8">
        <f t="shared" si="67"/>
        <v>152</v>
      </c>
      <c r="W473" t="str">
        <f t="shared" si="68"/>
        <v>Reorder Required</v>
      </c>
      <c r="X473" s="9">
        <f t="shared" si="69"/>
        <v>45383</v>
      </c>
      <c r="Y473">
        <f t="shared" si="70"/>
        <v>304</v>
      </c>
      <c r="Z473" t="str">
        <f t="shared" si="71"/>
        <v>Low Risk</v>
      </c>
    </row>
    <row r="474" spans="1:26" x14ac:dyDescent="0.4">
      <c r="A474" t="s">
        <v>2120</v>
      </c>
      <c r="B474" t="s">
        <v>1455</v>
      </c>
      <c r="C474" t="s">
        <v>77</v>
      </c>
      <c r="D474" t="s">
        <v>2121</v>
      </c>
      <c r="E474" t="s">
        <v>865</v>
      </c>
      <c r="F474">
        <v>11</v>
      </c>
      <c r="G474">
        <v>9</v>
      </c>
      <c r="H474">
        <v>65</v>
      </c>
      <c r="I474" t="s">
        <v>106</v>
      </c>
      <c r="J474" s="7">
        <f t="shared" si="63"/>
        <v>2</v>
      </c>
      <c r="K474" t="s">
        <v>244</v>
      </c>
      <c r="L474" s="1">
        <f t="shared" si="64"/>
        <v>45578</v>
      </c>
      <c r="M474" s="1">
        <v>45394</v>
      </c>
      <c r="N474" s="1">
        <f t="shared" si="65"/>
        <v>45394</v>
      </c>
      <c r="O474" s="1">
        <v>45571</v>
      </c>
      <c r="P474" s="1">
        <f t="shared" si="66"/>
        <v>45571</v>
      </c>
      <c r="Q474" t="s">
        <v>2122</v>
      </c>
      <c r="R474">
        <v>48</v>
      </c>
      <c r="S474">
        <v>96</v>
      </c>
      <c r="T474" t="s">
        <v>26</v>
      </c>
      <c r="U474" s="8">
        <v>96</v>
      </c>
      <c r="V474" s="8">
        <f t="shared" si="67"/>
        <v>22</v>
      </c>
      <c r="W474" t="str">
        <f t="shared" si="68"/>
        <v>Sufficient Stock</v>
      </c>
      <c r="X474" s="9">
        <f t="shared" si="69"/>
        <v>45566</v>
      </c>
      <c r="Y474">
        <f t="shared" si="70"/>
        <v>-7</v>
      </c>
      <c r="Z474" t="str">
        <f t="shared" si="71"/>
        <v>Invalid Data</v>
      </c>
    </row>
    <row r="475" spans="1:26" x14ac:dyDescent="0.4">
      <c r="A475" t="s">
        <v>2123</v>
      </c>
      <c r="B475" t="s">
        <v>458</v>
      </c>
      <c r="C475" t="s">
        <v>29</v>
      </c>
      <c r="D475" t="s">
        <v>2124</v>
      </c>
      <c r="E475" t="s">
        <v>1872</v>
      </c>
      <c r="F475">
        <v>60</v>
      </c>
      <c r="G475">
        <v>27</v>
      </c>
      <c r="H475">
        <v>58</v>
      </c>
      <c r="I475" t="s">
        <v>2125</v>
      </c>
      <c r="J475" s="7">
        <f t="shared" si="63"/>
        <v>25.3</v>
      </c>
      <c r="K475" t="s">
        <v>268</v>
      </c>
      <c r="L475" s="1">
        <f t="shared" si="64"/>
        <v>45652</v>
      </c>
      <c r="M475" t="s">
        <v>1488</v>
      </c>
      <c r="N475" s="1">
        <f t="shared" si="65"/>
        <v>45470</v>
      </c>
      <c r="O475" t="s">
        <v>229</v>
      </c>
      <c r="P475" s="1">
        <f t="shared" si="66"/>
        <v>45615</v>
      </c>
      <c r="Q475" t="s">
        <v>2126</v>
      </c>
      <c r="R475">
        <v>43</v>
      </c>
      <c r="S475">
        <v>91</v>
      </c>
      <c r="T475" t="s">
        <v>51</v>
      </c>
      <c r="U475" s="8">
        <v>1087.9000000000001</v>
      </c>
      <c r="V475" s="8">
        <f t="shared" si="67"/>
        <v>1518</v>
      </c>
      <c r="W475" t="str">
        <f t="shared" si="68"/>
        <v>Sufficient Stock</v>
      </c>
      <c r="X475" s="9">
        <f t="shared" si="69"/>
        <v>45627</v>
      </c>
      <c r="Y475">
        <f t="shared" si="70"/>
        <v>-37</v>
      </c>
      <c r="Z475" t="str">
        <f t="shared" si="71"/>
        <v>Invalid Data</v>
      </c>
    </row>
    <row r="476" spans="1:26" x14ac:dyDescent="0.4">
      <c r="A476" t="s">
        <v>2127</v>
      </c>
      <c r="B476" t="s">
        <v>789</v>
      </c>
      <c r="C476" t="s">
        <v>68</v>
      </c>
      <c r="D476" t="s">
        <v>2128</v>
      </c>
      <c r="E476" t="s">
        <v>406</v>
      </c>
      <c r="F476">
        <v>50</v>
      </c>
      <c r="G476">
        <v>36</v>
      </c>
      <c r="H476">
        <v>81</v>
      </c>
      <c r="I476" t="s">
        <v>591</v>
      </c>
      <c r="J476" s="7">
        <f t="shared" si="63"/>
        <v>10</v>
      </c>
      <c r="K476" t="s">
        <v>428</v>
      </c>
      <c r="L476" s="1">
        <f t="shared" si="64"/>
        <v>45561</v>
      </c>
      <c r="M476" s="1">
        <v>45631</v>
      </c>
      <c r="N476" s="1">
        <f t="shared" si="65"/>
        <v>45631</v>
      </c>
      <c r="O476" s="1">
        <v>45388</v>
      </c>
      <c r="P476" s="1">
        <f t="shared" si="66"/>
        <v>45388</v>
      </c>
      <c r="Q476" t="s">
        <v>2129</v>
      </c>
      <c r="R476">
        <v>27</v>
      </c>
      <c r="S476">
        <v>6</v>
      </c>
      <c r="T476" t="s">
        <v>26</v>
      </c>
      <c r="U476" s="8">
        <v>270</v>
      </c>
      <c r="V476" s="8">
        <f t="shared" si="67"/>
        <v>500</v>
      </c>
      <c r="W476" t="str">
        <f t="shared" si="68"/>
        <v>Sufficient Stock</v>
      </c>
      <c r="X476" s="9">
        <f t="shared" si="69"/>
        <v>45536</v>
      </c>
      <c r="Y476">
        <f t="shared" si="70"/>
        <v>-173</v>
      </c>
      <c r="Z476" t="str">
        <f t="shared" si="71"/>
        <v>Invalid Data</v>
      </c>
    </row>
    <row r="477" spans="1:26" x14ac:dyDescent="0.4">
      <c r="A477" t="s">
        <v>2130</v>
      </c>
      <c r="B477" t="s">
        <v>76</v>
      </c>
      <c r="C477" t="s">
        <v>77</v>
      </c>
      <c r="D477" t="s">
        <v>2131</v>
      </c>
      <c r="E477" t="s">
        <v>1159</v>
      </c>
      <c r="F477">
        <v>90</v>
      </c>
      <c r="G477">
        <v>3</v>
      </c>
      <c r="H477">
        <v>49</v>
      </c>
      <c r="I477" t="s">
        <v>71</v>
      </c>
      <c r="J477" s="7">
        <f t="shared" si="63"/>
        <v>2.5</v>
      </c>
      <c r="K477" s="1">
        <v>45448</v>
      </c>
      <c r="L477" s="1">
        <f t="shared" si="64"/>
        <v>45448</v>
      </c>
      <c r="M477" s="1">
        <v>45356</v>
      </c>
      <c r="N477" s="1">
        <f t="shared" si="65"/>
        <v>45356</v>
      </c>
      <c r="O477" t="s">
        <v>827</v>
      </c>
      <c r="P477" s="1">
        <f t="shared" si="66"/>
        <v>45701</v>
      </c>
      <c r="Q477" t="s">
        <v>2132</v>
      </c>
      <c r="R477">
        <v>51</v>
      </c>
      <c r="S477">
        <v>87</v>
      </c>
      <c r="T477" t="s">
        <v>26</v>
      </c>
      <c r="U477" s="8">
        <v>127.5</v>
      </c>
      <c r="V477" s="8">
        <f t="shared" si="67"/>
        <v>225</v>
      </c>
      <c r="W477" t="str">
        <f t="shared" si="68"/>
        <v>Sufficient Stock</v>
      </c>
      <c r="X477" s="9">
        <f t="shared" si="69"/>
        <v>45444</v>
      </c>
      <c r="Y477">
        <f t="shared" si="70"/>
        <v>253</v>
      </c>
      <c r="Z477" t="str">
        <f t="shared" si="71"/>
        <v>Low Risk</v>
      </c>
    </row>
    <row r="478" spans="1:26" x14ac:dyDescent="0.4">
      <c r="A478" t="s">
        <v>2133</v>
      </c>
      <c r="B478" t="s">
        <v>517</v>
      </c>
      <c r="C478" t="s">
        <v>18</v>
      </c>
      <c r="D478" t="s">
        <v>2134</v>
      </c>
      <c r="E478" t="s">
        <v>1531</v>
      </c>
      <c r="F478">
        <v>86</v>
      </c>
      <c r="G478">
        <v>80</v>
      </c>
      <c r="H478">
        <v>80</v>
      </c>
      <c r="I478" t="s">
        <v>21</v>
      </c>
      <c r="J478" s="7">
        <f t="shared" si="63"/>
        <v>4.5</v>
      </c>
      <c r="K478" t="s">
        <v>72</v>
      </c>
      <c r="L478" s="1">
        <f t="shared" si="64"/>
        <v>45369</v>
      </c>
      <c r="M478" t="s">
        <v>725</v>
      </c>
      <c r="N478" s="1">
        <f t="shared" si="65"/>
        <v>45425</v>
      </c>
      <c r="O478" t="s">
        <v>618</v>
      </c>
      <c r="P478" s="1">
        <f t="shared" si="66"/>
        <v>45432</v>
      </c>
      <c r="Q478" t="s">
        <v>2135</v>
      </c>
      <c r="R478">
        <v>22</v>
      </c>
      <c r="S478">
        <v>67</v>
      </c>
      <c r="T478" t="s">
        <v>26</v>
      </c>
      <c r="U478" s="8">
        <v>99</v>
      </c>
      <c r="V478" s="8">
        <f t="shared" si="67"/>
        <v>387</v>
      </c>
      <c r="W478" t="str">
        <f t="shared" si="68"/>
        <v>Sufficient Stock</v>
      </c>
      <c r="X478" s="9">
        <f t="shared" si="69"/>
        <v>45352</v>
      </c>
      <c r="Y478">
        <f t="shared" si="70"/>
        <v>63</v>
      </c>
      <c r="Z478" t="str">
        <f t="shared" si="71"/>
        <v>High Risk</v>
      </c>
    </row>
    <row r="479" spans="1:26" x14ac:dyDescent="0.4">
      <c r="A479" t="s">
        <v>2136</v>
      </c>
      <c r="B479" t="s">
        <v>779</v>
      </c>
      <c r="C479" t="s">
        <v>54</v>
      </c>
      <c r="D479" t="s">
        <v>2137</v>
      </c>
      <c r="E479" t="s">
        <v>846</v>
      </c>
      <c r="F479">
        <v>86</v>
      </c>
      <c r="G479">
        <v>66</v>
      </c>
      <c r="H479">
        <v>24</v>
      </c>
      <c r="I479" t="s">
        <v>71</v>
      </c>
      <c r="J479" s="7">
        <f t="shared" si="63"/>
        <v>2.5</v>
      </c>
      <c r="K479" t="s">
        <v>525</v>
      </c>
      <c r="L479" s="1">
        <f t="shared" si="64"/>
        <v>45502</v>
      </c>
      <c r="M479" s="1">
        <v>45749</v>
      </c>
      <c r="N479" s="1">
        <f t="shared" si="65"/>
        <v>45749</v>
      </c>
      <c r="O479" t="s">
        <v>1174</v>
      </c>
      <c r="P479" s="1">
        <f t="shared" si="66"/>
        <v>45677</v>
      </c>
      <c r="Q479" t="s">
        <v>2138</v>
      </c>
      <c r="R479">
        <v>30</v>
      </c>
      <c r="S479">
        <v>6</v>
      </c>
      <c r="T479" t="s">
        <v>26</v>
      </c>
      <c r="U479" s="8">
        <v>75</v>
      </c>
      <c r="V479" s="8">
        <f t="shared" si="67"/>
        <v>215</v>
      </c>
      <c r="W479" t="str">
        <f t="shared" si="68"/>
        <v>Sufficient Stock</v>
      </c>
      <c r="X479" s="9">
        <f t="shared" si="69"/>
        <v>45474</v>
      </c>
      <c r="Y479">
        <f t="shared" si="70"/>
        <v>175</v>
      </c>
      <c r="Z479" t="str">
        <f t="shared" si="71"/>
        <v>Medium Risk</v>
      </c>
    </row>
    <row r="480" spans="1:26" x14ac:dyDescent="0.4">
      <c r="A480" t="s">
        <v>2139</v>
      </c>
      <c r="B480" t="s">
        <v>669</v>
      </c>
      <c r="C480" t="s">
        <v>18</v>
      </c>
      <c r="D480" t="s">
        <v>2140</v>
      </c>
      <c r="E480" t="s">
        <v>257</v>
      </c>
      <c r="F480">
        <v>54</v>
      </c>
      <c r="G480">
        <v>17</v>
      </c>
      <c r="H480">
        <v>90</v>
      </c>
      <c r="I480" t="s">
        <v>671</v>
      </c>
      <c r="J480" s="7">
        <f t="shared" si="63"/>
        <v>9.5</v>
      </c>
      <c r="K480" t="s">
        <v>444</v>
      </c>
      <c r="L480" s="1">
        <f t="shared" si="64"/>
        <v>45680</v>
      </c>
      <c r="M480" s="1">
        <v>45481</v>
      </c>
      <c r="N480" s="1">
        <f t="shared" si="65"/>
        <v>45481</v>
      </c>
      <c r="O480" s="1">
        <v>45871</v>
      </c>
      <c r="P480" s="1">
        <f t="shared" si="66"/>
        <v>45871</v>
      </c>
      <c r="Q480" t="s">
        <v>2141</v>
      </c>
      <c r="R480">
        <v>60</v>
      </c>
      <c r="S480">
        <v>20</v>
      </c>
      <c r="T480" t="s">
        <v>51</v>
      </c>
      <c r="U480" s="8">
        <v>570</v>
      </c>
      <c r="V480" s="8">
        <f t="shared" si="67"/>
        <v>513</v>
      </c>
      <c r="W480" t="str">
        <f t="shared" si="68"/>
        <v>Sufficient Stock</v>
      </c>
      <c r="X480" s="9">
        <f t="shared" si="69"/>
        <v>45658</v>
      </c>
      <c r="Y480">
        <f t="shared" si="70"/>
        <v>191</v>
      </c>
      <c r="Z480" t="str">
        <f t="shared" si="71"/>
        <v>Low Risk</v>
      </c>
    </row>
    <row r="481" spans="1:26" x14ac:dyDescent="0.4">
      <c r="A481" t="s">
        <v>2142</v>
      </c>
      <c r="B481" t="s">
        <v>994</v>
      </c>
      <c r="C481" t="s">
        <v>54</v>
      </c>
      <c r="D481" t="s">
        <v>2143</v>
      </c>
      <c r="E481" t="s">
        <v>1581</v>
      </c>
      <c r="F481">
        <v>27</v>
      </c>
      <c r="G481">
        <v>64</v>
      </c>
      <c r="H481">
        <v>43</v>
      </c>
      <c r="I481" t="s">
        <v>85</v>
      </c>
      <c r="J481" s="7">
        <f t="shared" si="63"/>
        <v>3</v>
      </c>
      <c r="K481" t="s">
        <v>93</v>
      </c>
      <c r="L481" s="1">
        <f t="shared" si="64"/>
        <v>45610</v>
      </c>
      <c r="M481" t="s">
        <v>1165</v>
      </c>
      <c r="N481" s="1">
        <f t="shared" si="65"/>
        <v>45626</v>
      </c>
      <c r="O481" t="s">
        <v>1683</v>
      </c>
      <c r="P481" s="1">
        <f t="shared" si="66"/>
        <v>45373</v>
      </c>
      <c r="Q481" t="s">
        <v>2144</v>
      </c>
      <c r="R481">
        <v>70</v>
      </c>
      <c r="S481">
        <v>58</v>
      </c>
      <c r="T481" t="s">
        <v>26</v>
      </c>
      <c r="U481" s="8">
        <v>210</v>
      </c>
      <c r="V481" s="8">
        <f t="shared" si="67"/>
        <v>81</v>
      </c>
      <c r="W481" t="str">
        <f t="shared" si="68"/>
        <v>Reorder Required</v>
      </c>
      <c r="X481" s="9">
        <f t="shared" si="69"/>
        <v>45597</v>
      </c>
      <c r="Y481">
        <f t="shared" si="70"/>
        <v>-237</v>
      </c>
      <c r="Z481" t="str">
        <f t="shared" si="71"/>
        <v>Invalid Data</v>
      </c>
    </row>
    <row r="482" spans="1:26" x14ac:dyDescent="0.4">
      <c r="A482" t="s">
        <v>2145</v>
      </c>
      <c r="B482" t="s">
        <v>111</v>
      </c>
      <c r="C482" t="s">
        <v>112</v>
      </c>
      <c r="D482" t="s">
        <v>2146</v>
      </c>
      <c r="E482" t="s">
        <v>1672</v>
      </c>
      <c r="F482">
        <v>50</v>
      </c>
      <c r="G482">
        <v>58</v>
      </c>
      <c r="H482">
        <v>78</v>
      </c>
      <c r="I482" t="s">
        <v>85</v>
      </c>
      <c r="J482" s="7">
        <f t="shared" si="63"/>
        <v>3</v>
      </c>
      <c r="K482" t="s">
        <v>108</v>
      </c>
      <c r="L482" s="1">
        <f t="shared" si="64"/>
        <v>45579</v>
      </c>
      <c r="M482" t="s">
        <v>49</v>
      </c>
      <c r="N482" s="1">
        <f t="shared" si="65"/>
        <v>45399</v>
      </c>
      <c r="O482" t="s">
        <v>33</v>
      </c>
      <c r="P482" s="1">
        <f t="shared" si="66"/>
        <v>45441</v>
      </c>
      <c r="Q482" t="s">
        <v>2147</v>
      </c>
      <c r="R482">
        <v>83</v>
      </c>
      <c r="S482">
        <v>49</v>
      </c>
      <c r="T482" t="s">
        <v>51</v>
      </c>
      <c r="U482" s="8">
        <v>249</v>
      </c>
      <c r="V482" s="8">
        <f t="shared" si="67"/>
        <v>150</v>
      </c>
      <c r="W482" t="str">
        <f t="shared" si="68"/>
        <v>Reorder Required</v>
      </c>
      <c r="X482" s="9">
        <f t="shared" si="69"/>
        <v>45566</v>
      </c>
      <c r="Y482">
        <f t="shared" si="70"/>
        <v>-138</v>
      </c>
      <c r="Z482" t="str">
        <f t="shared" si="71"/>
        <v>Invalid Data</v>
      </c>
    </row>
    <row r="483" spans="1:26" x14ac:dyDescent="0.4">
      <c r="A483" t="s">
        <v>2148</v>
      </c>
      <c r="B483" t="s">
        <v>271</v>
      </c>
      <c r="C483" t="s">
        <v>54</v>
      </c>
      <c r="D483" t="s">
        <v>2149</v>
      </c>
      <c r="E483" t="s">
        <v>1178</v>
      </c>
      <c r="F483">
        <v>68</v>
      </c>
      <c r="G483">
        <v>10</v>
      </c>
      <c r="H483">
        <v>29</v>
      </c>
      <c r="I483" t="s">
        <v>106</v>
      </c>
      <c r="J483" s="7">
        <f t="shared" si="63"/>
        <v>2</v>
      </c>
      <c r="K483" t="s">
        <v>969</v>
      </c>
      <c r="L483" s="1">
        <f t="shared" si="64"/>
        <v>45596</v>
      </c>
      <c r="M483" s="1">
        <v>45479</v>
      </c>
      <c r="N483" s="1">
        <f t="shared" si="65"/>
        <v>45479</v>
      </c>
      <c r="O483" t="s">
        <v>1630</v>
      </c>
      <c r="P483" s="1">
        <f t="shared" si="66"/>
        <v>45374</v>
      </c>
      <c r="Q483" t="s">
        <v>2150</v>
      </c>
      <c r="R483">
        <v>37</v>
      </c>
      <c r="S483">
        <v>11</v>
      </c>
      <c r="T483" t="s">
        <v>26</v>
      </c>
      <c r="U483" s="8">
        <v>74</v>
      </c>
      <c r="V483" s="8">
        <f t="shared" si="67"/>
        <v>136</v>
      </c>
      <c r="W483" t="str">
        <f t="shared" si="68"/>
        <v>Sufficient Stock</v>
      </c>
      <c r="X483" s="9">
        <f t="shared" si="69"/>
        <v>45566</v>
      </c>
      <c r="Y483">
        <f t="shared" si="70"/>
        <v>-222</v>
      </c>
      <c r="Z483" t="str">
        <f t="shared" si="71"/>
        <v>Invalid Data</v>
      </c>
    </row>
    <row r="484" spans="1:26" x14ac:dyDescent="0.4">
      <c r="A484" t="s">
        <v>2151</v>
      </c>
      <c r="B484" t="s">
        <v>363</v>
      </c>
      <c r="C484" t="s">
        <v>112</v>
      </c>
      <c r="D484" t="s">
        <v>2152</v>
      </c>
      <c r="E484" t="s">
        <v>977</v>
      </c>
      <c r="F484">
        <v>22</v>
      </c>
      <c r="G484">
        <v>60</v>
      </c>
      <c r="H484">
        <v>73</v>
      </c>
      <c r="I484" t="s">
        <v>771</v>
      </c>
      <c r="J484" s="7">
        <f t="shared" si="63"/>
        <v>4.2</v>
      </c>
      <c r="K484" s="1">
        <v>45542</v>
      </c>
      <c r="L484" s="1">
        <f t="shared" si="64"/>
        <v>45542</v>
      </c>
      <c r="M484" s="1">
        <v>45515</v>
      </c>
      <c r="N484" s="1">
        <f t="shared" si="65"/>
        <v>45515</v>
      </c>
      <c r="O484" s="1">
        <v>45633</v>
      </c>
      <c r="P484" s="1">
        <f t="shared" si="66"/>
        <v>45633</v>
      </c>
      <c r="Q484" t="s">
        <v>2153</v>
      </c>
      <c r="R484">
        <v>62</v>
      </c>
      <c r="S484">
        <v>3</v>
      </c>
      <c r="T484" t="s">
        <v>42</v>
      </c>
      <c r="U484" s="8">
        <v>260.40000000000003</v>
      </c>
      <c r="V484" s="8">
        <f t="shared" si="67"/>
        <v>92.4</v>
      </c>
      <c r="W484" t="str">
        <f t="shared" si="68"/>
        <v>Reorder Required</v>
      </c>
      <c r="X484" s="9">
        <f t="shared" si="69"/>
        <v>45536</v>
      </c>
      <c r="Y484">
        <f t="shared" si="70"/>
        <v>91</v>
      </c>
      <c r="Z484" t="str">
        <f t="shared" si="71"/>
        <v>Medium Risk</v>
      </c>
    </row>
    <row r="485" spans="1:26" x14ac:dyDescent="0.4">
      <c r="A485" t="s">
        <v>2154</v>
      </c>
      <c r="B485" t="s">
        <v>602</v>
      </c>
      <c r="C485" t="s">
        <v>77</v>
      </c>
      <c r="D485" t="s">
        <v>2155</v>
      </c>
      <c r="E485" t="s">
        <v>1271</v>
      </c>
      <c r="F485">
        <v>50</v>
      </c>
      <c r="G485">
        <v>14</v>
      </c>
      <c r="H485">
        <v>6</v>
      </c>
      <c r="I485" t="s">
        <v>1368</v>
      </c>
      <c r="J485" s="7">
        <f t="shared" si="63"/>
        <v>9.1999999999999993</v>
      </c>
      <c r="K485" s="1">
        <v>45328</v>
      </c>
      <c r="L485" s="1">
        <f t="shared" si="64"/>
        <v>45328</v>
      </c>
      <c r="M485" t="s">
        <v>1057</v>
      </c>
      <c r="N485" s="1">
        <f t="shared" si="65"/>
        <v>45645</v>
      </c>
      <c r="O485" s="1">
        <v>45513</v>
      </c>
      <c r="P485" s="1">
        <f t="shared" si="66"/>
        <v>45513</v>
      </c>
      <c r="Q485" t="s">
        <v>2156</v>
      </c>
      <c r="R485">
        <v>60</v>
      </c>
      <c r="S485">
        <v>72</v>
      </c>
      <c r="T485" t="s">
        <v>42</v>
      </c>
      <c r="U485" s="8">
        <v>552</v>
      </c>
      <c r="V485" s="8">
        <f t="shared" si="67"/>
        <v>459.99999999999994</v>
      </c>
      <c r="W485" t="str">
        <f t="shared" si="68"/>
        <v>Sufficient Stock</v>
      </c>
      <c r="X485" s="9">
        <f t="shared" si="69"/>
        <v>45323</v>
      </c>
      <c r="Y485">
        <f t="shared" si="70"/>
        <v>185</v>
      </c>
      <c r="Z485" t="str">
        <f t="shared" si="71"/>
        <v>Low Risk</v>
      </c>
    </row>
    <row r="486" spans="1:26" x14ac:dyDescent="0.4">
      <c r="A486" t="s">
        <v>2157</v>
      </c>
      <c r="B486" t="s">
        <v>498</v>
      </c>
      <c r="C486" t="s">
        <v>54</v>
      </c>
      <c r="D486" t="s">
        <v>2158</v>
      </c>
      <c r="E486" t="s">
        <v>2159</v>
      </c>
      <c r="F486">
        <v>26</v>
      </c>
      <c r="G486">
        <v>12</v>
      </c>
      <c r="H486">
        <v>43</v>
      </c>
      <c r="I486" t="s">
        <v>2160</v>
      </c>
      <c r="J486" s="7">
        <f t="shared" si="63"/>
        <v>4.4000000000000004</v>
      </c>
      <c r="K486" t="s">
        <v>719</v>
      </c>
      <c r="L486" s="1">
        <f t="shared" si="64"/>
        <v>45674</v>
      </c>
      <c r="M486" t="s">
        <v>1080</v>
      </c>
      <c r="N486" s="1">
        <f t="shared" si="65"/>
        <v>45551</v>
      </c>
      <c r="O486" t="s">
        <v>214</v>
      </c>
      <c r="P486" s="1">
        <f t="shared" si="66"/>
        <v>45712</v>
      </c>
      <c r="Q486" t="s">
        <v>2161</v>
      </c>
      <c r="R486">
        <v>73</v>
      </c>
      <c r="S486">
        <v>20</v>
      </c>
      <c r="T486" t="s">
        <v>42</v>
      </c>
      <c r="U486" s="8">
        <v>321.20000000000005</v>
      </c>
      <c r="V486" s="8">
        <f t="shared" si="67"/>
        <v>114.4</v>
      </c>
      <c r="W486" t="str">
        <f t="shared" si="68"/>
        <v>Sufficient Stock</v>
      </c>
      <c r="X486" s="9">
        <f t="shared" si="69"/>
        <v>45658</v>
      </c>
      <c r="Y486">
        <f t="shared" si="70"/>
        <v>38</v>
      </c>
      <c r="Z486" t="str">
        <f t="shared" si="71"/>
        <v>High Risk</v>
      </c>
    </row>
    <row r="487" spans="1:26" x14ac:dyDescent="0.4">
      <c r="A487" t="s">
        <v>2162</v>
      </c>
      <c r="B487" t="s">
        <v>458</v>
      </c>
      <c r="C487" t="s">
        <v>29</v>
      </c>
      <c r="D487" t="s">
        <v>2163</v>
      </c>
      <c r="E487" t="s">
        <v>2164</v>
      </c>
      <c r="F487">
        <v>62</v>
      </c>
      <c r="G487">
        <v>31</v>
      </c>
      <c r="H487">
        <v>24</v>
      </c>
      <c r="I487" t="s">
        <v>461</v>
      </c>
      <c r="J487" s="7">
        <f t="shared" si="63"/>
        <v>25</v>
      </c>
      <c r="K487" t="s">
        <v>328</v>
      </c>
      <c r="L487" s="1">
        <f t="shared" si="64"/>
        <v>45412</v>
      </c>
      <c r="M487" s="1">
        <v>45571</v>
      </c>
      <c r="N487" s="1">
        <f t="shared" si="65"/>
        <v>45571</v>
      </c>
      <c r="O487" s="1">
        <v>45810</v>
      </c>
      <c r="P487" s="1">
        <f t="shared" si="66"/>
        <v>45810</v>
      </c>
      <c r="Q487" t="s">
        <v>2165</v>
      </c>
      <c r="R487">
        <v>89</v>
      </c>
      <c r="S487">
        <v>100</v>
      </c>
      <c r="T487" t="s">
        <v>42</v>
      </c>
      <c r="U487" s="8">
        <v>2225</v>
      </c>
      <c r="V487" s="8">
        <f t="shared" si="67"/>
        <v>1550</v>
      </c>
      <c r="W487" t="str">
        <f t="shared" si="68"/>
        <v>Sufficient Stock</v>
      </c>
      <c r="X487" s="9">
        <f t="shared" si="69"/>
        <v>45383</v>
      </c>
      <c r="Y487">
        <f t="shared" si="70"/>
        <v>398</v>
      </c>
      <c r="Z487" t="str">
        <f t="shared" si="71"/>
        <v>Safe</v>
      </c>
    </row>
    <row r="488" spans="1:26" x14ac:dyDescent="0.4">
      <c r="A488" t="s">
        <v>2166</v>
      </c>
      <c r="B488" t="s">
        <v>476</v>
      </c>
      <c r="C488" t="s">
        <v>54</v>
      </c>
      <c r="D488" t="s">
        <v>2167</v>
      </c>
      <c r="E488" t="s">
        <v>380</v>
      </c>
      <c r="F488">
        <v>79</v>
      </c>
      <c r="G488">
        <v>72</v>
      </c>
      <c r="H488">
        <v>6</v>
      </c>
      <c r="I488" t="s">
        <v>57</v>
      </c>
      <c r="J488" s="7">
        <f t="shared" si="63"/>
        <v>4</v>
      </c>
      <c r="K488" s="1">
        <v>45603</v>
      </c>
      <c r="L488" s="1">
        <f t="shared" si="64"/>
        <v>45603</v>
      </c>
      <c r="M488" s="1">
        <v>45448</v>
      </c>
      <c r="N488" s="1">
        <f t="shared" si="65"/>
        <v>45448</v>
      </c>
      <c r="O488" s="1">
        <v>45296</v>
      </c>
      <c r="P488" s="1">
        <f t="shared" si="66"/>
        <v>45296</v>
      </c>
      <c r="Q488" t="s">
        <v>2168</v>
      </c>
      <c r="R488">
        <v>67</v>
      </c>
      <c r="S488">
        <v>63</v>
      </c>
      <c r="T488" t="s">
        <v>51</v>
      </c>
      <c r="U488" s="8">
        <v>268</v>
      </c>
      <c r="V488" s="8">
        <f t="shared" si="67"/>
        <v>316</v>
      </c>
      <c r="W488" t="str">
        <f t="shared" si="68"/>
        <v>Sufficient Stock</v>
      </c>
      <c r="X488" s="9">
        <f t="shared" si="69"/>
        <v>45597</v>
      </c>
      <c r="Y488">
        <f t="shared" si="70"/>
        <v>-307</v>
      </c>
      <c r="Z488" t="str">
        <f t="shared" si="71"/>
        <v>Invalid Data</v>
      </c>
    </row>
    <row r="489" spans="1:26" x14ac:dyDescent="0.4">
      <c r="A489" t="s">
        <v>2169</v>
      </c>
      <c r="B489" t="s">
        <v>733</v>
      </c>
      <c r="C489" t="s">
        <v>54</v>
      </c>
      <c r="D489" t="s">
        <v>2170</v>
      </c>
      <c r="E489" t="s">
        <v>1724</v>
      </c>
      <c r="F489">
        <v>73</v>
      </c>
      <c r="G489">
        <v>90</v>
      </c>
      <c r="H489">
        <v>77</v>
      </c>
      <c r="I489" t="s">
        <v>57</v>
      </c>
      <c r="J489" s="7">
        <f t="shared" si="63"/>
        <v>4</v>
      </c>
      <c r="K489" t="s">
        <v>555</v>
      </c>
      <c r="L489" s="1">
        <f t="shared" si="64"/>
        <v>45348</v>
      </c>
      <c r="M489" t="s">
        <v>700</v>
      </c>
      <c r="N489" s="1">
        <f t="shared" si="65"/>
        <v>45519</v>
      </c>
      <c r="O489" s="1">
        <v>45446</v>
      </c>
      <c r="P489" s="1">
        <f t="shared" si="66"/>
        <v>45446</v>
      </c>
      <c r="Q489" t="s">
        <v>2171</v>
      </c>
      <c r="R489">
        <v>75</v>
      </c>
      <c r="S489">
        <v>19</v>
      </c>
      <c r="T489" t="s">
        <v>42</v>
      </c>
      <c r="U489" s="8">
        <v>300</v>
      </c>
      <c r="V489" s="8">
        <f t="shared" si="67"/>
        <v>292</v>
      </c>
      <c r="W489" t="str">
        <f t="shared" si="68"/>
        <v>Reorder Required</v>
      </c>
      <c r="X489" s="9">
        <f t="shared" si="69"/>
        <v>45323</v>
      </c>
      <c r="Y489">
        <f t="shared" si="70"/>
        <v>98</v>
      </c>
      <c r="Z489" t="str">
        <f t="shared" si="71"/>
        <v>Medium Risk</v>
      </c>
    </row>
    <row r="490" spans="1:26" x14ac:dyDescent="0.4">
      <c r="A490" t="s">
        <v>2172</v>
      </c>
      <c r="B490" t="s">
        <v>425</v>
      </c>
      <c r="C490" t="s">
        <v>54</v>
      </c>
      <c r="D490" t="s">
        <v>2173</v>
      </c>
      <c r="E490" t="s">
        <v>973</v>
      </c>
      <c r="F490">
        <v>18</v>
      </c>
      <c r="G490">
        <v>50</v>
      </c>
      <c r="H490">
        <v>77</v>
      </c>
      <c r="I490" t="s">
        <v>2174</v>
      </c>
      <c r="J490" s="7">
        <f t="shared" si="63"/>
        <v>1.45</v>
      </c>
      <c r="K490" s="1">
        <v>45362</v>
      </c>
      <c r="L490" s="1">
        <f t="shared" si="64"/>
        <v>45362</v>
      </c>
      <c r="M490" t="s">
        <v>382</v>
      </c>
      <c r="N490" s="1">
        <f t="shared" si="65"/>
        <v>45534</v>
      </c>
      <c r="O490" t="s">
        <v>48</v>
      </c>
      <c r="P490" s="1">
        <f t="shared" si="66"/>
        <v>45707</v>
      </c>
      <c r="Q490" t="s">
        <v>2175</v>
      </c>
      <c r="R490">
        <v>44</v>
      </c>
      <c r="S490">
        <v>19</v>
      </c>
      <c r="T490" t="s">
        <v>51</v>
      </c>
      <c r="U490" s="8">
        <v>63.8</v>
      </c>
      <c r="V490" s="8">
        <f t="shared" si="67"/>
        <v>26.099999999999998</v>
      </c>
      <c r="W490" t="str">
        <f t="shared" si="68"/>
        <v>Reorder Required</v>
      </c>
      <c r="X490" s="9">
        <f t="shared" si="69"/>
        <v>45352</v>
      </c>
      <c r="Y490">
        <f t="shared" si="70"/>
        <v>345</v>
      </c>
      <c r="Z490" t="str">
        <f t="shared" si="71"/>
        <v>Low Risk</v>
      </c>
    </row>
    <row r="491" spans="1:26" x14ac:dyDescent="0.4">
      <c r="A491" t="s">
        <v>2176</v>
      </c>
      <c r="B491" t="s">
        <v>1249</v>
      </c>
      <c r="C491" t="s">
        <v>54</v>
      </c>
      <c r="D491" t="s">
        <v>2177</v>
      </c>
      <c r="E491" t="s">
        <v>749</v>
      </c>
      <c r="F491">
        <v>79</v>
      </c>
      <c r="G491">
        <v>74</v>
      </c>
      <c r="H491">
        <v>87</v>
      </c>
      <c r="I491" t="s">
        <v>57</v>
      </c>
      <c r="J491" s="7">
        <f t="shared" si="63"/>
        <v>4</v>
      </c>
      <c r="K491" s="1">
        <v>45481</v>
      </c>
      <c r="L491" s="1">
        <f t="shared" si="64"/>
        <v>45481</v>
      </c>
      <c r="M491" s="1">
        <v>45539</v>
      </c>
      <c r="N491" s="1">
        <f t="shared" si="65"/>
        <v>45539</v>
      </c>
      <c r="O491" t="s">
        <v>359</v>
      </c>
      <c r="P491" s="1">
        <f t="shared" si="66"/>
        <v>45583</v>
      </c>
      <c r="Q491" t="s">
        <v>2178</v>
      </c>
      <c r="R491">
        <v>80</v>
      </c>
      <c r="S491">
        <v>26</v>
      </c>
      <c r="T491" t="s">
        <v>42</v>
      </c>
      <c r="U491" s="8">
        <v>320</v>
      </c>
      <c r="V491" s="8">
        <f t="shared" si="67"/>
        <v>316</v>
      </c>
      <c r="W491" t="str">
        <f t="shared" si="68"/>
        <v>Sufficient Stock</v>
      </c>
      <c r="X491" s="9">
        <f t="shared" si="69"/>
        <v>45474</v>
      </c>
      <c r="Y491">
        <f t="shared" si="70"/>
        <v>102</v>
      </c>
      <c r="Z491" t="str">
        <f t="shared" si="71"/>
        <v>Medium Risk</v>
      </c>
    </row>
    <row r="492" spans="1:26" x14ac:dyDescent="0.4">
      <c r="A492" t="s">
        <v>2179</v>
      </c>
      <c r="B492" t="s">
        <v>28</v>
      </c>
      <c r="C492" t="s">
        <v>29</v>
      </c>
      <c r="D492" t="s">
        <v>2180</v>
      </c>
      <c r="E492" t="s">
        <v>340</v>
      </c>
      <c r="F492">
        <v>23</v>
      </c>
      <c r="G492">
        <v>13</v>
      </c>
      <c r="H492">
        <v>15</v>
      </c>
      <c r="I492" t="s">
        <v>32</v>
      </c>
      <c r="J492" s="7">
        <f t="shared" si="63"/>
        <v>20</v>
      </c>
      <c r="K492" t="s">
        <v>909</v>
      </c>
      <c r="L492" s="1">
        <f t="shared" si="64"/>
        <v>45378</v>
      </c>
      <c r="M492" t="s">
        <v>736</v>
      </c>
      <c r="N492" s="1">
        <f t="shared" si="65"/>
        <v>45433</v>
      </c>
      <c r="O492" t="s">
        <v>1343</v>
      </c>
      <c r="P492" s="1">
        <f t="shared" si="66"/>
        <v>45617</v>
      </c>
      <c r="Q492" t="s">
        <v>2181</v>
      </c>
      <c r="R492">
        <v>31</v>
      </c>
      <c r="S492">
        <v>28</v>
      </c>
      <c r="T492" t="s">
        <v>42</v>
      </c>
      <c r="U492" s="8">
        <v>620</v>
      </c>
      <c r="V492" s="8">
        <f t="shared" si="67"/>
        <v>460</v>
      </c>
      <c r="W492" t="str">
        <f t="shared" si="68"/>
        <v>Sufficient Stock</v>
      </c>
      <c r="X492" s="9">
        <f t="shared" si="69"/>
        <v>45352</v>
      </c>
      <c r="Y492">
        <f t="shared" si="70"/>
        <v>239</v>
      </c>
      <c r="Z492" t="str">
        <f t="shared" si="71"/>
        <v>Low Risk</v>
      </c>
    </row>
    <row r="493" spans="1:26" x14ac:dyDescent="0.4">
      <c r="A493" t="s">
        <v>2182</v>
      </c>
      <c r="B493" t="s">
        <v>1354</v>
      </c>
      <c r="C493" t="s">
        <v>77</v>
      </c>
      <c r="D493" t="s">
        <v>2183</v>
      </c>
      <c r="E493" t="s">
        <v>2184</v>
      </c>
      <c r="F493">
        <v>18</v>
      </c>
      <c r="G493">
        <v>64</v>
      </c>
      <c r="H493">
        <v>86</v>
      </c>
      <c r="I493" t="s">
        <v>91</v>
      </c>
      <c r="J493" s="7">
        <f t="shared" si="63"/>
        <v>1</v>
      </c>
      <c r="K493" t="s">
        <v>556</v>
      </c>
      <c r="L493" s="1">
        <f t="shared" si="64"/>
        <v>45548</v>
      </c>
      <c r="M493" s="1">
        <v>45541</v>
      </c>
      <c r="N493" s="1">
        <f t="shared" si="65"/>
        <v>45541</v>
      </c>
      <c r="O493" s="1">
        <v>45546</v>
      </c>
      <c r="P493" s="1">
        <f t="shared" si="66"/>
        <v>45546</v>
      </c>
      <c r="Q493" t="s">
        <v>2185</v>
      </c>
      <c r="R493">
        <v>73</v>
      </c>
      <c r="S493">
        <v>38</v>
      </c>
      <c r="T493" t="s">
        <v>51</v>
      </c>
      <c r="U493" s="8">
        <v>73</v>
      </c>
      <c r="V493" s="8">
        <f t="shared" si="67"/>
        <v>18</v>
      </c>
      <c r="W493" t="str">
        <f t="shared" si="68"/>
        <v>Reorder Required</v>
      </c>
      <c r="X493" s="9">
        <f t="shared" si="69"/>
        <v>45536</v>
      </c>
      <c r="Y493">
        <f t="shared" si="70"/>
        <v>-2</v>
      </c>
      <c r="Z493" t="str">
        <f t="shared" si="71"/>
        <v>Invalid Data</v>
      </c>
    </row>
    <row r="494" spans="1:26" x14ac:dyDescent="0.4">
      <c r="A494" t="s">
        <v>2186</v>
      </c>
      <c r="B494" t="s">
        <v>1086</v>
      </c>
      <c r="C494" t="s">
        <v>68</v>
      </c>
      <c r="D494" t="s">
        <v>2187</v>
      </c>
      <c r="E494" t="s">
        <v>991</v>
      </c>
      <c r="F494">
        <v>24</v>
      </c>
      <c r="G494">
        <v>35</v>
      </c>
      <c r="H494">
        <v>14</v>
      </c>
      <c r="I494" t="s">
        <v>71</v>
      </c>
      <c r="J494" s="7">
        <f t="shared" si="63"/>
        <v>2.5</v>
      </c>
      <c r="K494" s="1">
        <v>45387</v>
      </c>
      <c r="L494" s="1">
        <f t="shared" si="64"/>
        <v>45387</v>
      </c>
      <c r="M494" t="s">
        <v>213</v>
      </c>
      <c r="N494" s="1">
        <f t="shared" si="65"/>
        <v>45467</v>
      </c>
      <c r="O494" s="1">
        <v>45303</v>
      </c>
      <c r="P494" s="1">
        <f t="shared" si="66"/>
        <v>45303</v>
      </c>
      <c r="Q494" t="s">
        <v>2188</v>
      </c>
      <c r="R494">
        <v>91</v>
      </c>
      <c r="S494">
        <v>71</v>
      </c>
      <c r="T494" t="s">
        <v>42</v>
      </c>
      <c r="U494" s="8">
        <v>227.5</v>
      </c>
      <c r="V494" s="8">
        <f t="shared" si="67"/>
        <v>60</v>
      </c>
      <c r="W494" t="str">
        <f t="shared" si="68"/>
        <v>Reorder Required</v>
      </c>
      <c r="X494" s="9">
        <f t="shared" si="69"/>
        <v>45383</v>
      </c>
      <c r="Y494">
        <f t="shared" si="70"/>
        <v>-84</v>
      </c>
      <c r="Z494" t="str">
        <f t="shared" si="71"/>
        <v>Invalid Data</v>
      </c>
    </row>
    <row r="495" spans="1:26" x14ac:dyDescent="0.4">
      <c r="A495" t="s">
        <v>2189</v>
      </c>
      <c r="B495" t="s">
        <v>994</v>
      </c>
      <c r="C495" t="s">
        <v>54</v>
      </c>
      <c r="D495" t="s">
        <v>2190</v>
      </c>
      <c r="E495" t="s">
        <v>796</v>
      </c>
      <c r="F495">
        <v>53</v>
      </c>
      <c r="G495">
        <v>41</v>
      </c>
      <c r="H495">
        <v>30</v>
      </c>
      <c r="I495" t="s">
        <v>85</v>
      </c>
      <c r="J495" s="7">
        <f t="shared" si="63"/>
        <v>3</v>
      </c>
      <c r="K495" t="s">
        <v>495</v>
      </c>
      <c r="L495" s="1">
        <f t="shared" si="64"/>
        <v>45367</v>
      </c>
      <c r="M495" t="s">
        <v>193</v>
      </c>
      <c r="N495" s="1">
        <f t="shared" si="65"/>
        <v>45670</v>
      </c>
      <c r="O495" t="s">
        <v>24</v>
      </c>
      <c r="P495" s="1">
        <f t="shared" si="66"/>
        <v>45554</v>
      </c>
      <c r="Q495" t="s">
        <v>2191</v>
      </c>
      <c r="R495">
        <v>24</v>
      </c>
      <c r="S495">
        <v>77</v>
      </c>
      <c r="T495" t="s">
        <v>26</v>
      </c>
      <c r="U495" s="8">
        <v>72</v>
      </c>
      <c r="V495" s="8">
        <f t="shared" si="67"/>
        <v>159</v>
      </c>
      <c r="W495" t="str">
        <f t="shared" si="68"/>
        <v>Sufficient Stock</v>
      </c>
      <c r="X495" s="9">
        <f t="shared" si="69"/>
        <v>45352</v>
      </c>
      <c r="Y495">
        <f t="shared" si="70"/>
        <v>187</v>
      </c>
      <c r="Z495" t="str">
        <f t="shared" si="71"/>
        <v>Low Risk</v>
      </c>
    </row>
    <row r="496" spans="1:26" x14ac:dyDescent="0.4">
      <c r="A496" t="s">
        <v>2192</v>
      </c>
      <c r="B496" t="s">
        <v>1485</v>
      </c>
      <c r="C496" t="s">
        <v>77</v>
      </c>
      <c r="D496" t="s">
        <v>2193</v>
      </c>
      <c r="E496" t="s">
        <v>574</v>
      </c>
      <c r="F496">
        <v>85</v>
      </c>
      <c r="G496">
        <v>83</v>
      </c>
      <c r="H496">
        <v>13</v>
      </c>
      <c r="I496" t="s">
        <v>63</v>
      </c>
      <c r="J496" s="7">
        <f t="shared" si="63"/>
        <v>1.75</v>
      </c>
      <c r="K496" s="1">
        <v>45416</v>
      </c>
      <c r="L496" s="1">
        <f t="shared" si="64"/>
        <v>45416</v>
      </c>
      <c r="M496" t="s">
        <v>215</v>
      </c>
      <c r="N496" s="1">
        <f t="shared" si="65"/>
        <v>45368</v>
      </c>
      <c r="O496" s="1">
        <v>45690</v>
      </c>
      <c r="P496" s="1">
        <f t="shared" si="66"/>
        <v>45690</v>
      </c>
      <c r="Q496" t="s">
        <v>2194</v>
      </c>
      <c r="R496">
        <v>49</v>
      </c>
      <c r="S496">
        <v>75</v>
      </c>
      <c r="T496" t="s">
        <v>42</v>
      </c>
      <c r="U496" s="8">
        <v>85.75</v>
      </c>
      <c r="V496" s="8">
        <f t="shared" si="67"/>
        <v>148.75</v>
      </c>
      <c r="W496" t="str">
        <f t="shared" si="68"/>
        <v>Sufficient Stock</v>
      </c>
      <c r="X496" s="9">
        <f t="shared" si="69"/>
        <v>45413</v>
      </c>
      <c r="Y496">
        <f t="shared" si="70"/>
        <v>274</v>
      </c>
      <c r="Z496" t="str">
        <f t="shared" si="71"/>
        <v>Low Risk</v>
      </c>
    </row>
    <row r="497" spans="1:26" x14ac:dyDescent="0.4">
      <c r="A497" t="s">
        <v>2195</v>
      </c>
      <c r="B497" t="s">
        <v>943</v>
      </c>
      <c r="C497" t="s">
        <v>68</v>
      </c>
      <c r="D497" t="s">
        <v>2196</v>
      </c>
      <c r="E497" t="s">
        <v>1487</v>
      </c>
      <c r="F497">
        <v>15</v>
      </c>
      <c r="G497">
        <v>34</v>
      </c>
      <c r="H497">
        <v>57</v>
      </c>
      <c r="I497" t="s">
        <v>945</v>
      </c>
      <c r="J497" s="7">
        <f t="shared" si="63"/>
        <v>6.5</v>
      </c>
      <c r="K497" t="s">
        <v>1173</v>
      </c>
      <c r="L497" s="1">
        <f t="shared" si="64"/>
        <v>45526</v>
      </c>
      <c r="M497" s="1">
        <v>45992</v>
      </c>
      <c r="N497" s="1">
        <f t="shared" si="65"/>
        <v>45992</v>
      </c>
      <c r="O497" t="s">
        <v>467</v>
      </c>
      <c r="P497" s="1">
        <f t="shared" si="66"/>
        <v>45673</v>
      </c>
      <c r="Q497" t="s">
        <v>2197</v>
      </c>
      <c r="R497">
        <v>49</v>
      </c>
      <c r="S497">
        <v>96</v>
      </c>
      <c r="T497" t="s">
        <v>26</v>
      </c>
      <c r="U497" s="8">
        <v>318.5</v>
      </c>
      <c r="V497" s="8">
        <f t="shared" si="67"/>
        <v>97.5</v>
      </c>
      <c r="W497" t="str">
        <f t="shared" si="68"/>
        <v>Reorder Required</v>
      </c>
      <c r="X497" s="9">
        <f t="shared" si="69"/>
        <v>45505</v>
      </c>
      <c r="Y497">
        <f t="shared" si="70"/>
        <v>147</v>
      </c>
      <c r="Z497" t="str">
        <f t="shared" si="71"/>
        <v>Medium Risk</v>
      </c>
    </row>
    <row r="498" spans="1:26" x14ac:dyDescent="0.4">
      <c r="A498" t="s">
        <v>2198</v>
      </c>
      <c r="B498" t="s">
        <v>1017</v>
      </c>
      <c r="C498" t="s">
        <v>169</v>
      </c>
      <c r="D498" t="s">
        <v>2199</v>
      </c>
      <c r="E498" t="s">
        <v>1136</v>
      </c>
      <c r="F498">
        <v>66</v>
      </c>
      <c r="G498">
        <v>49</v>
      </c>
      <c r="H498">
        <v>41</v>
      </c>
      <c r="I498" t="s">
        <v>591</v>
      </c>
      <c r="J498" s="7">
        <f t="shared" si="63"/>
        <v>10</v>
      </c>
      <c r="K498" t="s">
        <v>1488</v>
      </c>
      <c r="L498" s="1">
        <f t="shared" si="64"/>
        <v>45470</v>
      </c>
      <c r="M498" s="1">
        <v>45514</v>
      </c>
      <c r="N498" s="1">
        <f t="shared" si="65"/>
        <v>45514</v>
      </c>
      <c r="O498" t="s">
        <v>955</v>
      </c>
      <c r="P498" s="1">
        <f t="shared" si="66"/>
        <v>45499</v>
      </c>
      <c r="Q498" t="s">
        <v>2200</v>
      </c>
      <c r="R498">
        <v>27</v>
      </c>
      <c r="S498">
        <v>37</v>
      </c>
      <c r="T498" t="s">
        <v>26</v>
      </c>
      <c r="U498" s="8">
        <v>270</v>
      </c>
      <c r="V498" s="8">
        <f t="shared" si="67"/>
        <v>660</v>
      </c>
      <c r="W498" t="str">
        <f t="shared" si="68"/>
        <v>Sufficient Stock</v>
      </c>
      <c r="X498" s="9">
        <f t="shared" si="69"/>
        <v>45444</v>
      </c>
      <c r="Y498">
        <f t="shared" si="70"/>
        <v>29</v>
      </c>
      <c r="Z498" t="str">
        <f t="shared" si="71"/>
        <v>Critical</v>
      </c>
    </row>
    <row r="499" spans="1:26" x14ac:dyDescent="0.4">
      <c r="A499" t="s">
        <v>2201</v>
      </c>
      <c r="B499" t="s">
        <v>67</v>
      </c>
      <c r="C499" t="s">
        <v>68</v>
      </c>
      <c r="D499" t="s">
        <v>2202</v>
      </c>
      <c r="E499" t="s">
        <v>2080</v>
      </c>
      <c r="F499">
        <v>17</v>
      </c>
      <c r="G499">
        <v>63</v>
      </c>
      <c r="H499">
        <v>66</v>
      </c>
      <c r="I499" t="s">
        <v>71</v>
      </c>
      <c r="J499" s="7">
        <f t="shared" si="63"/>
        <v>2.5</v>
      </c>
      <c r="K499" t="s">
        <v>286</v>
      </c>
      <c r="L499" s="1">
        <f t="shared" si="64"/>
        <v>45682</v>
      </c>
      <c r="M499" t="s">
        <v>336</v>
      </c>
      <c r="N499" s="1">
        <f t="shared" si="65"/>
        <v>45681</v>
      </c>
      <c r="O499" t="s">
        <v>1343</v>
      </c>
      <c r="P499" s="1">
        <f t="shared" si="66"/>
        <v>45617</v>
      </c>
      <c r="Q499" t="s">
        <v>2203</v>
      </c>
      <c r="R499">
        <v>23</v>
      </c>
      <c r="S499">
        <v>46</v>
      </c>
      <c r="T499" t="s">
        <v>42</v>
      </c>
      <c r="U499" s="8">
        <v>57.5</v>
      </c>
      <c r="V499" s="8">
        <f t="shared" si="67"/>
        <v>42.5</v>
      </c>
      <c r="W499" t="str">
        <f t="shared" si="68"/>
        <v>Reorder Required</v>
      </c>
      <c r="X499" s="9">
        <f t="shared" si="69"/>
        <v>45658</v>
      </c>
      <c r="Y499">
        <f t="shared" si="70"/>
        <v>-65</v>
      </c>
      <c r="Z499" t="str">
        <f t="shared" si="71"/>
        <v>Invalid Data</v>
      </c>
    </row>
    <row r="500" spans="1:26" x14ac:dyDescent="0.4">
      <c r="A500" t="s">
        <v>2204</v>
      </c>
      <c r="B500" t="s">
        <v>1383</v>
      </c>
      <c r="C500" t="s">
        <v>54</v>
      </c>
      <c r="D500" t="s">
        <v>2205</v>
      </c>
      <c r="E500" t="s">
        <v>1221</v>
      </c>
      <c r="F500">
        <v>13</v>
      </c>
      <c r="G500">
        <v>61</v>
      </c>
      <c r="H500">
        <v>77</v>
      </c>
      <c r="I500" t="s">
        <v>1386</v>
      </c>
      <c r="J500" s="7">
        <f t="shared" si="63"/>
        <v>5.5</v>
      </c>
      <c r="K500" t="s">
        <v>322</v>
      </c>
      <c r="L500" s="1">
        <f t="shared" si="64"/>
        <v>45495</v>
      </c>
      <c r="M500" t="s">
        <v>1116</v>
      </c>
      <c r="N500" s="1">
        <f t="shared" si="65"/>
        <v>45709</v>
      </c>
      <c r="O500" t="s">
        <v>1664</v>
      </c>
      <c r="P500" s="1">
        <f t="shared" si="66"/>
        <v>45686</v>
      </c>
      <c r="Q500" t="s">
        <v>2206</v>
      </c>
      <c r="R500">
        <v>42</v>
      </c>
      <c r="S500">
        <v>18</v>
      </c>
      <c r="T500" t="s">
        <v>42</v>
      </c>
      <c r="U500" s="8">
        <v>231</v>
      </c>
      <c r="V500" s="8">
        <f t="shared" si="67"/>
        <v>71.5</v>
      </c>
      <c r="W500" t="str">
        <f t="shared" si="68"/>
        <v>Reorder Required</v>
      </c>
      <c r="X500" s="9">
        <f t="shared" si="69"/>
        <v>45474</v>
      </c>
      <c r="Y500">
        <f t="shared" si="70"/>
        <v>191</v>
      </c>
      <c r="Z500" t="str">
        <f t="shared" si="71"/>
        <v>Low Risk</v>
      </c>
    </row>
    <row r="501" spans="1:26" x14ac:dyDescent="0.4">
      <c r="A501" t="s">
        <v>2207</v>
      </c>
      <c r="B501" t="s">
        <v>1228</v>
      </c>
      <c r="C501" t="s">
        <v>112</v>
      </c>
      <c r="D501" t="s">
        <v>2208</v>
      </c>
      <c r="E501" t="s">
        <v>1271</v>
      </c>
      <c r="F501">
        <v>34</v>
      </c>
      <c r="G501">
        <v>49</v>
      </c>
      <c r="H501">
        <v>27</v>
      </c>
      <c r="I501" t="s">
        <v>57</v>
      </c>
      <c r="J501" s="7">
        <f t="shared" si="63"/>
        <v>4</v>
      </c>
      <c r="K501" s="1">
        <v>45538</v>
      </c>
      <c r="L501" s="1">
        <f t="shared" si="64"/>
        <v>45538</v>
      </c>
      <c r="M501" t="s">
        <v>485</v>
      </c>
      <c r="N501" s="1">
        <f t="shared" si="65"/>
        <v>45620</v>
      </c>
      <c r="O501" t="s">
        <v>827</v>
      </c>
      <c r="P501" s="1">
        <f t="shared" si="66"/>
        <v>45701</v>
      </c>
      <c r="Q501" t="s">
        <v>2209</v>
      </c>
      <c r="R501">
        <v>78</v>
      </c>
      <c r="S501">
        <v>20</v>
      </c>
      <c r="T501" t="s">
        <v>26</v>
      </c>
      <c r="U501" s="8">
        <v>312</v>
      </c>
      <c r="V501" s="8">
        <f t="shared" si="67"/>
        <v>136</v>
      </c>
      <c r="W501" t="str">
        <f t="shared" si="68"/>
        <v>Reorder Required</v>
      </c>
      <c r="X501" s="9">
        <f t="shared" si="69"/>
        <v>45536</v>
      </c>
      <c r="Y501">
        <f t="shared" si="70"/>
        <v>163</v>
      </c>
      <c r="Z501" t="str">
        <f t="shared" si="71"/>
        <v>Medium Risk</v>
      </c>
    </row>
    <row r="502" spans="1:26" x14ac:dyDescent="0.4">
      <c r="A502" t="s">
        <v>2210</v>
      </c>
      <c r="B502" t="s">
        <v>144</v>
      </c>
      <c r="C502" t="s">
        <v>77</v>
      </c>
      <c r="D502" t="s">
        <v>2211</v>
      </c>
      <c r="E502" t="s">
        <v>2212</v>
      </c>
      <c r="F502">
        <v>85</v>
      </c>
      <c r="G502">
        <v>89</v>
      </c>
      <c r="H502">
        <v>41</v>
      </c>
      <c r="I502" t="s">
        <v>147</v>
      </c>
      <c r="J502" s="7">
        <f t="shared" si="63"/>
        <v>8</v>
      </c>
      <c r="K502" t="s">
        <v>1884</v>
      </c>
      <c r="L502" s="1">
        <f t="shared" si="64"/>
        <v>45404</v>
      </c>
      <c r="M502" s="1">
        <v>45477</v>
      </c>
      <c r="N502" s="1">
        <f t="shared" si="65"/>
        <v>45477</v>
      </c>
      <c r="O502" t="s">
        <v>353</v>
      </c>
      <c r="P502" s="1">
        <f t="shared" si="66"/>
        <v>45703</v>
      </c>
      <c r="Q502" t="s">
        <v>2213</v>
      </c>
      <c r="R502">
        <v>68</v>
      </c>
      <c r="S502">
        <v>93</v>
      </c>
      <c r="T502" t="s">
        <v>26</v>
      </c>
      <c r="U502" s="8">
        <v>544</v>
      </c>
      <c r="V502" s="8">
        <f t="shared" si="67"/>
        <v>680</v>
      </c>
      <c r="W502" t="str">
        <f t="shared" si="68"/>
        <v>Reorder Required</v>
      </c>
      <c r="X502" s="9">
        <f t="shared" si="69"/>
        <v>45383</v>
      </c>
      <c r="Y502">
        <f t="shared" si="70"/>
        <v>299</v>
      </c>
      <c r="Z502" t="str">
        <f t="shared" si="71"/>
        <v>Low Risk</v>
      </c>
    </row>
    <row r="503" spans="1:26" x14ac:dyDescent="0.4">
      <c r="A503" t="s">
        <v>2214</v>
      </c>
      <c r="B503" t="s">
        <v>184</v>
      </c>
      <c r="C503" t="s">
        <v>54</v>
      </c>
      <c r="D503" t="s">
        <v>2215</v>
      </c>
      <c r="E503" t="s">
        <v>977</v>
      </c>
      <c r="F503">
        <v>12</v>
      </c>
      <c r="G503">
        <v>95</v>
      </c>
      <c r="H503">
        <v>49</v>
      </c>
      <c r="I503" t="s">
        <v>91</v>
      </c>
      <c r="J503" s="7">
        <f t="shared" si="63"/>
        <v>1</v>
      </c>
      <c r="K503" s="1">
        <v>45541</v>
      </c>
      <c r="L503" s="1">
        <f t="shared" si="64"/>
        <v>45541</v>
      </c>
      <c r="M503" t="s">
        <v>1369</v>
      </c>
      <c r="N503" s="1">
        <f t="shared" si="65"/>
        <v>45456</v>
      </c>
      <c r="O503" s="1">
        <v>45576</v>
      </c>
      <c r="P503" s="1">
        <f t="shared" si="66"/>
        <v>45576</v>
      </c>
      <c r="Q503" t="s">
        <v>2216</v>
      </c>
      <c r="R503">
        <v>25</v>
      </c>
      <c r="S503">
        <v>23</v>
      </c>
      <c r="T503" t="s">
        <v>42</v>
      </c>
      <c r="U503" s="8">
        <v>25</v>
      </c>
      <c r="V503" s="8">
        <f t="shared" si="67"/>
        <v>12</v>
      </c>
      <c r="W503" t="str">
        <f t="shared" si="68"/>
        <v>Reorder Required</v>
      </c>
      <c r="X503" s="9">
        <f t="shared" si="69"/>
        <v>45536</v>
      </c>
      <c r="Y503">
        <f t="shared" si="70"/>
        <v>35</v>
      </c>
      <c r="Z503" t="str">
        <f t="shared" si="71"/>
        <v>High Risk</v>
      </c>
    </row>
    <row r="504" spans="1:26" x14ac:dyDescent="0.4">
      <c r="A504" t="s">
        <v>2217</v>
      </c>
      <c r="B504" t="s">
        <v>218</v>
      </c>
      <c r="C504" t="s">
        <v>112</v>
      </c>
      <c r="D504" t="s">
        <v>2218</v>
      </c>
      <c r="E504" t="s">
        <v>1276</v>
      </c>
      <c r="F504">
        <v>82</v>
      </c>
      <c r="G504">
        <v>6</v>
      </c>
      <c r="H504">
        <v>53</v>
      </c>
      <c r="I504" t="s">
        <v>220</v>
      </c>
      <c r="J504" s="7">
        <f t="shared" si="63"/>
        <v>5</v>
      </c>
      <c r="K504" s="1">
        <v>45484</v>
      </c>
      <c r="L504" s="1">
        <f t="shared" si="64"/>
        <v>45484</v>
      </c>
      <c r="M504" t="s">
        <v>644</v>
      </c>
      <c r="N504" s="1">
        <f t="shared" si="65"/>
        <v>45411</v>
      </c>
      <c r="O504" s="1">
        <v>45540</v>
      </c>
      <c r="P504" s="1">
        <f t="shared" si="66"/>
        <v>45540</v>
      </c>
      <c r="Q504" t="s">
        <v>2219</v>
      </c>
      <c r="R504">
        <v>21</v>
      </c>
      <c r="S504">
        <v>58</v>
      </c>
      <c r="T504" t="s">
        <v>51</v>
      </c>
      <c r="U504" s="8">
        <v>105</v>
      </c>
      <c r="V504" s="8">
        <f t="shared" si="67"/>
        <v>410</v>
      </c>
      <c r="W504" t="str">
        <f t="shared" si="68"/>
        <v>Sufficient Stock</v>
      </c>
      <c r="X504" s="9">
        <f t="shared" si="69"/>
        <v>45474</v>
      </c>
      <c r="Y504">
        <f t="shared" si="70"/>
        <v>56</v>
      </c>
      <c r="Z504" t="str">
        <f t="shared" si="71"/>
        <v>High Risk</v>
      </c>
    </row>
    <row r="505" spans="1:26" x14ac:dyDescent="0.4">
      <c r="A505" t="s">
        <v>2220</v>
      </c>
      <c r="B505" t="s">
        <v>363</v>
      </c>
      <c r="C505" t="s">
        <v>112</v>
      </c>
      <c r="D505" t="s">
        <v>2221</v>
      </c>
      <c r="E505" t="s">
        <v>2222</v>
      </c>
      <c r="F505">
        <v>71</v>
      </c>
      <c r="G505">
        <v>97</v>
      </c>
      <c r="H505">
        <v>44</v>
      </c>
      <c r="I505" t="s">
        <v>57</v>
      </c>
      <c r="J505" s="7">
        <f t="shared" si="63"/>
        <v>4</v>
      </c>
      <c r="K505" t="s">
        <v>630</v>
      </c>
      <c r="L505" s="1">
        <f t="shared" si="64"/>
        <v>45623</v>
      </c>
      <c r="M505" t="s">
        <v>555</v>
      </c>
      <c r="N505" s="1">
        <f t="shared" si="65"/>
        <v>45348</v>
      </c>
      <c r="O505" s="1">
        <v>45480</v>
      </c>
      <c r="P505" s="1">
        <f t="shared" si="66"/>
        <v>45480</v>
      </c>
      <c r="Q505" t="s">
        <v>2223</v>
      </c>
      <c r="R505">
        <v>58</v>
      </c>
      <c r="S505">
        <v>14</v>
      </c>
      <c r="T505" t="s">
        <v>26</v>
      </c>
      <c r="U505" s="8">
        <v>232</v>
      </c>
      <c r="V505" s="8">
        <f t="shared" si="67"/>
        <v>284</v>
      </c>
      <c r="W505" t="str">
        <f t="shared" si="68"/>
        <v>Reorder Required</v>
      </c>
      <c r="X505" s="9">
        <f t="shared" si="69"/>
        <v>45597</v>
      </c>
      <c r="Y505">
        <f t="shared" si="70"/>
        <v>-143</v>
      </c>
      <c r="Z505" t="str">
        <f t="shared" si="71"/>
        <v>Invalid Data</v>
      </c>
    </row>
    <row r="506" spans="1:26" x14ac:dyDescent="0.4">
      <c r="A506" t="s">
        <v>2224</v>
      </c>
      <c r="B506" t="s">
        <v>470</v>
      </c>
      <c r="C506" t="s">
        <v>77</v>
      </c>
      <c r="D506" t="s">
        <v>2225</v>
      </c>
      <c r="E506" t="s">
        <v>419</v>
      </c>
      <c r="F506">
        <v>58</v>
      </c>
      <c r="G506">
        <v>17</v>
      </c>
      <c r="H506">
        <v>26</v>
      </c>
      <c r="I506" t="s">
        <v>134</v>
      </c>
      <c r="J506" s="7">
        <f t="shared" si="63"/>
        <v>7</v>
      </c>
      <c r="K506" t="s">
        <v>260</v>
      </c>
      <c r="L506" s="1">
        <f t="shared" si="64"/>
        <v>45466</v>
      </c>
      <c r="M506" s="1">
        <v>45480</v>
      </c>
      <c r="N506" s="1">
        <f t="shared" si="65"/>
        <v>45480</v>
      </c>
      <c r="O506" s="1">
        <v>45717</v>
      </c>
      <c r="P506" s="1">
        <f t="shared" si="66"/>
        <v>45717</v>
      </c>
      <c r="Q506" t="s">
        <v>2226</v>
      </c>
      <c r="R506">
        <v>62</v>
      </c>
      <c r="S506">
        <v>89</v>
      </c>
      <c r="T506" t="s">
        <v>42</v>
      </c>
      <c r="U506" s="8">
        <v>434</v>
      </c>
      <c r="V506" s="8">
        <f t="shared" si="67"/>
        <v>406</v>
      </c>
      <c r="W506" t="str">
        <f t="shared" si="68"/>
        <v>Sufficient Stock</v>
      </c>
      <c r="X506" s="9">
        <f t="shared" si="69"/>
        <v>45444</v>
      </c>
      <c r="Y506">
        <f t="shared" si="70"/>
        <v>251</v>
      </c>
      <c r="Z506" t="str">
        <f t="shared" si="71"/>
        <v>Low Risk</v>
      </c>
    </row>
    <row r="507" spans="1:26" x14ac:dyDescent="0.4">
      <c r="A507" t="s">
        <v>2227</v>
      </c>
      <c r="B507" t="s">
        <v>627</v>
      </c>
      <c r="C507" t="s">
        <v>18</v>
      </c>
      <c r="D507" t="s">
        <v>2228</v>
      </c>
      <c r="E507" t="s">
        <v>648</v>
      </c>
      <c r="F507">
        <v>15</v>
      </c>
      <c r="G507">
        <v>76</v>
      </c>
      <c r="H507">
        <v>81</v>
      </c>
      <c r="I507" t="s">
        <v>106</v>
      </c>
      <c r="J507" s="7">
        <f t="shared" si="63"/>
        <v>2</v>
      </c>
      <c r="K507" t="s">
        <v>141</v>
      </c>
      <c r="L507" s="1">
        <f t="shared" si="64"/>
        <v>45612</v>
      </c>
      <c r="M507" t="s">
        <v>579</v>
      </c>
      <c r="N507" s="1">
        <f t="shared" si="65"/>
        <v>45460</v>
      </c>
      <c r="O507" s="1">
        <v>45810</v>
      </c>
      <c r="P507" s="1">
        <f t="shared" si="66"/>
        <v>45810</v>
      </c>
      <c r="Q507" t="s">
        <v>2229</v>
      </c>
      <c r="R507">
        <v>90</v>
      </c>
      <c r="S507">
        <v>26</v>
      </c>
      <c r="T507" t="s">
        <v>42</v>
      </c>
      <c r="U507" s="8">
        <v>180</v>
      </c>
      <c r="V507" s="8">
        <f t="shared" si="67"/>
        <v>30</v>
      </c>
      <c r="W507" t="str">
        <f t="shared" si="68"/>
        <v>Reorder Required</v>
      </c>
      <c r="X507" s="9">
        <f t="shared" si="69"/>
        <v>45597</v>
      </c>
      <c r="Y507">
        <f t="shared" si="70"/>
        <v>198</v>
      </c>
      <c r="Z507" t="str">
        <f t="shared" si="71"/>
        <v>Low Risk</v>
      </c>
    </row>
    <row r="508" spans="1:26" x14ac:dyDescent="0.4">
      <c r="A508" t="s">
        <v>2230</v>
      </c>
      <c r="B508" t="s">
        <v>239</v>
      </c>
      <c r="C508" t="s">
        <v>54</v>
      </c>
      <c r="D508" t="s">
        <v>2231</v>
      </c>
      <c r="E508" t="s">
        <v>1373</v>
      </c>
      <c r="F508">
        <v>68</v>
      </c>
      <c r="G508">
        <v>25</v>
      </c>
      <c r="H508">
        <v>16</v>
      </c>
      <c r="I508" t="s">
        <v>242</v>
      </c>
      <c r="J508" s="7">
        <f t="shared" si="63"/>
        <v>3.5</v>
      </c>
      <c r="K508" s="1">
        <v>45386</v>
      </c>
      <c r="L508" s="1">
        <f t="shared" si="64"/>
        <v>45386</v>
      </c>
      <c r="M508" t="s">
        <v>259</v>
      </c>
      <c r="N508" s="1">
        <f t="shared" si="65"/>
        <v>45523</v>
      </c>
      <c r="O508" t="s">
        <v>1488</v>
      </c>
      <c r="P508" s="1">
        <f t="shared" si="66"/>
        <v>45470</v>
      </c>
      <c r="Q508" t="s">
        <v>2232</v>
      </c>
      <c r="R508">
        <v>25</v>
      </c>
      <c r="S508">
        <v>83</v>
      </c>
      <c r="T508" t="s">
        <v>51</v>
      </c>
      <c r="U508" s="8">
        <v>87.5</v>
      </c>
      <c r="V508" s="8">
        <f t="shared" si="67"/>
        <v>238</v>
      </c>
      <c r="W508" t="str">
        <f t="shared" si="68"/>
        <v>Sufficient Stock</v>
      </c>
      <c r="X508" s="9">
        <f t="shared" si="69"/>
        <v>45383</v>
      </c>
      <c r="Y508">
        <f t="shared" si="70"/>
        <v>84</v>
      </c>
      <c r="Z508" t="str">
        <f t="shared" si="71"/>
        <v>High Risk</v>
      </c>
    </row>
    <row r="509" spans="1:26" x14ac:dyDescent="0.4">
      <c r="A509" t="s">
        <v>2233</v>
      </c>
      <c r="B509" t="s">
        <v>103</v>
      </c>
      <c r="C509" t="s">
        <v>18</v>
      </c>
      <c r="D509" t="s">
        <v>2234</v>
      </c>
      <c r="E509" t="s">
        <v>2235</v>
      </c>
      <c r="F509">
        <v>13</v>
      </c>
      <c r="G509">
        <v>32</v>
      </c>
      <c r="H509">
        <v>79</v>
      </c>
      <c r="I509" t="s">
        <v>106</v>
      </c>
      <c r="J509" s="7">
        <f t="shared" si="63"/>
        <v>2</v>
      </c>
      <c r="K509" s="1">
        <v>45478</v>
      </c>
      <c r="L509" s="1">
        <f t="shared" si="64"/>
        <v>45478</v>
      </c>
      <c r="M509" t="s">
        <v>280</v>
      </c>
      <c r="N509" s="1">
        <f t="shared" si="65"/>
        <v>45704</v>
      </c>
      <c r="O509" s="1">
        <v>45606</v>
      </c>
      <c r="P509" s="1">
        <f t="shared" si="66"/>
        <v>45606</v>
      </c>
      <c r="Q509" t="s">
        <v>2236</v>
      </c>
      <c r="R509">
        <v>38</v>
      </c>
      <c r="S509">
        <v>61</v>
      </c>
      <c r="T509" t="s">
        <v>26</v>
      </c>
      <c r="U509" s="8">
        <v>76</v>
      </c>
      <c r="V509" s="8">
        <f t="shared" si="67"/>
        <v>26</v>
      </c>
      <c r="W509" t="str">
        <f t="shared" si="68"/>
        <v>Reorder Required</v>
      </c>
      <c r="X509" s="9">
        <f t="shared" si="69"/>
        <v>45474</v>
      </c>
      <c r="Y509">
        <f t="shared" si="70"/>
        <v>128</v>
      </c>
      <c r="Z509" t="str">
        <f t="shared" si="71"/>
        <v>Medium Risk</v>
      </c>
    </row>
    <row r="510" spans="1:26" x14ac:dyDescent="0.4">
      <c r="A510" t="s">
        <v>2237</v>
      </c>
      <c r="B510" t="s">
        <v>943</v>
      </c>
      <c r="C510" t="s">
        <v>68</v>
      </c>
      <c r="D510" t="s">
        <v>2238</v>
      </c>
      <c r="E510" t="s">
        <v>1990</v>
      </c>
      <c r="F510">
        <v>45</v>
      </c>
      <c r="G510">
        <v>7</v>
      </c>
      <c r="H510">
        <v>58</v>
      </c>
      <c r="I510" t="s">
        <v>945</v>
      </c>
      <c r="J510" s="7">
        <f t="shared" si="63"/>
        <v>6.5</v>
      </c>
      <c r="K510" s="1">
        <v>45331</v>
      </c>
      <c r="L510" s="1">
        <f t="shared" si="64"/>
        <v>45331</v>
      </c>
      <c r="M510" s="1">
        <v>45416</v>
      </c>
      <c r="N510" s="1">
        <f t="shared" si="65"/>
        <v>45416</v>
      </c>
      <c r="O510" t="s">
        <v>893</v>
      </c>
      <c r="P510" s="1">
        <f t="shared" si="66"/>
        <v>45530</v>
      </c>
      <c r="Q510" t="s">
        <v>2239</v>
      </c>
      <c r="R510">
        <v>86</v>
      </c>
      <c r="S510">
        <v>77</v>
      </c>
      <c r="T510" t="s">
        <v>26</v>
      </c>
      <c r="U510" s="8">
        <v>559</v>
      </c>
      <c r="V510" s="8">
        <f t="shared" si="67"/>
        <v>292.5</v>
      </c>
      <c r="W510" t="str">
        <f t="shared" si="68"/>
        <v>Sufficient Stock</v>
      </c>
      <c r="X510" s="9">
        <f t="shared" si="69"/>
        <v>45323</v>
      </c>
      <c r="Y510">
        <f t="shared" si="70"/>
        <v>199</v>
      </c>
      <c r="Z510" t="str">
        <f t="shared" si="71"/>
        <v>Low Risk</v>
      </c>
    </row>
    <row r="511" spans="1:26" x14ac:dyDescent="0.4">
      <c r="A511" t="s">
        <v>2240</v>
      </c>
      <c r="B511" t="s">
        <v>76</v>
      </c>
      <c r="C511" t="s">
        <v>77</v>
      </c>
      <c r="D511" t="s">
        <v>2241</v>
      </c>
      <c r="E511" t="s">
        <v>126</v>
      </c>
      <c r="F511">
        <v>40</v>
      </c>
      <c r="G511">
        <v>22</v>
      </c>
      <c r="H511">
        <v>74</v>
      </c>
      <c r="I511" t="s">
        <v>1593</v>
      </c>
      <c r="J511" s="7">
        <f t="shared" si="63"/>
        <v>2.4500000000000002</v>
      </c>
      <c r="K511" t="s">
        <v>1683</v>
      </c>
      <c r="L511" s="1">
        <f t="shared" si="64"/>
        <v>45373</v>
      </c>
      <c r="M511" t="s">
        <v>435</v>
      </c>
      <c r="N511" s="1">
        <f t="shared" si="65"/>
        <v>45558</v>
      </c>
      <c r="O511" t="s">
        <v>495</v>
      </c>
      <c r="P511" s="1">
        <f t="shared" si="66"/>
        <v>45367</v>
      </c>
      <c r="Q511" t="s">
        <v>2242</v>
      </c>
      <c r="R511">
        <v>76</v>
      </c>
      <c r="S511">
        <v>70</v>
      </c>
      <c r="T511" t="s">
        <v>42</v>
      </c>
      <c r="U511" s="8">
        <v>186.20000000000002</v>
      </c>
      <c r="V511" s="8">
        <f t="shared" si="67"/>
        <v>98</v>
      </c>
      <c r="W511" t="str">
        <f t="shared" si="68"/>
        <v>Sufficient Stock</v>
      </c>
      <c r="X511" s="9">
        <f t="shared" si="69"/>
        <v>45352</v>
      </c>
      <c r="Y511">
        <f t="shared" si="70"/>
        <v>-6</v>
      </c>
      <c r="Z511" t="str">
        <f t="shared" si="71"/>
        <v>Invalid Data</v>
      </c>
    </row>
    <row r="512" spans="1:26" x14ac:dyDescent="0.4">
      <c r="A512" t="s">
        <v>2243</v>
      </c>
      <c r="B512" t="s">
        <v>318</v>
      </c>
      <c r="C512" t="s">
        <v>29</v>
      </c>
      <c r="D512" t="s">
        <v>2244</v>
      </c>
      <c r="E512" t="s">
        <v>2245</v>
      </c>
      <c r="F512">
        <v>62</v>
      </c>
      <c r="G512">
        <v>23</v>
      </c>
      <c r="H512">
        <v>25</v>
      </c>
      <c r="I512" t="s">
        <v>1958</v>
      </c>
      <c r="J512" s="7">
        <f t="shared" si="63"/>
        <v>15.5</v>
      </c>
      <c r="K512" t="s">
        <v>274</v>
      </c>
      <c r="L512" s="1">
        <f t="shared" si="64"/>
        <v>45496</v>
      </c>
      <c r="M512" t="s">
        <v>644</v>
      </c>
      <c r="N512" s="1">
        <f t="shared" si="65"/>
        <v>45411</v>
      </c>
      <c r="O512" s="1">
        <v>45507</v>
      </c>
      <c r="P512" s="1">
        <f t="shared" si="66"/>
        <v>45507</v>
      </c>
      <c r="Q512" t="s">
        <v>2246</v>
      </c>
      <c r="R512">
        <v>34</v>
      </c>
      <c r="S512">
        <v>68</v>
      </c>
      <c r="T512" t="s">
        <v>26</v>
      </c>
      <c r="U512" s="8">
        <v>527</v>
      </c>
      <c r="V512" s="8">
        <f t="shared" si="67"/>
        <v>961</v>
      </c>
      <c r="W512" t="str">
        <f t="shared" si="68"/>
        <v>Sufficient Stock</v>
      </c>
      <c r="X512" s="9">
        <f t="shared" si="69"/>
        <v>45474</v>
      </c>
      <c r="Y512">
        <f t="shared" si="70"/>
        <v>11</v>
      </c>
      <c r="Z512" t="str">
        <f t="shared" si="71"/>
        <v>Critical</v>
      </c>
    </row>
    <row r="513" spans="1:26" x14ac:dyDescent="0.4">
      <c r="A513" t="s">
        <v>2247</v>
      </c>
      <c r="B513" t="s">
        <v>582</v>
      </c>
      <c r="C513" t="s">
        <v>68</v>
      </c>
      <c r="D513" t="s">
        <v>2248</v>
      </c>
      <c r="E513" t="s">
        <v>2249</v>
      </c>
      <c r="F513">
        <v>79</v>
      </c>
      <c r="G513">
        <v>3</v>
      </c>
      <c r="H513">
        <v>36</v>
      </c>
      <c r="I513" t="s">
        <v>57</v>
      </c>
      <c r="J513" s="7">
        <f t="shared" si="63"/>
        <v>4</v>
      </c>
      <c r="K513" t="s">
        <v>22</v>
      </c>
      <c r="L513" s="1">
        <f t="shared" si="64"/>
        <v>45520</v>
      </c>
      <c r="M513" t="s">
        <v>286</v>
      </c>
      <c r="N513" s="1">
        <f t="shared" si="65"/>
        <v>45682</v>
      </c>
      <c r="O513" t="s">
        <v>382</v>
      </c>
      <c r="P513" s="1">
        <f t="shared" si="66"/>
        <v>45534</v>
      </c>
      <c r="Q513" t="s">
        <v>2250</v>
      </c>
      <c r="R513">
        <v>46</v>
      </c>
      <c r="S513">
        <v>29</v>
      </c>
      <c r="T513" t="s">
        <v>26</v>
      </c>
      <c r="U513" s="8">
        <v>184</v>
      </c>
      <c r="V513" s="8">
        <f t="shared" si="67"/>
        <v>316</v>
      </c>
      <c r="W513" t="str">
        <f t="shared" si="68"/>
        <v>Sufficient Stock</v>
      </c>
      <c r="X513" s="9">
        <f t="shared" si="69"/>
        <v>45505</v>
      </c>
      <c r="Y513">
        <f t="shared" si="70"/>
        <v>14</v>
      </c>
      <c r="Z513" t="str">
        <f t="shared" si="71"/>
        <v>Critical</v>
      </c>
    </row>
    <row r="514" spans="1:26" x14ac:dyDescent="0.4">
      <c r="A514" t="s">
        <v>2251</v>
      </c>
      <c r="B514" t="s">
        <v>539</v>
      </c>
      <c r="C514" t="s">
        <v>54</v>
      </c>
      <c r="D514" t="s">
        <v>2252</v>
      </c>
      <c r="E514" t="s">
        <v>897</v>
      </c>
      <c r="F514">
        <v>75</v>
      </c>
      <c r="G514">
        <v>91</v>
      </c>
      <c r="H514">
        <v>68</v>
      </c>
      <c r="I514" t="s">
        <v>85</v>
      </c>
      <c r="J514" s="7">
        <f t="shared" si="63"/>
        <v>3</v>
      </c>
      <c r="K514" t="s">
        <v>969</v>
      </c>
      <c r="L514" s="1">
        <f t="shared" si="64"/>
        <v>45596</v>
      </c>
      <c r="M514" t="s">
        <v>956</v>
      </c>
      <c r="N514" s="1">
        <f t="shared" si="65"/>
        <v>45405</v>
      </c>
      <c r="O514" s="1">
        <v>45577</v>
      </c>
      <c r="P514" s="1">
        <f t="shared" si="66"/>
        <v>45577</v>
      </c>
      <c r="Q514" t="s">
        <v>2253</v>
      </c>
      <c r="R514">
        <v>96</v>
      </c>
      <c r="S514">
        <v>73</v>
      </c>
      <c r="T514" t="s">
        <v>42</v>
      </c>
      <c r="U514" s="8">
        <v>288</v>
      </c>
      <c r="V514" s="8">
        <f t="shared" si="67"/>
        <v>225</v>
      </c>
      <c r="W514" t="str">
        <f t="shared" si="68"/>
        <v>Reorder Required</v>
      </c>
      <c r="X514" s="9">
        <f t="shared" si="69"/>
        <v>45566</v>
      </c>
      <c r="Y514">
        <f t="shared" si="70"/>
        <v>-19</v>
      </c>
      <c r="Z514" t="str">
        <f t="shared" si="71"/>
        <v>Invalid Data</v>
      </c>
    </row>
    <row r="515" spans="1:26" x14ac:dyDescent="0.4">
      <c r="A515" t="s">
        <v>2254</v>
      </c>
      <c r="B515" t="s">
        <v>669</v>
      </c>
      <c r="C515" t="s">
        <v>18</v>
      </c>
      <c r="D515" t="s">
        <v>2255</v>
      </c>
      <c r="E515" t="s">
        <v>2256</v>
      </c>
      <c r="F515">
        <v>76</v>
      </c>
      <c r="G515">
        <v>8</v>
      </c>
      <c r="H515">
        <v>2</v>
      </c>
      <c r="I515" t="s">
        <v>671</v>
      </c>
      <c r="J515" s="7">
        <f t="shared" ref="J515:J578" si="72">VALUE(SUBSTITUTE(I515,"$",""))</f>
        <v>9.5</v>
      </c>
      <c r="K515" s="1">
        <v>45392</v>
      </c>
      <c r="L515" s="1">
        <f t="shared" ref="L515:L578" si="73">IF(
ISNUMBER(K515),
K515,
DATE(
RIGHT(K515,4),
LEFT(K515,FIND("/",K515)-1),
MID(K515,FIND("/",K515)+1,FIND("/",K515,FIND("/",K515)+1)-FIND("/",K515)-1)
)
)</f>
        <v>45392</v>
      </c>
      <c r="M515" s="1">
        <v>45515</v>
      </c>
      <c r="N515" s="1">
        <f t="shared" ref="N515:N578" si="74">IF(
ISNUMBER(M515),
M515,
DATE(
RIGHT(M515,4),
LEFT(M515,FIND("/",M515)-1),
MID(M515,FIND("/",M515)+1,FIND("/",M515,FIND("/",M515)+1)-FIND("/",M515)-1)
)
)</f>
        <v>45515</v>
      </c>
      <c r="O515" t="s">
        <v>164</v>
      </c>
      <c r="P515" s="1">
        <f t="shared" ref="P515:P578" si="75">IF(
ISNUMBER(O515),
O515,
DATE(
RIGHT(O515,4),
LEFT(O515,FIND("/",O515)-1),
MID(O515,FIND("/",O515)+1,FIND("/",O515,FIND("/",O515)+1)-FIND("/",O515)-1)
)
)</f>
        <v>45440</v>
      </c>
      <c r="Q515" t="s">
        <v>2257</v>
      </c>
      <c r="R515">
        <v>24</v>
      </c>
      <c r="S515">
        <v>53</v>
      </c>
      <c r="T515" t="s">
        <v>51</v>
      </c>
      <c r="U515" s="8">
        <v>228</v>
      </c>
      <c r="V515" s="8">
        <f t="shared" ref="V515:V578" si="76">F515*J515</f>
        <v>722</v>
      </c>
      <c r="W515" t="str">
        <f t="shared" ref="W515:W578" si="77">IF(F515&lt;=G515,"Reorder Required","Sufficient Stock")</f>
        <v>Sufficient Stock</v>
      </c>
      <c r="X515" s="9">
        <f t="shared" ref="X515:X578" si="78">DATE(YEAR(L515),MONTH(L515),1)</f>
        <v>45383</v>
      </c>
      <c r="Y515">
        <f t="shared" ref="Y515:Y578" si="79">P515-L515</f>
        <v>48</v>
      </c>
      <c r="Z515" t="str">
        <f t="shared" ref="Z515:Z578" si="80">IF(Y515&lt;0,"Invalid Data",
IF(Y515&lt;=30,"Critical",
IF(Y515&lt;=90,"High Risk",
IF(Y515&lt;=180,"Medium Risk",
IF(Y515&lt;=365,"Low Risk",
"Safe")))))</f>
        <v>High Risk</v>
      </c>
    </row>
    <row r="516" spans="1:26" x14ac:dyDescent="0.4">
      <c r="A516" t="s">
        <v>2258</v>
      </c>
      <c r="B516" t="s">
        <v>784</v>
      </c>
      <c r="C516" t="s">
        <v>68</v>
      </c>
      <c r="D516" t="s">
        <v>2259</v>
      </c>
      <c r="E516" t="s">
        <v>740</v>
      </c>
      <c r="F516">
        <v>96</v>
      </c>
      <c r="G516">
        <v>51</v>
      </c>
      <c r="H516">
        <v>40</v>
      </c>
      <c r="I516" t="s">
        <v>314</v>
      </c>
      <c r="J516" s="7">
        <f t="shared" si="72"/>
        <v>2.2999999999999998</v>
      </c>
      <c r="K516" t="s">
        <v>495</v>
      </c>
      <c r="L516" s="1">
        <f t="shared" si="73"/>
        <v>45367</v>
      </c>
      <c r="M516" s="1">
        <v>45387</v>
      </c>
      <c r="N516" s="1">
        <f t="shared" si="74"/>
        <v>45387</v>
      </c>
      <c r="O516" t="s">
        <v>402</v>
      </c>
      <c r="P516" s="1">
        <f t="shared" si="75"/>
        <v>45622</v>
      </c>
      <c r="Q516" t="s">
        <v>2260</v>
      </c>
      <c r="R516">
        <v>61</v>
      </c>
      <c r="S516">
        <v>4</v>
      </c>
      <c r="T516" t="s">
        <v>26</v>
      </c>
      <c r="U516" s="8">
        <v>140.29999999999998</v>
      </c>
      <c r="V516" s="8">
        <f t="shared" si="76"/>
        <v>220.79999999999998</v>
      </c>
      <c r="W516" t="str">
        <f t="shared" si="77"/>
        <v>Sufficient Stock</v>
      </c>
      <c r="X516" s="9">
        <f t="shared" si="78"/>
        <v>45352</v>
      </c>
      <c r="Y516">
        <f t="shared" si="79"/>
        <v>255</v>
      </c>
      <c r="Z516" t="str">
        <f t="shared" si="80"/>
        <v>Low Risk</v>
      </c>
    </row>
    <row r="517" spans="1:26" x14ac:dyDescent="0.4">
      <c r="A517" t="s">
        <v>2261</v>
      </c>
      <c r="B517" t="s">
        <v>784</v>
      </c>
      <c r="C517" t="s">
        <v>68</v>
      </c>
      <c r="D517" t="s">
        <v>2262</v>
      </c>
      <c r="E517" t="s">
        <v>2263</v>
      </c>
      <c r="F517">
        <v>69</v>
      </c>
      <c r="G517">
        <v>17</v>
      </c>
      <c r="H517">
        <v>27</v>
      </c>
      <c r="I517" t="s">
        <v>314</v>
      </c>
      <c r="J517" s="7">
        <f t="shared" si="72"/>
        <v>2.2999999999999998</v>
      </c>
      <c r="K517" t="s">
        <v>1217</v>
      </c>
      <c r="L517" s="1">
        <f t="shared" si="73"/>
        <v>45671</v>
      </c>
      <c r="M517" t="s">
        <v>1463</v>
      </c>
      <c r="N517" s="1">
        <f t="shared" si="74"/>
        <v>45461</v>
      </c>
      <c r="O517" t="s">
        <v>33</v>
      </c>
      <c r="P517" s="1">
        <f t="shared" si="75"/>
        <v>45441</v>
      </c>
      <c r="Q517" t="s">
        <v>2264</v>
      </c>
      <c r="R517">
        <v>79</v>
      </c>
      <c r="S517">
        <v>75</v>
      </c>
      <c r="T517" t="s">
        <v>42</v>
      </c>
      <c r="U517" s="8">
        <v>181.7</v>
      </c>
      <c r="V517" s="8">
        <f t="shared" si="76"/>
        <v>158.69999999999999</v>
      </c>
      <c r="W517" t="str">
        <f t="shared" si="77"/>
        <v>Sufficient Stock</v>
      </c>
      <c r="X517" s="9">
        <f t="shared" si="78"/>
        <v>45658</v>
      </c>
      <c r="Y517">
        <f t="shared" si="79"/>
        <v>-230</v>
      </c>
      <c r="Z517" t="str">
        <f t="shared" si="80"/>
        <v>Invalid Data</v>
      </c>
    </row>
    <row r="518" spans="1:26" x14ac:dyDescent="0.4">
      <c r="A518" t="s">
        <v>2265</v>
      </c>
      <c r="B518" t="s">
        <v>325</v>
      </c>
      <c r="C518" t="s">
        <v>77</v>
      </c>
      <c r="D518" t="s">
        <v>2266</v>
      </c>
      <c r="E518" t="s">
        <v>1023</v>
      </c>
      <c r="F518">
        <v>48</v>
      </c>
      <c r="G518">
        <v>71</v>
      </c>
      <c r="H518">
        <v>86</v>
      </c>
      <c r="I518" t="s">
        <v>85</v>
      </c>
      <c r="J518" s="7">
        <f t="shared" si="72"/>
        <v>3</v>
      </c>
      <c r="K518" t="s">
        <v>644</v>
      </c>
      <c r="L518" s="1">
        <f t="shared" si="73"/>
        <v>45411</v>
      </c>
      <c r="M518" s="1">
        <v>45329</v>
      </c>
      <c r="N518" s="1">
        <f t="shared" si="74"/>
        <v>45329</v>
      </c>
      <c r="O518" t="s">
        <v>802</v>
      </c>
      <c r="P518" s="1">
        <f t="shared" si="75"/>
        <v>45533</v>
      </c>
      <c r="Q518" t="s">
        <v>2267</v>
      </c>
      <c r="R518">
        <v>95</v>
      </c>
      <c r="S518">
        <v>3</v>
      </c>
      <c r="T518" t="s">
        <v>26</v>
      </c>
      <c r="U518" s="8">
        <v>285</v>
      </c>
      <c r="V518" s="8">
        <f t="shared" si="76"/>
        <v>144</v>
      </c>
      <c r="W518" t="str">
        <f t="shared" si="77"/>
        <v>Reorder Required</v>
      </c>
      <c r="X518" s="9">
        <f t="shared" si="78"/>
        <v>45383</v>
      </c>
      <c r="Y518">
        <f t="shared" si="79"/>
        <v>122</v>
      </c>
      <c r="Z518" t="str">
        <f t="shared" si="80"/>
        <v>Medium Risk</v>
      </c>
    </row>
    <row r="519" spans="1:26" x14ac:dyDescent="0.4">
      <c r="A519" t="s">
        <v>2268</v>
      </c>
      <c r="B519" t="s">
        <v>545</v>
      </c>
      <c r="C519" t="s">
        <v>77</v>
      </c>
      <c r="D519" t="s">
        <v>2269</v>
      </c>
      <c r="E519" t="s">
        <v>2270</v>
      </c>
      <c r="F519">
        <v>82</v>
      </c>
      <c r="G519">
        <v>3</v>
      </c>
      <c r="H519">
        <v>82</v>
      </c>
      <c r="I519" t="s">
        <v>554</v>
      </c>
      <c r="J519" s="7">
        <f t="shared" si="72"/>
        <v>2.4</v>
      </c>
      <c r="K519" s="1">
        <v>45361</v>
      </c>
      <c r="L519" s="1">
        <f t="shared" si="73"/>
        <v>45361</v>
      </c>
      <c r="M519" s="1">
        <v>45577</v>
      </c>
      <c r="N519" s="1">
        <f t="shared" si="74"/>
        <v>45577</v>
      </c>
      <c r="O519" t="s">
        <v>893</v>
      </c>
      <c r="P519" s="1">
        <f t="shared" si="75"/>
        <v>45530</v>
      </c>
      <c r="Q519" t="s">
        <v>2271</v>
      </c>
      <c r="R519">
        <v>48</v>
      </c>
      <c r="S519">
        <v>31</v>
      </c>
      <c r="T519" t="s">
        <v>51</v>
      </c>
      <c r="U519" s="8">
        <v>115.19999999999999</v>
      </c>
      <c r="V519" s="8">
        <f t="shared" si="76"/>
        <v>196.79999999999998</v>
      </c>
      <c r="W519" t="str">
        <f t="shared" si="77"/>
        <v>Sufficient Stock</v>
      </c>
      <c r="X519" s="9">
        <f t="shared" si="78"/>
        <v>45352</v>
      </c>
      <c r="Y519">
        <f t="shared" si="79"/>
        <v>169</v>
      </c>
      <c r="Z519" t="str">
        <f t="shared" si="80"/>
        <v>Medium Risk</v>
      </c>
    </row>
    <row r="520" spans="1:26" x14ac:dyDescent="0.4">
      <c r="A520" t="s">
        <v>2272</v>
      </c>
      <c r="B520" t="s">
        <v>290</v>
      </c>
      <c r="C520" t="s">
        <v>54</v>
      </c>
      <c r="D520" t="s">
        <v>2273</v>
      </c>
      <c r="E520" t="s">
        <v>126</v>
      </c>
      <c r="F520">
        <v>43</v>
      </c>
      <c r="G520">
        <v>21</v>
      </c>
      <c r="H520">
        <v>31</v>
      </c>
      <c r="I520" t="s">
        <v>71</v>
      </c>
      <c r="J520" s="7">
        <f t="shared" si="72"/>
        <v>2.5</v>
      </c>
      <c r="K520" t="s">
        <v>48</v>
      </c>
      <c r="L520" s="1">
        <f t="shared" si="73"/>
        <v>45707</v>
      </c>
      <c r="M520" t="s">
        <v>1110</v>
      </c>
      <c r="N520" s="1">
        <f t="shared" si="74"/>
        <v>45468</v>
      </c>
      <c r="O520" t="s">
        <v>719</v>
      </c>
      <c r="P520" s="1">
        <f t="shared" si="75"/>
        <v>45674</v>
      </c>
      <c r="Q520" t="s">
        <v>2274</v>
      </c>
      <c r="R520">
        <v>22</v>
      </c>
      <c r="S520">
        <v>25</v>
      </c>
      <c r="T520" t="s">
        <v>42</v>
      </c>
      <c r="U520" s="8">
        <v>55</v>
      </c>
      <c r="V520" s="8">
        <f t="shared" si="76"/>
        <v>107.5</v>
      </c>
      <c r="W520" t="str">
        <f t="shared" si="77"/>
        <v>Sufficient Stock</v>
      </c>
      <c r="X520" s="9">
        <f t="shared" si="78"/>
        <v>45689</v>
      </c>
      <c r="Y520">
        <f t="shared" si="79"/>
        <v>-33</v>
      </c>
      <c r="Z520" t="str">
        <f t="shared" si="80"/>
        <v>Invalid Data</v>
      </c>
    </row>
    <row r="521" spans="1:26" x14ac:dyDescent="0.4">
      <c r="A521" t="s">
        <v>2275</v>
      </c>
      <c r="B521" t="s">
        <v>391</v>
      </c>
      <c r="C521" t="s">
        <v>29</v>
      </c>
      <c r="D521" t="s">
        <v>2276</v>
      </c>
      <c r="E521" t="s">
        <v>1178</v>
      </c>
      <c r="F521">
        <v>90</v>
      </c>
      <c r="G521">
        <v>68</v>
      </c>
      <c r="H521">
        <v>74</v>
      </c>
      <c r="I521" t="s">
        <v>172</v>
      </c>
      <c r="J521" s="7">
        <f t="shared" si="72"/>
        <v>12</v>
      </c>
      <c r="K521" s="1">
        <v>45326</v>
      </c>
      <c r="L521" s="1">
        <f t="shared" si="73"/>
        <v>45326</v>
      </c>
      <c r="M521" t="s">
        <v>402</v>
      </c>
      <c r="N521" s="1">
        <f t="shared" si="74"/>
        <v>45622</v>
      </c>
      <c r="O521" t="s">
        <v>287</v>
      </c>
      <c r="P521" s="1">
        <f t="shared" si="75"/>
        <v>45595</v>
      </c>
      <c r="Q521" t="s">
        <v>2277</v>
      </c>
      <c r="R521">
        <v>81</v>
      </c>
      <c r="S521">
        <v>26</v>
      </c>
      <c r="T521" t="s">
        <v>42</v>
      </c>
      <c r="U521" s="8">
        <v>972</v>
      </c>
      <c r="V521" s="8">
        <f t="shared" si="76"/>
        <v>1080</v>
      </c>
      <c r="W521" t="str">
        <f t="shared" si="77"/>
        <v>Sufficient Stock</v>
      </c>
      <c r="X521" s="9">
        <f t="shared" si="78"/>
        <v>45323</v>
      </c>
      <c r="Y521">
        <f t="shared" si="79"/>
        <v>269</v>
      </c>
      <c r="Z521" t="str">
        <f t="shared" si="80"/>
        <v>Low Risk</v>
      </c>
    </row>
    <row r="522" spans="1:26" x14ac:dyDescent="0.4">
      <c r="A522" t="s">
        <v>2278</v>
      </c>
      <c r="B522" t="s">
        <v>1354</v>
      </c>
      <c r="C522" t="s">
        <v>77</v>
      </c>
      <c r="D522" t="s">
        <v>2279</v>
      </c>
      <c r="E522" t="s">
        <v>2280</v>
      </c>
      <c r="F522">
        <v>13</v>
      </c>
      <c r="G522">
        <v>39</v>
      </c>
      <c r="H522">
        <v>98</v>
      </c>
      <c r="I522" t="s">
        <v>2281</v>
      </c>
      <c r="J522" s="7">
        <f t="shared" si="72"/>
        <v>0.9</v>
      </c>
      <c r="K522" s="1">
        <v>45328</v>
      </c>
      <c r="L522" s="1">
        <f t="shared" si="73"/>
        <v>45328</v>
      </c>
      <c r="M522" s="1">
        <v>45423</v>
      </c>
      <c r="N522" s="1">
        <f t="shared" si="74"/>
        <v>45423</v>
      </c>
      <c r="O522" t="s">
        <v>514</v>
      </c>
      <c r="P522" s="1">
        <f t="shared" si="75"/>
        <v>45553</v>
      </c>
      <c r="Q522" t="s">
        <v>2282</v>
      </c>
      <c r="R522">
        <v>46</v>
      </c>
      <c r="S522">
        <v>46</v>
      </c>
      <c r="T522" t="s">
        <v>42</v>
      </c>
      <c r="U522" s="8">
        <v>41.4</v>
      </c>
      <c r="V522" s="8">
        <f t="shared" si="76"/>
        <v>11.700000000000001</v>
      </c>
      <c r="W522" t="str">
        <f t="shared" si="77"/>
        <v>Reorder Required</v>
      </c>
      <c r="X522" s="9">
        <f t="shared" si="78"/>
        <v>45323</v>
      </c>
      <c r="Y522">
        <f t="shared" si="79"/>
        <v>225</v>
      </c>
      <c r="Z522" t="str">
        <f t="shared" si="80"/>
        <v>Low Risk</v>
      </c>
    </row>
    <row r="523" spans="1:26" x14ac:dyDescent="0.4">
      <c r="A523" t="s">
        <v>2283</v>
      </c>
      <c r="B523" t="s">
        <v>184</v>
      </c>
      <c r="C523" t="s">
        <v>54</v>
      </c>
      <c r="D523" t="s">
        <v>2284</v>
      </c>
      <c r="E523" t="s">
        <v>152</v>
      </c>
      <c r="F523">
        <v>62</v>
      </c>
      <c r="G523">
        <v>79</v>
      </c>
      <c r="H523">
        <v>95</v>
      </c>
      <c r="I523" t="s">
        <v>91</v>
      </c>
      <c r="J523" s="7">
        <f t="shared" si="72"/>
        <v>1</v>
      </c>
      <c r="K523" t="s">
        <v>347</v>
      </c>
      <c r="L523" s="1">
        <f t="shared" si="73"/>
        <v>45428</v>
      </c>
      <c r="M523" s="1">
        <v>45450</v>
      </c>
      <c r="N523" s="1">
        <f t="shared" si="74"/>
        <v>45450</v>
      </c>
      <c r="O523" t="s">
        <v>2285</v>
      </c>
      <c r="P523" s="1">
        <f t="shared" si="75"/>
        <v>45656</v>
      </c>
      <c r="Q523" t="s">
        <v>2286</v>
      </c>
      <c r="R523">
        <v>34</v>
      </c>
      <c r="S523">
        <v>12</v>
      </c>
      <c r="T523" t="s">
        <v>51</v>
      </c>
      <c r="U523" s="8">
        <v>34</v>
      </c>
      <c r="V523" s="8">
        <f t="shared" si="76"/>
        <v>62</v>
      </c>
      <c r="W523" t="str">
        <f t="shared" si="77"/>
        <v>Reorder Required</v>
      </c>
      <c r="X523" s="9">
        <f t="shared" si="78"/>
        <v>45413</v>
      </c>
      <c r="Y523">
        <f t="shared" si="79"/>
        <v>228</v>
      </c>
      <c r="Z523" t="str">
        <f t="shared" si="80"/>
        <v>Low Risk</v>
      </c>
    </row>
    <row r="524" spans="1:26" x14ac:dyDescent="0.4">
      <c r="A524" t="s">
        <v>2287</v>
      </c>
      <c r="B524" t="s">
        <v>1534</v>
      </c>
      <c r="C524" t="s">
        <v>18</v>
      </c>
      <c r="D524" t="s">
        <v>2288</v>
      </c>
      <c r="E524" t="s">
        <v>1527</v>
      </c>
      <c r="F524">
        <v>17</v>
      </c>
      <c r="G524">
        <v>85</v>
      </c>
      <c r="H524">
        <v>74</v>
      </c>
      <c r="I524" t="s">
        <v>220</v>
      </c>
      <c r="J524" s="7">
        <f t="shared" si="72"/>
        <v>5</v>
      </c>
      <c r="K524" s="1">
        <v>45296</v>
      </c>
      <c r="L524" s="1">
        <f t="shared" si="73"/>
        <v>45296</v>
      </c>
      <c r="M524" t="s">
        <v>1664</v>
      </c>
      <c r="N524" s="1">
        <f t="shared" si="74"/>
        <v>45686</v>
      </c>
      <c r="O524" t="s">
        <v>666</v>
      </c>
      <c r="P524" s="1">
        <f t="shared" si="75"/>
        <v>45381</v>
      </c>
      <c r="Q524" t="s">
        <v>2289</v>
      </c>
      <c r="R524">
        <v>76</v>
      </c>
      <c r="S524">
        <v>89</v>
      </c>
      <c r="T524" t="s">
        <v>51</v>
      </c>
      <c r="U524" s="8">
        <v>380</v>
      </c>
      <c r="V524" s="8">
        <f t="shared" si="76"/>
        <v>85</v>
      </c>
      <c r="W524" t="str">
        <f t="shared" si="77"/>
        <v>Reorder Required</v>
      </c>
      <c r="X524" s="9">
        <f t="shared" si="78"/>
        <v>45292</v>
      </c>
      <c r="Y524">
        <f t="shared" si="79"/>
        <v>85</v>
      </c>
      <c r="Z524" t="str">
        <f t="shared" si="80"/>
        <v>High Risk</v>
      </c>
    </row>
    <row r="525" spans="1:26" x14ac:dyDescent="0.4">
      <c r="A525" t="s">
        <v>2290</v>
      </c>
      <c r="B525" t="s">
        <v>943</v>
      </c>
      <c r="C525" t="s">
        <v>68</v>
      </c>
      <c r="D525" t="s">
        <v>2291</v>
      </c>
      <c r="E525" t="s">
        <v>1615</v>
      </c>
      <c r="F525">
        <v>100</v>
      </c>
      <c r="G525">
        <v>86</v>
      </c>
      <c r="H525">
        <v>94</v>
      </c>
      <c r="I525" t="s">
        <v>945</v>
      </c>
      <c r="J525" s="7">
        <f t="shared" si="72"/>
        <v>6.5</v>
      </c>
      <c r="K525" s="1">
        <v>45604</v>
      </c>
      <c r="L525" s="1">
        <f t="shared" si="73"/>
        <v>45604</v>
      </c>
      <c r="M525" s="1">
        <v>45630</v>
      </c>
      <c r="N525" s="1">
        <f t="shared" si="74"/>
        <v>45630</v>
      </c>
      <c r="O525" s="1">
        <v>45388</v>
      </c>
      <c r="P525" s="1">
        <f t="shared" si="75"/>
        <v>45388</v>
      </c>
      <c r="Q525" t="s">
        <v>2292</v>
      </c>
      <c r="R525">
        <v>77</v>
      </c>
      <c r="S525">
        <v>57</v>
      </c>
      <c r="T525" t="s">
        <v>51</v>
      </c>
      <c r="U525" s="8">
        <v>500.5</v>
      </c>
      <c r="V525" s="8">
        <f t="shared" si="76"/>
        <v>650</v>
      </c>
      <c r="W525" t="str">
        <f t="shared" si="77"/>
        <v>Sufficient Stock</v>
      </c>
      <c r="X525" s="9">
        <f t="shared" si="78"/>
        <v>45597</v>
      </c>
      <c r="Y525">
        <f t="shared" si="79"/>
        <v>-216</v>
      </c>
      <c r="Z525" t="str">
        <f t="shared" si="80"/>
        <v>Invalid Data</v>
      </c>
    </row>
    <row r="526" spans="1:26" x14ac:dyDescent="0.4">
      <c r="A526" t="s">
        <v>2293</v>
      </c>
      <c r="B526" t="s">
        <v>60</v>
      </c>
      <c r="C526" t="s">
        <v>18</v>
      </c>
      <c r="D526" t="s">
        <v>2294</v>
      </c>
      <c r="E526" t="s">
        <v>1668</v>
      </c>
      <c r="F526">
        <v>54</v>
      </c>
      <c r="G526">
        <v>69</v>
      </c>
      <c r="H526">
        <v>68</v>
      </c>
      <c r="I526" t="s">
        <v>63</v>
      </c>
      <c r="J526" s="7">
        <f t="shared" si="72"/>
        <v>1.75</v>
      </c>
      <c r="K526" t="s">
        <v>1049</v>
      </c>
      <c r="L526" s="1">
        <f t="shared" si="73"/>
        <v>45497</v>
      </c>
      <c r="M526" s="1">
        <v>45423</v>
      </c>
      <c r="N526" s="1">
        <f t="shared" si="74"/>
        <v>45423</v>
      </c>
      <c r="O526" t="s">
        <v>725</v>
      </c>
      <c r="P526" s="1">
        <f t="shared" si="75"/>
        <v>45425</v>
      </c>
      <c r="Q526" t="s">
        <v>2295</v>
      </c>
      <c r="R526">
        <v>77</v>
      </c>
      <c r="S526">
        <v>56</v>
      </c>
      <c r="T526" t="s">
        <v>26</v>
      </c>
      <c r="U526" s="8">
        <v>134.75</v>
      </c>
      <c r="V526" s="8">
        <f t="shared" si="76"/>
        <v>94.5</v>
      </c>
      <c r="W526" t="str">
        <f t="shared" si="77"/>
        <v>Reorder Required</v>
      </c>
      <c r="X526" s="9">
        <f t="shared" si="78"/>
        <v>45474</v>
      </c>
      <c r="Y526">
        <f t="shared" si="79"/>
        <v>-72</v>
      </c>
      <c r="Z526" t="str">
        <f t="shared" si="80"/>
        <v>Invalid Data</v>
      </c>
    </row>
    <row r="527" spans="1:26" x14ac:dyDescent="0.4">
      <c r="A527" t="s">
        <v>2296</v>
      </c>
      <c r="B527" t="s">
        <v>663</v>
      </c>
      <c r="C527" t="s">
        <v>77</v>
      </c>
      <c r="D527" t="s">
        <v>2297</v>
      </c>
      <c r="E527" t="s">
        <v>929</v>
      </c>
      <c r="F527">
        <v>98</v>
      </c>
      <c r="G527">
        <v>24</v>
      </c>
      <c r="H527">
        <v>4</v>
      </c>
      <c r="I527" t="s">
        <v>2081</v>
      </c>
      <c r="J527" s="7">
        <f t="shared" si="72"/>
        <v>4.0999999999999996</v>
      </c>
      <c r="K527" s="1">
        <v>45507</v>
      </c>
      <c r="L527" s="1">
        <f t="shared" si="73"/>
        <v>45507</v>
      </c>
      <c r="M527" t="s">
        <v>192</v>
      </c>
      <c r="N527" s="1">
        <f t="shared" si="74"/>
        <v>45647</v>
      </c>
      <c r="O527" t="s">
        <v>811</v>
      </c>
      <c r="P527" s="1">
        <f t="shared" si="75"/>
        <v>45435</v>
      </c>
      <c r="Q527" t="s">
        <v>2298</v>
      </c>
      <c r="R527">
        <v>89</v>
      </c>
      <c r="S527">
        <v>80</v>
      </c>
      <c r="T527" t="s">
        <v>51</v>
      </c>
      <c r="U527" s="8">
        <v>364.9</v>
      </c>
      <c r="V527" s="8">
        <f t="shared" si="76"/>
        <v>401.79999999999995</v>
      </c>
      <c r="W527" t="str">
        <f t="shared" si="77"/>
        <v>Sufficient Stock</v>
      </c>
      <c r="X527" s="9">
        <f t="shared" si="78"/>
        <v>45505</v>
      </c>
      <c r="Y527">
        <f t="shared" si="79"/>
        <v>-72</v>
      </c>
      <c r="Z527" t="str">
        <f t="shared" si="80"/>
        <v>Invalid Data</v>
      </c>
    </row>
    <row r="528" spans="1:26" x14ac:dyDescent="0.4">
      <c r="A528" t="s">
        <v>2299</v>
      </c>
      <c r="B528" t="s">
        <v>255</v>
      </c>
      <c r="C528" t="s">
        <v>29</v>
      </c>
      <c r="D528" t="s">
        <v>2300</v>
      </c>
      <c r="E528" t="s">
        <v>2301</v>
      </c>
      <c r="F528">
        <v>20</v>
      </c>
      <c r="G528">
        <v>9</v>
      </c>
      <c r="H528">
        <v>12</v>
      </c>
      <c r="I528" t="s">
        <v>2302</v>
      </c>
      <c r="J528" s="7">
        <f t="shared" si="72"/>
        <v>30.5</v>
      </c>
      <c r="K528" t="s">
        <v>207</v>
      </c>
      <c r="L528" s="1">
        <f t="shared" si="73"/>
        <v>45469</v>
      </c>
      <c r="M528" t="s">
        <v>199</v>
      </c>
      <c r="N528" s="1">
        <f t="shared" si="74"/>
        <v>45710</v>
      </c>
      <c r="O528" t="s">
        <v>495</v>
      </c>
      <c r="P528" s="1">
        <f t="shared" si="75"/>
        <v>45367</v>
      </c>
      <c r="Q528" t="s">
        <v>2303</v>
      </c>
      <c r="R528">
        <v>46</v>
      </c>
      <c r="S528">
        <v>32</v>
      </c>
      <c r="T528" t="s">
        <v>26</v>
      </c>
      <c r="U528" s="8">
        <v>1403</v>
      </c>
      <c r="V528" s="8">
        <f t="shared" si="76"/>
        <v>610</v>
      </c>
      <c r="W528" t="str">
        <f t="shared" si="77"/>
        <v>Sufficient Stock</v>
      </c>
      <c r="X528" s="9">
        <f t="shared" si="78"/>
        <v>45444</v>
      </c>
      <c r="Y528">
        <f t="shared" si="79"/>
        <v>-102</v>
      </c>
      <c r="Z528" t="str">
        <f t="shared" si="80"/>
        <v>Invalid Data</v>
      </c>
    </row>
    <row r="529" spans="1:26" x14ac:dyDescent="0.4">
      <c r="A529" t="s">
        <v>2304</v>
      </c>
      <c r="B529" t="s">
        <v>263</v>
      </c>
      <c r="C529" t="s">
        <v>169</v>
      </c>
      <c r="D529" t="s">
        <v>2305</v>
      </c>
      <c r="E529" t="s">
        <v>1169</v>
      </c>
      <c r="F529">
        <v>43</v>
      </c>
      <c r="G529">
        <v>7</v>
      </c>
      <c r="H529">
        <v>63</v>
      </c>
      <c r="I529" t="s">
        <v>266</v>
      </c>
      <c r="J529" s="7">
        <f t="shared" si="72"/>
        <v>9</v>
      </c>
      <c r="K529" t="s">
        <v>428</v>
      </c>
      <c r="L529" s="1">
        <f t="shared" si="73"/>
        <v>45561</v>
      </c>
      <c r="M529" t="s">
        <v>1049</v>
      </c>
      <c r="N529" s="1">
        <f t="shared" si="74"/>
        <v>45497</v>
      </c>
      <c r="O529" s="1">
        <v>45507</v>
      </c>
      <c r="P529" s="1">
        <f t="shared" si="75"/>
        <v>45507</v>
      </c>
      <c r="Q529" t="s">
        <v>2306</v>
      </c>
      <c r="R529">
        <v>66</v>
      </c>
      <c r="S529">
        <v>71</v>
      </c>
      <c r="T529" t="s">
        <v>51</v>
      </c>
      <c r="U529" s="8">
        <v>594</v>
      </c>
      <c r="V529" s="8">
        <f t="shared" si="76"/>
        <v>387</v>
      </c>
      <c r="W529" t="str">
        <f t="shared" si="77"/>
        <v>Sufficient Stock</v>
      </c>
      <c r="X529" s="9">
        <f t="shared" si="78"/>
        <v>45536</v>
      </c>
      <c r="Y529">
        <f t="shared" si="79"/>
        <v>-54</v>
      </c>
      <c r="Z529" t="str">
        <f t="shared" si="80"/>
        <v>Invalid Data</v>
      </c>
    </row>
    <row r="530" spans="1:26" x14ac:dyDescent="0.4">
      <c r="A530" t="s">
        <v>2307</v>
      </c>
      <c r="B530" t="s">
        <v>391</v>
      </c>
      <c r="C530" t="s">
        <v>29</v>
      </c>
      <c r="D530" t="s">
        <v>2308</v>
      </c>
      <c r="E530" t="s">
        <v>565</v>
      </c>
      <c r="F530">
        <v>29</v>
      </c>
      <c r="G530">
        <v>91</v>
      </c>
      <c r="H530">
        <v>48</v>
      </c>
      <c r="I530" t="s">
        <v>172</v>
      </c>
      <c r="J530" s="7">
        <f t="shared" si="72"/>
        <v>12</v>
      </c>
      <c r="K530" s="1">
        <v>45422</v>
      </c>
      <c r="L530" s="1">
        <f t="shared" si="73"/>
        <v>45422</v>
      </c>
      <c r="M530" s="1">
        <v>45572</v>
      </c>
      <c r="N530" s="1">
        <f t="shared" si="74"/>
        <v>45572</v>
      </c>
      <c r="O530" t="s">
        <v>22</v>
      </c>
      <c r="P530" s="1">
        <f t="shared" si="75"/>
        <v>45520</v>
      </c>
      <c r="Q530" t="s">
        <v>2309</v>
      </c>
      <c r="R530">
        <v>28</v>
      </c>
      <c r="S530">
        <v>40</v>
      </c>
      <c r="T530" t="s">
        <v>51</v>
      </c>
      <c r="U530" s="8">
        <v>336</v>
      </c>
      <c r="V530" s="8">
        <f t="shared" si="76"/>
        <v>348</v>
      </c>
      <c r="W530" t="str">
        <f t="shared" si="77"/>
        <v>Reorder Required</v>
      </c>
      <c r="X530" s="9">
        <f t="shared" si="78"/>
        <v>45413</v>
      </c>
      <c r="Y530">
        <f t="shared" si="79"/>
        <v>98</v>
      </c>
      <c r="Z530" t="str">
        <f t="shared" si="80"/>
        <v>Medium Risk</v>
      </c>
    </row>
    <row r="531" spans="1:26" x14ac:dyDescent="0.4">
      <c r="A531" t="s">
        <v>2310</v>
      </c>
      <c r="B531" t="s">
        <v>1383</v>
      </c>
      <c r="C531" t="s">
        <v>54</v>
      </c>
      <c r="D531" t="s">
        <v>2311</v>
      </c>
      <c r="E531" t="s">
        <v>832</v>
      </c>
      <c r="F531">
        <v>37</v>
      </c>
      <c r="G531">
        <v>45</v>
      </c>
      <c r="H531">
        <v>62</v>
      </c>
      <c r="I531" t="s">
        <v>1386</v>
      </c>
      <c r="J531" s="7">
        <f t="shared" si="72"/>
        <v>5.5</v>
      </c>
      <c r="K531" s="1">
        <v>45516</v>
      </c>
      <c r="L531" s="1">
        <f t="shared" si="73"/>
        <v>45516</v>
      </c>
      <c r="M531" s="1">
        <v>45992</v>
      </c>
      <c r="N531" s="1">
        <f t="shared" si="74"/>
        <v>45992</v>
      </c>
      <c r="O531" t="s">
        <v>635</v>
      </c>
      <c r="P531" s="1">
        <f t="shared" si="75"/>
        <v>45402</v>
      </c>
      <c r="Q531" t="s">
        <v>2312</v>
      </c>
      <c r="R531">
        <v>34</v>
      </c>
      <c r="S531">
        <v>23</v>
      </c>
      <c r="T531" t="s">
        <v>42</v>
      </c>
      <c r="U531" s="8">
        <v>187</v>
      </c>
      <c r="V531" s="8">
        <f t="shared" si="76"/>
        <v>203.5</v>
      </c>
      <c r="W531" t="str">
        <f t="shared" si="77"/>
        <v>Reorder Required</v>
      </c>
      <c r="X531" s="9">
        <f t="shared" si="78"/>
        <v>45505</v>
      </c>
      <c r="Y531">
        <f t="shared" si="79"/>
        <v>-114</v>
      </c>
      <c r="Z531" t="str">
        <f t="shared" si="80"/>
        <v>Invalid Data</v>
      </c>
    </row>
    <row r="532" spans="1:26" x14ac:dyDescent="0.4">
      <c r="A532" t="s">
        <v>2313</v>
      </c>
      <c r="B532" t="s">
        <v>923</v>
      </c>
      <c r="C532" t="s">
        <v>77</v>
      </c>
      <c r="D532" t="s">
        <v>2314</v>
      </c>
      <c r="E532" t="s">
        <v>2315</v>
      </c>
      <c r="F532">
        <v>85</v>
      </c>
      <c r="G532">
        <v>28</v>
      </c>
      <c r="H532">
        <v>32</v>
      </c>
      <c r="I532" t="s">
        <v>1679</v>
      </c>
      <c r="J532" s="7">
        <f t="shared" si="72"/>
        <v>8.9</v>
      </c>
      <c r="K532" t="s">
        <v>719</v>
      </c>
      <c r="L532" s="1">
        <f t="shared" si="73"/>
        <v>45674</v>
      </c>
      <c r="M532" t="s">
        <v>1110</v>
      </c>
      <c r="N532" s="1">
        <f t="shared" si="74"/>
        <v>45468</v>
      </c>
      <c r="O532" t="s">
        <v>366</v>
      </c>
      <c r="P532" s="1">
        <f t="shared" si="75"/>
        <v>45685</v>
      </c>
      <c r="Q532" t="s">
        <v>2316</v>
      </c>
      <c r="R532">
        <v>57</v>
      </c>
      <c r="S532">
        <v>41</v>
      </c>
      <c r="T532" t="s">
        <v>42</v>
      </c>
      <c r="U532" s="8">
        <v>507.3</v>
      </c>
      <c r="V532" s="8">
        <f t="shared" si="76"/>
        <v>756.5</v>
      </c>
      <c r="W532" t="str">
        <f t="shared" si="77"/>
        <v>Sufficient Stock</v>
      </c>
      <c r="X532" s="9">
        <f t="shared" si="78"/>
        <v>45658</v>
      </c>
      <c r="Y532">
        <f t="shared" si="79"/>
        <v>11</v>
      </c>
      <c r="Z532" t="str">
        <f t="shared" si="80"/>
        <v>Critical</v>
      </c>
    </row>
    <row r="533" spans="1:26" x14ac:dyDescent="0.4">
      <c r="A533" t="s">
        <v>2317</v>
      </c>
      <c r="B533" t="s">
        <v>1046</v>
      </c>
      <c r="C533" t="s">
        <v>18</v>
      </c>
      <c r="D533" t="s">
        <v>2318</v>
      </c>
      <c r="E533" t="s">
        <v>891</v>
      </c>
      <c r="F533">
        <v>26</v>
      </c>
      <c r="G533">
        <v>67</v>
      </c>
      <c r="H533">
        <v>46</v>
      </c>
      <c r="I533" t="s">
        <v>2160</v>
      </c>
      <c r="J533" s="7">
        <f t="shared" si="72"/>
        <v>4.4000000000000004</v>
      </c>
      <c r="K533" s="1">
        <v>45516</v>
      </c>
      <c r="L533" s="1">
        <f t="shared" si="73"/>
        <v>45516</v>
      </c>
      <c r="M533" s="1">
        <v>45635</v>
      </c>
      <c r="N533" s="1">
        <f t="shared" si="74"/>
        <v>45635</v>
      </c>
      <c r="O533" s="1">
        <v>45386</v>
      </c>
      <c r="P533" s="1">
        <f t="shared" si="75"/>
        <v>45386</v>
      </c>
      <c r="Q533" t="s">
        <v>2319</v>
      </c>
      <c r="R533">
        <v>54</v>
      </c>
      <c r="S533">
        <v>46</v>
      </c>
      <c r="T533" t="s">
        <v>42</v>
      </c>
      <c r="U533" s="8">
        <v>237.60000000000002</v>
      </c>
      <c r="V533" s="8">
        <f t="shared" si="76"/>
        <v>114.4</v>
      </c>
      <c r="W533" t="str">
        <f t="shared" si="77"/>
        <v>Reorder Required</v>
      </c>
      <c r="X533" s="9">
        <f t="shared" si="78"/>
        <v>45505</v>
      </c>
      <c r="Y533">
        <f t="shared" si="79"/>
        <v>-130</v>
      </c>
      <c r="Z533" t="str">
        <f t="shared" si="80"/>
        <v>Invalid Data</v>
      </c>
    </row>
    <row r="534" spans="1:26" x14ac:dyDescent="0.4">
      <c r="A534" t="s">
        <v>2320</v>
      </c>
      <c r="B534" t="s">
        <v>458</v>
      </c>
      <c r="C534" t="s">
        <v>29</v>
      </c>
      <c r="D534" t="s">
        <v>2321</v>
      </c>
      <c r="E534" t="s">
        <v>46</v>
      </c>
      <c r="F534">
        <v>91</v>
      </c>
      <c r="G534">
        <v>78</v>
      </c>
      <c r="H534">
        <v>61</v>
      </c>
      <c r="I534" t="s">
        <v>461</v>
      </c>
      <c r="J534" s="7">
        <f t="shared" si="72"/>
        <v>25</v>
      </c>
      <c r="K534" s="1">
        <v>45417</v>
      </c>
      <c r="L534" s="1">
        <f t="shared" si="73"/>
        <v>45417</v>
      </c>
      <c r="M534" t="s">
        <v>526</v>
      </c>
      <c r="N534" s="1">
        <f t="shared" si="74"/>
        <v>45592</v>
      </c>
      <c r="O534" s="1">
        <v>45573</v>
      </c>
      <c r="P534" s="1">
        <f t="shared" si="75"/>
        <v>45573</v>
      </c>
      <c r="Q534" t="s">
        <v>2322</v>
      </c>
      <c r="R534">
        <v>63</v>
      </c>
      <c r="S534">
        <v>15</v>
      </c>
      <c r="T534" t="s">
        <v>42</v>
      </c>
      <c r="U534" s="8">
        <v>1575</v>
      </c>
      <c r="V534" s="8">
        <f t="shared" si="76"/>
        <v>2275</v>
      </c>
      <c r="W534" t="str">
        <f t="shared" si="77"/>
        <v>Sufficient Stock</v>
      </c>
      <c r="X534" s="9">
        <f t="shared" si="78"/>
        <v>45413</v>
      </c>
      <c r="Y534">
        <f t="shared" si="79"/>
        <v>156</v>
      </c>
      <c r="Z534" t="str">
        <f t="shared" si="80"/>
        <v>Medium Risk</v>
      </c>
    </row>
    <row r="535" spans="1:26" x14ac:dyDescent="0.4">
      <c r="A535" t="s">
        <v>2323</v>
      </c>
      <c r="B535" t="s">
        <v>447</v>
      </c>
      <c r="C535" t="s">
        <v>77</v>
      </c>
      <c r="D535" t="s">
        <v>2324</v>
      </c>
      <c r="E535" t="s">
        <v>858</v>
      </c>
      <c r="F535">
        <v>50</v>
      </c>
      <c r="G535">
        <v>46</v>
      </c>
      <c r="H535">
        <v>38</v>
      </c>
      <c r="I535" t="s">
        <v>1829</v>
      </c>
      <c r="J535" s="7">
        <f t="shared" si="72"/>
        <v>6.2</v>
      </c>
      <c r="K535" s="1">
        <v>45301</v>
      </c>
      <c r="L535" s="1">
        <f t="shared" si="73"/>
        <v>45301</v>
      </c>
      <c r="M535" s="1">
        <v>45358</v>
      </c>
      <c r="N535" s="1">
        <f t="shared" si="74"/>
        <v>45358</v>
      </c>
      <c r="O535" t="s">
        <v>609</v>
      </c>
      <c r="P535" s="1">
        <f t="shared" si="75"/>
        <v>45504</v>
      </c>
      <c r="Q535" t="s">
        <v>2325</v>
      </c>
      <c r="R535">
        <v>88</v>
      </c>
      <c r="S535">
        <v>70</v>
      </c>
      <c r="T535" t="s">
        <v>51</v>
      </c>
      <c r="U535" s="8">
        <v>545.6</v>
      </c>
      <c r="V535" s="8">
        <f t="shared" si="76"/>
        <v>310</v>
      </c>
      <c r="W535" t="str">
        <f t="shared" si="77"/>
        <v>Sufficient Stock</v>
      </c>
      <c r="X535" s="9">
        <f t="shared" si="78"/>
        <v>45292</v>
      </c>
      <c r="Y535">
        <f t="shared" si="79"/>
        <v>203</v>
      </c>
      <c r="Z535" t="str">
        <f t="shared" si="80"/>
        <v>Low Risk</v>
      </c>
    </row>
    <row r="536" spans="1:26" x14ac:dyDescent="0.4">
      <c r="A536" t="s">
        <v>2326</v>
      </c>
      <c r="B536" t="s">
        <v>168</v>
      </c>
      <c r="C536" t="s">
        <v>169</v>
      </c>
      <c r="D536" t="s">
        <v>2327</v>
      </c>
      <c r="E536" t="s">
        <v>1039</v>
      </c>
      <c r="F536">
        <v>98</v>
      </c>
      <c r="G536">
        <v>65</v>
      </c>
      <c r="H536">
        <v>76</v>
      </c>
      <c r="I536" t="s">
        <v>172</v>
      </c>
      <c r="J536" s="7">
        <f t="shared" si="72"/>
        <v>12</v>
      </c>
      <c r="K536" t="s">
        <v>1351</v>
      </c>
      <c r="L536" s="1">
        <f t="shared" si="73"/>
        <v>45562</v>
      </c>
      <c r="M536" t="s">
        <v>1357</v>
      </c>
      <c r="N536" s="1">
        <f t="shared" si="74"/>
        <v>45492</v>
      </c>
      <c r="O536" t="s">
        <v>1488</v>
      </c>
      <c r="P536" s="1">
        <f t="shared" si="75"/>
        <v>45470</v>
      </c>
      <c r="Q536" t="s">
        <v>2328</v>
      </c>
      <c r="R536">
        <v>62</v>
      </c>
      <c r="S536">
        <v>47</v>
      </c>
      <c r="T536" t="s">
        <v>51</v>
      </c>
      <c r="U536" s="8">
        <v>744</v>
      </c>
      <c r="V536" s="8">
        <f t="shared" si="76"/>
        <v>1176</v>
      </c>
      <c r="W536" t="str">
        <f t="shared" si="77"/>
        <v>Sufficient Stock</v>
      </c>
      <c r="X536" s="9">
        <f t="shared" si="78"/>
        <v>45536</v>
      </c>
      <c r="Y536">
        <f t="shared" si="79"/>
        <v>-92</v>
      </c>
      <c r="Z536" t="str">
        <f t="shared" si="80"/>
        <v>Invalid Data</v>
      </c>
    </row>
    <row r="537" spans="1:26" x14ac:dyDescent="0.4">
      <c r="A537" t="s">
        <v>2329</v>
      </c>
      <c r="B537" t="s">
        <v>88</v>
      </c>
      <c r="C537" t="s">
        <v>77</v>
      </c>
      <c r="D537" t="s">
        <v>2330</v>
      </c>
      <c r="E537" t="s">
        <v>371</v>
      </c>
      <c r="F537">
        <v>37</v>
      </c>
      <c r="G537">
        <v>53</v>
      </c>
      <c r="H537">
        <v>61</v>
      </c>
      <c r="I537" t="s">
        <v>91</v>
      </c>
      <c r="J537" s="7">
        <f t="shared" si="72"/>
        <v>1</v>
      </c>
      <c r="K537" s="1">
        <v>45355</v>
      </c>
      <c r="L537" s="1">
        <f t="shared" si="73"/>
        <v>45355</v>
      </c>
      <c r="M537" t="s">
        <v>1151</v>
      </c>
      <c r="N537" s="1">
        <f t="shared" si="74"/>
        <v>45490</v>
      </c>
      <c r="O537" t="s">
        <v>549</v>
      </c>
      <c r="P537" s="1">
        <f t="shared" si="75"/>
        <v>45372</v>
      </c>
      <c r="Q537" t="s">
        <v>2331</v>
      </c>
      <c r="R537">
        <v>90</v>
      </c>
      <c r="S537">
        <v>89</v>
      </c>
      <c r="T537" t="s">
        <v>42</v>
      </c>
      <c r="U537" s="8">
        <v>90</v>
      </c>
      <c r="V537" s="8">
        <f t="shared" si="76"/>
        <v>37</v>
      </c>
      <c r="W537" t="str">
        <f t="shared" si="77"/>
        <v>Reorder Required</v>
      </c>
      <c r="X537" s="9">
        <f t="shared" si="78"/>
        <v>45352</v>
      </c>
      <c r="Y537">
        <f t="shared" si="79"/>
        <v>17</v>
      </c>
      <c r="Z537" t="str">
        <f t="shared" si="80"/>
        <v>Critical</v>
      </c>
    </row>
    <row r="538" spans="1:26" x14ac:dyDescent="0.4">
      <c r="A538" t="s">
        <v>2332</v>
      </c>
      <c r="B538" t="s">
        <v>386</v>
      </c>
      <c r="C538" t="s">
        <v>112</v>
      </c>
      <c r="D538" t="s">
        <v>2333</v>
      </c>
      <c r="E538" t="s">
        <v>964</v>
      </c>
      <c r="F538">
        <v>78</v>
      </c>
      <c r="G538">
        <v>68</v>
      </c>
      <c r="H538">
        <v>68</v>
      </c>
      <c r="I538" t="s">
        <v>71</v>
      </c>
      <c r="J538" s="7">
        <f t="shared" si="72"/>
        <v>2.5</v>
      </c>
      <c r="K538" s="1">
        <v>45635</v>
      </c>
      <c r="L538" s="1">
        <f t="shared" si="73"/>
        <v>45635</v>
      </c>
      <c r="M538" s="1">
        <v>45415</v>
      </c>
      <c r="N538" s="1">
        <f t="shared" si="74"/>
        <v>45415</v>
      </c>
      <c r="O538" t="s">
        <v>315</v>
      </c>
      <c r="P538" s="1">
        <f t="shared" si="75"/>
        <v>45651</v>
      </c>
      <c r="Q538" t="s">
        <v>2334</v>
      </c>
      <c r="R538">
        <v>89</v>
      </c>
      <c r="S538">
        <v>24</v>
      </c>
      <c r="T538" t="s">
        <v>42</v>
      </c>
      <c r="U538" s="8">
        <v>222.5</v>
      </c>
      <c r="V538" s="8">
        <f t="shared" si="76"/>
        <v>195</v>
      </c>
      <c r="W538" t="str">
        <f t="shared" si="77"/>
        <v>Sufficient Stock</v>
      </c>
      <c r="X538" s="9">
        <f t="shared" si="78"/>
        <v>45627</v>
      </c>
      <c r="Y538">
        <f t="shared" si="79"/>
        <v>16</v>
      </c>
      <c r="Z538" t="str">
        <f t="shared" si="80"/>
        <v>Critical</v>
      </c>
    </row>
    <row r="539" spans="1:26" x14ac:dyDescent="0.4">
      <c r="A539" t="s">
        <v>2335</v>
      </c>
      <c r="B539" t="s">
        <v>779</v>
      </c>
      <c r="C539" t="s">
        <v>54</v>
      </c>
      <c r="D539" t="s">
        <v>2336</v>
      </c>
      <c r="E539" t="s">
        <v>205</v>
      </c>
      <c r="F539">
        <v>48</v>
      </c>
      <c r="G539">
        <v>27</v>
      </c>
      <c r="H539">
        <v>73</v>
      </c>
      <c r="I539" t="s">
        <v>2337</v>
      </c>
      <c r="J539" s="7">
        <f t="shared" si="72"/>
        <v>2.5499999999999998</v>
      </c>
      <c r="K539" t="s">
        <v>193</v>
      </c>
      <c r="L539" s="1">
        <f t="shared" si="73"/>
        <v>45670</v>
      </c>
      <c r="M539" s="1">
        <v>45630</v>
      </c>
      <c r="N539" s="1">
        <f t="shared" si="74"/>
        <v>45630</v>
      </c>
      <c r="O539" t="s">
        <v>200</v>
      </c>
      <c r="P539" s="1">
        <f t="shared" si="75"/>
        <v>45442</v>
      </c>
      <c r="Q539" t="s">
        <v>2338</v>
      </c>
      <c r="R539">
        <v>52</v>
      </c>
      <c r="S539">
        <v>97</v>
      </c>
      <c r="T539" t="s">
        <v>26</v>
      </c>
      <c r="U539" s="8">
        <v>132.6</v>
      </c>
      <c r="V539" s="8">
        <f t="shared" si="76"/>
        <v>122.39999999999999</v>
      </c>
      <c r="W539" t="str">
        <f t="shared" si="77"/>
        <v>Sufficient Stock</v>
      </c>
      <c r="X539" s="9">
        <f t="shared" si="78"/>
        <v>45658</v>
      </c>
      <c r="Y539">
        <f t="shared" si="79"/>
        <v>-228</v>
      </c>
      <c r="Z539" t="str">
        <f t="shared" si="80"/>
        <v>Invalid Data</v>
      </c>
    </row>
    <row r="540" spans="1:26" x14ac:dyDescent="0.4">
      <c r="A540" t="s">
        <v>2339</v>
      </c>
      <c r="B540" t="s">
        <v>28</v>
      </c>
      <c r="C540" t="s">
        <v>29</v>
      </c>
      <c r="D540" t="s">
        <v>2340</v>
      </c>
      <c r="E540" t="s">
        <v>2341</v>
      </c>
      <c r="F540">
        <v>74</v>
      </c>
      <c r="G540">
        <v>10</v>
      </c>
      <c r="H540">
        <v>74</v>
      </c>
      <c r="I540" t="s">
        <v>32</v>
      </c>
      <c r="J540" s="7">
        <f t="shared" si="72"/>
        <v>20</v>
      </c>
      <c r="K540" t="s">
        <v>854</v>
      </c>
      <c r="L540" s="1">
        <f t="shared" si="73"/>
        <v>45500</v>
      </c>
      <c r="M540" s="1">
        <v>45332</v>
      </c>
      <c r="N540" s="1">
        <f t="shared" si="74"/>
        <v>45332</v>
      </c>
      <c r="O540" t="s">
        <v>300</v>
      </c>
      <c r="P540" s="1">
        <f t="shared" si="75"/>
        <v>45371</v>
      </c>
      <c r="Q540" t="s">
        <v>2342</v>
      </c>
      <c r="R540">
        <v>100</v>
      </c>
      <c r="S540">
        <v>66</v>
      </c>
      <c r="T540" t="s">
        <v>42</v>
      </c>
      <c r="U540" s="8">
        <v>2000</v>
      </c>
      <c r="V540" s="8">
        <f t="shared" si="76"/>
        <v>1480</v>
      </c>
      <c r="W540" t="str">
        <f t="shared" si="77"/>
        <v>Sufficient Stock</v>
      </c>
      <c r="X540" s="9">
        <f t="shared" si="78"/>
        <v>45474</v>
      </c>
      <c r="Y540">
        <f t="shared" si="79"/>
        <v>-129</v>
      </c>
      <c r="Z540" t="str">
        <f t="shared" si="80"/>
        <v>Invalid Data</v>
      </c>
    </row>
    <row r="541" spans="1:26" x14ac:dyDescent="0.4">
      <c r="A541" t="s">
        <v>2343</v>
      </c>
      <c r="B541" t="s">
        <v>239</v>
      </c>
      <c r="C541" t="s">
        <v>54</v>
      </c>
      <c r="D541" t="s">
        <v>2344</v>
      </c>
      <c r="E541" t="s">
        <v>1347</v>
      </c>
      <c r="F541">
        <v>18</v>
      </c>
      <c r="G541">
        <v>7</v>
      </c>
      <c r="H541">
        <v>58</v>
      </c>
      <c r="I541" t="s">
        <v>242</v>
      </c>
      <c r="J541" s="7">
        <f t="shared" si="72"/>
        <v>3.5</v>
      </c>
      <c r="K541" t="s">
        <v>402</v>
      </c>
      <c r="L541" s="1">
        <f t="shared" si="73"/>
        <v>45622</v>
      </c>
      <c r="M541" s="1">
        <v>45420</v>
      </c>
      <c r="N541" s="1">
        <f t="shared" si="74"/>
        <v>45420</v>
      </c>
      <c r="O541" t="s">
        <v>207</v>
      </c>
      <c r="P541" s="1">
        <f t="shared" si="75"/>
        <v>45469</v>
      </c>
      <c r="Q541" t="s">
        <v>2345</v>
      </c>
      <c r="R541">
        <v>88</v>
      </c>
      <c r="S541">
        <v>96</v>
      </c>
      <c r="T541" t="s">
        <v>26</v>
      </c>
      <c r="U541" s="8">
        <v>308</v>
      </c>
      <c r="V541" s="8">
        <f t="shared" si="76"/>
        <v>63</v>
      </c>
      <c r="W541" t="str">
        <f t="shared" si="77"/>
        <v>Sufficient Stock</v>
      </c>
      <c r="X541" s="9">
        <f t="shared" si="78"/>
        <v>45597</v>
      </c>
      <c r="Y541">
        <f t="shared" si="79"/>
        <v>-153</v>
      </c>
      <c r="Z541" t="str">
        <f t="shared" si="80"/>
        <v>Invalid Data</v>
      </c>
    </row>
    <row r="542" spans="1:26" x14ac:dyDescent="0.4">
      <c r="A542" t="s">
        <v>2346</v>
      </c>
      <c r="B542" t="s">
        <v>779</v>
      </c>
      <c r="C542" t="s">
        <v>54</v>
      </c>
      <c r="D542" t="s">
        <v>2347</v>
      </c>
      <c r="E542" t="s">
        <v>648</v>
      </c>
      <c r="F542">
        <v>95</v>
      </c>
      <c r="G542">
        <v>66</v>
      </c>
      <c r="H542">
        <v>69</v>
      </c>
      <c r="I542" t="s">
        <v>2348</v>
      </c>
      <c r="J542" s="7">
        <f t="shared" si="72"/>
        <v>2.48</v>
      </c>
      <c r="K542" s="1">
        <v>45510</v>
      </c>
      <c r="L542" s="1">
        <f t="shared" si="73"/>
        <v>45510</v>
      </c>
      <c r="M542" t="s">
        <v>236</v>
      </c>
      <c r="N542" s="1">
        <f t="shared" si="74"/>
        <v>45379</v>
      </c>
      <c r="O542" s="1">
        <v>45749</v>
      </c>
      <c r="P542" s="1">
        <f t="shared" si="75"/>
        <v>45749</v>
      </c>
      <c r="Q542" t="s">
        <v>2349</v>
      </c>
      <c r="R542">
        <v>92</v>
      </c>
      <c r="S542">
        <v>72</v>
      </c>
      <c r="T542" t="s">
        <v>42</v>
      </c>
      <c r="U542" s="8">
        <v>228.16</v>
      </c>
      <c r="V542" s="8">
        <f t="shared" si="76"/>
        <v>235.6</v>
      </c>
      <c r="W542" t="str">
        <f t="shared" si="77"/>
        <v>Sufficient Stock</v>
      </c>
      <c r="X542" s="9">
        <f t="shared" si="78"/>
        <v>45505</v>
      </c>
      <c r="Y542">
        <f t="shared" si="79"/>
        <v>239</v>
      </c>
      <c r="Z542" t="str">
        <f t="shared" si="80"/>
        <v>Low Risk</v>
      </c>
    </row>
    <row r="543" spans="1:26" x14ac:dyDescent="0.4">
      <c r="A543" t="s">
        <v>2350</v>
      </c>
      <c r="B543" t="s">
        <v>932</v>
      </c>
      <c r="C543" t="s">
        <v>77</v>
      </c>
      <c r="D543" t="s">
        <v>2351</v>
      </c>
      <c r="E543" t="s">
        <v>1373</v>
      </c>
      <c r="F543">
        <v>39</v>
      </c>
      <c r="G543">
        <v>93</v>
      </c>
      <c r="H543">
        <v>57</v>
      </c>
      <c r="I543" t="s">
        <v>71</v>
      </c>
      <c r="J543" s="7">
        <f t="shared" si="72"/>
        <v>2.5</v>
      </c>
      <c r="K543" s="1">
        <v>45388</v>
      </c>
      <c r="L543" s="1">
        <f t="shared" si="73"/>
        <v>45388</v>
      </c>
      <c r="M543" t="s">
        <v>164</v>
      </c>
      <c r="N543" s="1">
        <f t="shared" si="74"/>
        <v>45440</v>
      </c>
      <c r="O543" s="1">
        <v>45717</v>
      </c>
      <c r="P543" s="1">
        <f t="shared" si="75"/>
        <v>45717</v>
      </c>
      <c r="Q543" t="s">
        <v>2352</v>
      </c>
      <c r="R543">
        <v>26</v>
      </c>
      <c r="S543">
        <v>44</v>
      </c>
      <c r="T543" t="s">
        <v>42</v>
      </c>
      <c r="U543" s="8">
        <v>65</v>
      </c>
      <c r="V543" s="8">
        <f t="shared" si="76"/>
        <v>97.5</v>
      </c>
      <c r="W543" t="str">
        <f t="shared" si="77"/>
        <v>Reorder Required</v>
      </c>
      <c r="X543" s="9">
        <f t="shared" si="78"/>
        <v>45383</v>
      </c>
      <c r="Y543">
        <f t="shared" si="79"/>
        <v>329</v>
      </c>
      <c r="Z543" t="str">
        <f t="shared" si="80"/>
        <v>Low Risk</v>
      </c>
    </row>
    <row r="544" spans="1:26" x14ac:dyDescent="0.4">
      <c r="A544" t="s">
        <v>2353</v>
      </c>
      <c r="B544" t="s">
        <v>539</v>
      </c>
      <c r="C544" t="s">
        <v>54</v>
      </c>
      <c r="D544" t="s">
        <v>2354</v>
      </c>
      <c r="E544" t="s">
        <v>2355</v>
      </c>
      <c r="F544">
        <v>48</v>
      </c>
      <c r="G544">
        <v>72</v>
      </c>
      <c r="H544">
        <v>55</v>
      </c>
      <c r="I544" t="s">
        <v>85</v>
      </c>
      <c r="J544" s="7">
        <f t="shared" si="72"/>
        <v>3</v>
      </c>
      <c r="K544" t="s">
        <v>514</v>
      </c>
      <c r="L544" s="1">
        <f t="shared" si="73"/>
        <v>45553</v>
      </c>
      <c r="M544" s="1">
        <v>45631</v>
      </c>
      <c r="N544" s="1">
        <f t="shared" si="74"/>
        <v>45631</v>
      </c>
      <c r="O544" t="s">
        <v>127</v>
      </c>
      <c r="P544" s="1">
        <f t="shared" si="75"/>
        <v>45473</v>
      </c>
      <c r="Q544" t="s">
        <v>2356</v>
      </c>
      <c r="R544">
        <v>51</v>
      </c>
      <c r="S544">
        <v>41</v>
      </c>
      <c r="T544" t="s">
        <v>51</v>
      </c>
      <c r="U544" s="8">
        <v>153</v>
      </c>
      <c r="V544" s="8">
        <f t="shared" si="76"/>
        <v>144</v>
      </c>
      <c r="W544" t="str">
        <f t="shared" si="77"/>
        <v>Reorder Required</v>
      </c>
      <c r="X544" s="9">
        <f t="shared" si="78"/>
        <v>45536</v>
      </c>
      <c r="Y544">
        <f t="shared" si="79"/>
        <v>-80</v>
      </c>
      <c r="Z544" t="str">
        <f t="shared" si="80"/>
        <v>Invalid Data</v>
      </c>
    </row>
    <row r="545" spans="1:26" x14ac:dyDescent="0.4">
      <c r="A545" t="s">
        <v>2357</v>
      </c>
      <c r="B545" t="s">
        <v>124</v>
      </c>
      <c r="C545" t="s">
        <v>54</v>
      </c>
      <c r="D545" t="s">
        <v>2358</v>
      </c>
      <c r="E545" t="s">
        <v>977</v>
      </c>
      <c r="F545">
        <v>58</v>
      </c>
      <c r="G545">
        <v>15</v>
      </c>
      <c r="H545">
        <v>87</v>
      </c>
      <c r="I545" t="s">
        <v>1160</v>
      </c>
      <c r="J545" s="7">
        <f t="shared" si="72"/>
        <v>5.9</v>
      </c>
      <c r="K545" s="1">
        <v>45572</v>
      </c>
      <c r="L545" s="1">
        <f t="shared" si="73"/>
        <v>45572</v>
      </c>
      <c r="M545" t="s">
        <v>127</v>
      </c>
      <c r="N545" s="1">
        <f t="shared" si="74"/>
        <v>45473</v>
      </c>
      <c r="O545" t="s">
        <v>525</v>
      </c>
      <c r="P545" s="1">
        <f t="shared" si="75"/>
        <v>45502</v>
      </c>
      <c r="Q545" t="s">
        <v>2359</v>
      </c>
      <c r="R545">
        <v>52</v>
      </c>
      <c r="S545">
        <v>81</v>
      </c>
      <c r="T545" t="s">
        <v>42</v>
      </c>
      <c r="U545" s="8">
        <v>306.8</v>
      </c>
      <c r="V545" s="8">
        <f t="shared" si="76"/>
        <v>342.20000000000005</v>
      </c>
      <c r="W545" t="str">
        <f t="shared" si="77"/>
        <v>Sufficient Stock</v>
      </c>
      <c r="X545" s="9">
        <f t="shared" si="78"/>
        <v>45566</v>
      </c>
      <c r="Y545">
        <f t="shared" si="79"/>
        <v>-70</v>
      </c>
      <c r="Z545" t="str">
        <f t="shared" si="80"/>
        <v>Invalid Data</v>
      </c>
    </row>
    <row r="546" spans="1:26" x14ac:dyDescent="0.4">
      <c r="A546" t="s">
        <v>2360</v>
      </c>
      <c r="B546" t="s">
        <v>82</v>
      </c>
      <c r="C546" t="s">
        <v>77</v>
      </c>
      <c r="D546" t="s">
        <v>2361</v>
      </c>
      <c r="E546" t="s">
        <v>781</v>
      </c>
      <c r="F546">
        <v>39</v>
      </c>
      <c r="G546">
        <v>55</v>
      </c>
      <c r="H546">
        <v>39</v>
      </c>
      <c r="I546" t="s">
        <v>85</v>
      </c>
      <c r="J546" s="7">
        <f t="shared" si="72"/>
        <v>3</v>
      </c>
      <c r="K546" t="s">
        <v>700</v>
      </c>
      <c r="L546" s="1">
        <f t="shared" si="73"/>
        <v>45519</v>
      </c>
      <c r="M546" s="1">
        <v>45480</v>
      </c>
      <c r="N546" s="1">
        <f t="shared" si="74"/>
        <v>45480</v>
      </c>
      <c r="O546" t="s">
        <v>73</v>
      </c>
      <c r="P546" s="1">
        <f t="shared" si="75"/>
        <v>45463</v>
      </c>
      <c r="Q546" t="s">
        <v>2362</v>
      </c>
      <c r="R546">
        <v>47</v>
      </c>
      <c r="S546">
        <v>59</v>
      </c>
      <c r="T546" t="s">
        <v>42</v>
      </c>
      <c r="U546" s="8">
        <v>141</v>
      </c>
      <c r="V546" s="8">
        <f t="shared" si="76"/>
        <v>117</v>
      </c>
      <c r="W546" t="str">
        <f t="shared" si="77"/>
        <v>Reorder Required</v>
      </c>
      <c r="X546" s="9">
        <f t="shared" si="78"/>
        <v>45505</v>
      </c>
      <c r="Y546">
        <f t="shared" si="79"/>
        <v>-56</v>
      </c>
      <c r="Z546" t="str">
        <f t="shared" si="80"/>
        <v>Invalid Data</v>
      </c>
    </row>
    <row r="547" spans="1:26" x14ac:dyDescent="0.4">
      <c r="A547" t="s">
        <v>2363</v>
      </c>
      <c r="B547" t="s">
        <v>1470</v>
      </c>
      <c r="C547" t="s">
        <v>54</v>
      </c>
      <c r="D547" t="s">
        <v>2364</v>
      </c>
      <c r="E547" t="s">
        <v>414</v>
      </c>
      <c r="F547">
        <v>84</v>
      </c>
      <c r="G547">
        <v>28</v>
      </c>
      <c r="H547">
        <v>29</v>
      </c>
      <c r="I547" t="s">
        <v>2160</v>
      </c>
      <c r="J547" s="7">
        <f t="shared" si="72"/>
        <v>4.4000000000000004</v>
      </c>
      <c r="K547" s="1">
        <v>45902</v>
      </c>
      <c r="L547" s="1">
        <f t="shared" si="73"/>
        <v>45902</v>
      </c>
      <c r="M547" t="s">
        <v>353</v>
      </c>
      <c r="N547" s="1">
        <f t="shared" si="74"/>
        <v>45703</v>
      </c>
      <c r="O547" t="s">
        <v>524</v>
      </c>
      <c r="P547" s="1">
        <f t="shared" si="75"/>
        <v>45640</v>
      </c>
      <c r="Q547" t="s">
        <v>2365</v>
      </c>
      <c r="R547">
        <v>54</v>
      </c>
      <c r="S547">
        <v>32</v>
      </c>
      <c r="T547" t="s">
        <v>26</v>
      </c>
      <c r="U547" s="8">
        <v>237.60000000000002</v>
      </c>
      <c r="V547" s="8">
        <f t="shared" si="76"/>
        <v>369.6</v>
      </c>
      <c r="W547" t="str">
        <f t="shared" si="77"/>
        <v>Sufficient Stock</v>
      </c>
      <c r="X547" s="9">
        <f t="shared" si="78"/>
        <v>45901</v>
      </c>
      <c r="Y547">
        <f t="shared" si="79"/>
        <v>-262</v>
      </c>
      <c r="Z547" t="str">
        <f t="shared" si="80"/>
        <v>Invalid Data</v>
      </c>
    </row>
    <row r="548" spans="1:26" x14ac:dyDescent="0.4">
      <c r="A548" t="s">
        <v>2366</v>
      </c>
      <c r="B548" t="s">
        <v>412</v>
      </c>
      <c r="C548" t="s">
        <v>169</v>
      </c>
      <c r="D548" t="s">
        <v>2367</v>
      </c>
      <c r="E548" t="s">
        <v>278</v>
      </c>
      <c r="F548">
        <v>30</v>
      </c>
      <c r="G548">
        <v>55</v>
      </c>
      <c r="H548">
        <v>4</v>
      </c>
      <c r="I548" t="s">
        <v>39</v>
      </c>
      <c r="J548" s="7">
        <f t="shared" si="72"/>
        <v>6</v>
      </c>
      <c r="K548" t="s">
        <v>1331</v>
      </c>
      <c r="L548" s="1">
        <f t="shared" si="73"/>
        <v>45529</v>
      </c>
      <c r="M548" t="s">
        <v>358</v>
      </c>
      <c r="N548" s="1">
        <f t="shared" si="74"/>
        <v>45501</v>
      </c>
      <c r="O548" t="s">
        <v>450</v>
      </c>
      <c r="P548" s="1">
        <f t="shared" si="75"/>
        <v>45688</v>
      </c>
      <c r="Q548" t="s">
        <v>2368</v>
      </c>
      <c r="R548">
        <v>56</v>
      </c>
      <c r="S548">
        <v>31</v>
      </c>
      <c r="T548" t="s">
        <v>51</v>
      </c>
      <c r="U548" s="8">
        <v>336</v>
      </c>
      <c r="V548" s="8">
        <f t="shared" si="76"/>
        <v>180</v>
      </c>
      <c r="W548" t="str">
        <f t="shared" si="77"/>
        <v>Reorder Required</v>
      </c>
      <c r="X548" s="9">
        <f t="shared" si="78"/>
        <v>45505</v>
      </c>
      <c r="Y548">
        <f t="shared" si="79"/>
        <v>159</v>
      </c>
      <c r="Z548" t="str">
        <f t="shared" si="80"/>
        <v>Medium Risk</v>
      </c>
    </row>
    <row r="549" spans="1:26" x14ac:dyDescent="0.4">
      <c r="A549" t="s">
        <v>2369</v>
      </c>
      <c r="B549" t="s">
        <v>943</v>
      </c>
      <c r="C549" t="s">
        <v>68</v>
      </c>
      <c r="D549" t="s">
        <v>2370</v>
      </c>
      <c r="E549" t="s">
        <v>920</v>
      </c>
      <c r="F549">
        <v>14</v>
      </c>
      <c r="G549">
        <v>84</v>
      </c>
      <c r="H549">
        <v>15</v>
      </c>
      <c r="I549" t="s">
        <v>945</v>
      </c>
      <c r="J549" s="7">
        <f t="shared" si="72"/>
        <v>6.5</v>
      </c>
      <c r="K549" t="s">
        <v>366</v>
      </c>
      <c r="L549" s="1">
        <f t="shared" si="73"/>
        <v>45685</v>
      </c>
      <c r="M549" s="1">
        <v>45840</v>
      </c>
      <c r="N549" s="1">
        <f t="shared" si="74"/>
        <v>45840</v>
      </c>
      <c r="O549" s="1">
        <v>45638</v>
      </c>
      <c r="P549" s="1">
        <f t="shared" si="75"/>
        <v>45638</v>
      </c>
      <c r="Q549" t="s">
        <v>2371</v>
      </c>
      <c r="R549">
        <v>51</v>
      </c>
      <c r="S549">
        <v>73</v>
      </c>
      <c r="T549" t="s">
        <v>51</v>
      </c>
      <c r="U549" s="8">
        <v>331.5</v>
      </c>
      <c r="V549" s="8">
        <f t="shared" si="76"/>
        <v>91</v>
      </c>
      <c r="W549" t="str">
        <f t="shared" si="77"/>
        <v>Reorder Required</v>
      </c>
      <c r="X549" s="9">
        <f t="shared" si="78"/>
        <v>45658</v>
      </c>
      <c r="Y549">
        <f t="shared" si="79"/>
        <v>-47</v>
      </c>
      <c r="Z549" t="str">
        <f t="shared" si="80"/>
        <v>Invalid Data</v>
      </c>
    </row>
    <row r="550" spans="1:26" x14ac:dyDescent="0.4">
      <c r="A550" t="s">
        <v>2372</v>
      </c>
      <c r="B550" t="s">
        <v>885</v>
      </c>
      <c r="C550" t="s">
        <v>18</v>
      </c>
      <c r="D550" t="s">
        <v>2373</v>
      </c>
      <c r="E550" t="s">
        <v>891</v>
      </c>
      <c r="F550">
        <v>21</v>
      </c>
      <c r="G550">
        <v>15</v>
      </c>
      <c r="H550">
        <v>27</v>
      </c>
      <c r="I550" t="s">
        <v>71</v>
      </c>
      <c r="J550" s="7">
        <f t="shared" si="72"/>
        <v>2.5</v>
      </c>
      <c r="K550" s="1">
        <v>45779</v>
      </c>
      <c r="L550" s="1">
        <f t="shared" si="73"/>
        <v>45779</v>
      </c>
      <c r="M550" s="1">
        <v>45606</v>
      </c>
      <c r="N550" s="1">
        <f t="shared" si="74"/>
        <v>45606</v>
      </c>
      <c r="O550" s="1">
        <v>45512</v>
      </c>
      <c r="P550" s="1">
        <f t="shared" si="75"/>
        <v>45512</v>
      </c>
      <c r="Q550" t="s">
        <v>2374</v>
      </c>
      <c r="R550">
        <v>37</v>
      </c>
      <c r="S550">
        <v>41</v>
      </c>
      <c r="T550" t="s">
        <v>51</v>
      </c>
      <c r="U550" s="8">
        <v>92.5</v>
      </c>
      <c r="V550" s="8">
        <f t="shared" si="76"/>
        <v>52.5</v>
      </c>
      <c r="W550" t="str">
        <f t="shared" si="77"/>
        <v>Sufficient Stock</v>
      </c>
      <c r="X550" s="9">
        <f t="shared" si="78"/>
        <v>45778</v>
      </c>
      <c r="Y550">
        <f t="shared" si="79"/>
        <v>-267</v>
      </c>
      <c r="Z550" t="str">
        <f t="shared" si="80"/>
        <v>Invalid Data</v>
      </c>
    </row>
    <row r="551" spans="1:26" x14ac:dyDescent="0.4">
      <c r="A551" t="s">
        <v>2375</v>
      </c>
      <c r="B551" t="s">
        <v>621</v>
      </c>
      <c r="C551" t="s">
        <v>18</v>
      </c>
      <c r="D551" t="s">
        <v>2376</v>
      </c>
      <c r="E551" t="s">
        <v>2377</v>
      </c>
      <c r="F551">
        <v>17</v>
      </c>
      <c r="G551">
        <v>19</v>
      </c>
      <c r="H551">
        <v>74</v>
      </c>
      <c r="I551" t="s">
        <v>624</v>
      </c>
      <c r="J551" s="7">
        <f t="shared" si="72"/>
        <v>4.75</v>
      </c>
      <c r="K551" s="1">
        <v>45392</v>
      </c>
      <c r="L551" s="1">
        <f t="shared" si="73"/>
        <v>45392</v>
      </c>
      <c r="M551" s="1">
        <v>45516</v>
      </c>
      <c r="N551" s="1">
        <f t="shared" si="74"/>
        <v>45516</v>
      </c>
      <c r="O551" t="s">
        <v>274</v>
      </c>
      <c r="P551" s="1">
        <f t="shared" si="75"/>
        <v>45496</v>
      </c>
      <c r="Q551" t="s">
        <v>2378</v>
      </c>
      <c r="R551">
        <v>58</v>
      </c>
      <c r="S551">
        <v>27</v>
      </c>
      <c r="T551" t="s">
        <v>26</v>
      </c>
      <c r="U551" s="8">
        <v>275.5</v>
      </c>
      <c r="V551" s="8">
        <f t="shared" si="76"/>
        <v>80.75</v>
      </c>
      <c r="W551" t="str">
        <f t="shared" si="77"/>
        <v>Reorder Required</v>
      </c>
      <c r="X551" s="9">
        <f t="shared" si="78"/>
        <v>45383</v>
      </c>
      <c r="Y551">
        <f t="shared" si="79"/>
        <v>104</v>
      </c>
      <c r="Z551" t="str">
        <f t="shared" si="80"/>
        <v>Medium Risk</v>
      </c>
    </row>
    <row r="552" spans="1:26" x14ac:dyDescent="0.4">
      <c r="A552" t="s">
        <v>2379</v>
      </c>
      <c r="B552" t="s">
        <v>779</v>
      </c>
      <c r="C552" t="s">
        <v>54</v>
      </c>
      <c r="D552" t="s">
        <v>2380</v>
      </c>
      <c r="E552" t="s">
        <v>578</v>
      </c>
      <c r="F552">
        <v>34</v>
      </c>
      <c r="G552">
        <v>92</v>
      </c>
      <c r="H552">
        <v>26</v>
      </c>
      <c r="I552" t="s">
        <v>71</v>
      </c>
      <c r="J552" s="7">
        <f t="shared" si="72"/>
        <v>2.5</v>
      </c>
      <c r="K552" s="1">
        <v>45300</v>
      </c>
      <c r="L552" s="1">
        <f t="shared" si="73"/>
        <v>45300</v>
      </c>
      <c r="M552" s="1">
        <v>45569</v>
      </c>
      <c r="N552" s="1">
        <f t="shared" si="74"/>
        <v>45569</v>
      </c>
      <c r="O552" t="s">
        <v>1508</v>
      </c>
      <c r="P552" s="1">
        <f t="shared" si="75"/>
        <v>45653</v>
      </c>
      <c r="Q552" t="s">
        <v>2381</v>
      </c>
      <c r="R552">
        <v>28</v>
      </c>
      <c r="S552">
        <v>71</v>
      </c>
      <c r="T552" t="s">
        <v>51</v>
      </c>
      <c r="U552" s="8">
        <v>70</v>
      </c>
      <c r="V552" s="8">
        <f t="shared" si="76"/>
        <v>85</v>
      </c>
      <c r="W552" t="str">
        <f t="shared" si="77"/>
        <v>Reorder Required</v>
      </c>
      <c r="X552" s="9">
        <f t="shared" si="78"/>
        <v>45292</v>
      </c>
      <c r="Y552">
        <f t="shared" si="79"/>
        <v>353</v>
      </c>
      <c r="Z552" t="str">
        <f t="shared" si="80"/>
        <v>Low Risk</v>
      </c>
    </row>
    <row r="553" spans="1:26" x14ac:dyDescent="0.4">
      <c r="A553" t="s">
        <v>2382</v>
      </c>
      <c r="B553" t="s">
        <v>621</v>
      </c>
      <c r="C553" t="s">
        <v>18</v>
      </c>
      <c r="D553" t="s">
        <v>2383</v>
      </c>
      <c r="E553" t="s">
        <v>126</v>
      </c>
      <c r="F553">
        <v>56</v>
      </c>
      <c r="G553">
        <v>48</v>
      </c>
      <c r="H553">
        <v>82</v>
      </c>
      <c r="I553" t="s">
        <v>624</v>
      </c>
      <c r="J553" s="7">
        <f t="shared" si="72"/>
        <v>4.75</v>
      </c>
      <c r="K553" t="s">
        <v>359</v>
      </c>
      <c r="L553" s="1">
        <f t="shared" si="73"/>
        <v>45583</v>
      </c>
      <c r="M553" t="s">
        <v>192</v>
      </c>
      <c r="N553" s="1">
        <f t="shared" si="74"/>
        <v>45647</v>
      </c>
      <c r="O553" s="1">
        <v>45962</v>
      </c>
      <c r="P553" s="1">
        <f t="shared" si="75"/>
        <v>45962</v>
      </c>
      <c r="Q553" t="s">
        <v>2384</v>
      </c>
      <c r="R553">
        <v>71</v>
      </c>
      <c r="S553">
        <v>65</v>
      </c>
      <c r="T553" t="s">
        <v>42</v>
      </c>
      <c r="U553" s="8">
        <v>337.25</v>
      </c>
      <c r="V553" s="8">
        <f t="shared" si="76"/>
        <v>266</v>
      </c>
      <c r="W553" t="str">
        <f t="shared" si="77"/>
        <v>Sufficient Stock</v>
      </c>
      <c r="X553" s="9">
        <f t="shared" si="78"/>
        <v>45566</v>
      </c>
      <c r="Y553">
        <f t="shared" si="79"/>
        <v>379</v>
      </c>
      <c r="Z553" t="str">
        <f t="shared" si="80"/>
        <v>Safe</v>
      </c>
    </row>
    <row r="554" spans="1:26" x14ac:dyDescent="0.4">
      <c r="A554" t="s">
        <v>2385</v>
      </c>
      <c r="B554" t="s">
        <v>53</v>
      </c>
      <c r="C554" t="s">
        <v>54</v>
      </c>
      <c r="D554" t="s">
        <v>2386</v>
      </c>
      <c r="E554" t="s">
        <v>2064</v>
      </c>
      <c r="F554">
        <v>64</v>
      </c>
      <c r="G554">
        <v>71</v>
      </c>
      <c r="H554">
        <v>69</v>
      </c>
      <c r="I554" t="s">
        <v>1481</v>
      </c>
      <c r="J554" s="7">
        <f t="shared" si="72"/>
        <v>3.9</v>
      </c>
      <c r="K554" s="1">
        <v>45575</v>
      </c>
      <c r="L554" s="1">
        <f t="shared" si="73"/>
        <v>45575</v>
      </c>
      <c r="M554" t="s">
        <v>128</v>
      </c>
      <c r="N554" s="1">
        <f t="shared" si="74"/>
        <v>45457</v>
      </c>
      <c r="O554" s="1">
        <v>45575</v>
      </c>
      <c r="P554" s="1">
        <f t="shared" si="75"/>
        <v>45575</v>
      </c>
      <c r="Q554" t="s">
        <v>2387</v>
      </c>
      <c r="R554">
        <v>60</v>
      </c>
      <c r="S554">
        <v>67</v>
      </c>
      <c r="T554" t="s">
        <v>51</v>
      </c>
      <c r="U554" s="8">
        <v>234</v>
      </c>
      <c r="V554" s="8">
        <f t="shared" si="76"/>
        <v>249.6</v>
      </c>
      <c r="W554" t="str">
        <f t="shared" si="77"/>
        <v>Reorder Required</v>
      </c>
      <c r="X554" s="9">
        <f t="shared" si="78"/>
        <v>45566</v>
      </c>
      <c r="Y554">
        <f t="shared" si="79"/>
        <v>0</v>
      </c>
      <c r="Z554" t="str">
        <f t="shared" si="80"/>
        <v>Critical</v>
      </c>
    </row>
    <row r="555" spans="1:26" x14ac:dyDescent="0.4">
      <c r="A555" t="s">
        <v>2388</v>
      </c>
      <c r="B555" t="s">
        <v>1383</v>
      </c>
      <c r="C555" t="s">
        <v>54</v>
      </c>
      <c r="D555" t="s">
        <v>2389</v>
      </c>
      <c r="E555" t="s">
        <v>1549</v>
      </c>
      <c r="F555">
        <v>87</v>
      </c>
      <c r="G555">
        <v>62</v>
      </c>
      <c r="H555">
        <v>2</v>
      </c>
      <c r="I555" t="s">
        <v>1386</v>
      </c>
      <c r="J555" s="7">
        <f t="shared" si="72"/>
        <v>5.5</v>
      </c>
      <c r="K555" s="1">
        <v>45542</v>
      </c>
      <c r="L555" s="1">
        <f t="shared" si="73"/>
        <v>45542</v>
      </c>
      <c r="M555" t="s">
        <v>718</v>
      </c>
      <c r="N555" s="1">
        <f t="shared" si="74"/>
        <v>45376</v>
      </c>
      <c r="O555" t="s">
        <v>179</v>
      </c>
      <c r="P555" s="1">
        <f t="shared" si="75"/>
        <v>45565</v>
      </c>
      <c r="Q555" t="s">
        <v>2390</v>
      </c>
      <c r="R555">
        <v>22</v>
      </c>
      <c r="S555">
        <v>38</v>
      </c>
      <c r="T555" t="s">
        <v>42</v>
      </c>
      <c r="U555" s="8">
        <v>121</v>
      </c>
      <c r="V555" s="8">
        <f t="shared" si="76"/>
        <v>478.5</v>
      </c>
      <c r="W555" t="str">
        <f t="shared" si="77"/>
        <v>Sufficient Stock</v>
      </c>
      <c r="X555" s="9">
        <f t="shared" si="78"/>
        <v>45536</v>
      </c>
      <c r="Y555">
        <f t="shared" si="79"/>
        <v>23</v>
      </c>
      <c r="Z555" t="str">
        <f t="shared" si="80"/>
        <v>Critical</v>
      </c>
    </row>
    <row r="556" spans="1:26" x14ac:dyDescent="0.4">
      <c r="A556" t="s">
        <v>2391</v>
      </c>
      <c r="B556" t="s">
        <v>1470</v>
      </c>
      <c r="C556" t="s">
        <v>54</v>
      </c>
      <c r="D556" t="s">
        <v>2392</v>
      </c>
      <c r="E556" t="s">
        <v>393</v>
      </c>
      <c r="F556">
        <v>24</v>
      </c>
      <c r="G556">
        <v>25</v>
      </c>
      <c r="H556">
        <v>52</v>
      </c>
      <c r="I556" t="s">
        <v>21</v>
      </c>
      <c r="J556" s="7">
        <f t="shared" si="72"/>
        <v>4.5</v>
      </c>
      <c r="K556" t="s">
        <v>916</v>
      </c>
      <c r="L556" s="1">
        <f t="shared" si="73"/>
        <v>45437</v>
      </c>
      <c r="M556" t="s">
        <v>811</v>
      </c>
      <c r="N556" s="1">
        <f t="shared" si="74"/>
        <v>45435</v>
      </c>
      <c r="O556" t="s">
        <v>712</v>
      </c>
      <c r="P556" s="1">
        <f t="shared" si="75"/>
        <v>45552</v>
      </c>
      <c r="Q556" t="s">
        <v>2393</v>
      </c>
      <c r="R556">
        <v>24</v>
      </c>
      <c r="S556">
        <v>77</v>
      </c>
      <c r="T556" t="s">
        <v>42</v>
      </c>
      <c r="U556" s="8">
        <v>108</v>
      </c>
      <c r="V556" s="8">
        <f t="shared" si="76"/>
        <v>108</v>
      </c>
      <c r="W556" t="str">
        <f t="shared" si="77"/>
        <v>Reorder Required</v>
      </c>
      <c r="X556" s="9">
        <f t="shared" si="78"/>
        <v>45413</v>
      </c>
      <c r="Y556">
        <f t="shared" si="79"/>
        <v>115</v>
      </c>
      <c r="Z556" t="str">
        <f t="shared" si="80"/>
        <v>Medium Risk</v>
      </c>
    </row>
    <row r="557" spans="1:26" x14ac:dyDescent="0.4">
      <c r="A557" t="s">
        <v>2394</v>
      </c>
      <c r="B557" t="s">
        <v>17</v>
      </c>
      <c r="C557" t="s">
        <v>18</v>
      </c>
      <c r="D557" t="s">
        <v>2395</v>
      </c>
      <c r="E557" t="s">
        <v>648</v>
      </c>
      <c r="F557">
        <v>47</v>
      </c>
      <c r="G557">
        <v>1</v>
      </c>
      <c r="H557">
        <v>60</v>
      </c>
      <c r="I557" t="s">
        <v>771</v>
      </c>
      <c r="J557" s="7">
        <f t="shared" si="72"/>
        <v>4.2</v>
      </c>
      <c r="K557" t="s">
        <v>1664</v>
      </c>
      <c r="L557" s="1">
        <f t="shared" si="73"/>
        <v>45686</v>
      </c>
      <c r="M557" t="s">
        <v>148</v>
      </c>
      <c r="N557" s="1">
        <f t="shared" si="74"/>
        <v>45431</v>
      </c>
      <c r="O557" t="s">
        <v>946</v>
      </c>
      <c r="P557" s="1">
        <f t="shared" si="75"/>
        <v>45400</v>
      </c>
      <c r="Q557" t="s">
        <v>2396</v>
      </c>
      <c r="R557">
        <v>32</v>
      </c>
      <c r="S557">
        <v>87</v>
      </c>
      <c r="T557" t="s">
        <v>26</v>
      </c>
      <c r="U557" s="8">
        <v>134.4</v>
      </c>
      <c r="V557" s="8">
        <f t="shared" si="76"/>
        <v>197.4</v>
      </c>
      <c r="W557" t="str">
        <f t="shared" si="77"/>
        <v>Sufficient Stock</v>
      </c>
      <c r="X557" s="9">
        <f t="shared" si="78"/>
        <v>45658</v>
      </c>
      <c r="Y557">
        <f t="shared" si="79"/>
        <v>-286</v>
      </c>
      <c r="Z557" t="str">
        <f t="shared" si="80"/>
        <v>Invalid Data</v>
      </c>
    </row>
    <row r="558" spans="1:26" x14ac:dyDescent="0.4">
      <c r="A558" t="s">
        <v>2397</v>
      </c>
      <c r="B558" t="s">
        <v>1228</v>
      </c>
      <c r="C558" t="s">
        <v>112</v>
      </c>
      <c r="D558" t="s">
        <v>2398</v>
      </c>
      <c r="E558" t="s">
        <v>1136</v>
      </c>
      <c r="F558">
        <v>61</v>
      </c>
      <c r="G558">
        <v>8</v>
      </c>
      <c r="H558">
        <v>45</v>
      </c>
      <c r="I558" t="s">
        <v>57</v>
      </c>
      <c r="J558" s="7">
        <f t="shared" si="72"/>
        <v>4</v>
      </c>
      <c r="K558" t="s">
        <v>73</v>
      </c>
      <c r="L558" s="1">
        <f t="shared" si="73"/>
        <v>45463</v>
      </c>
      <c r="M558" t="s">
        <v>1351</v>
      </c>
      <c r="N558" s="1">
        <f t="shared" si="74"/>
        <v>45562</v>
      </c>
      <c r="O558" t="s">
        <v>712</v>
      </c>
      <c r="P558" s="1">
        <f t="shared" si="75"/>
        <v>45552</v>
      </c>
      <c r="Q558" t="s">
        <v>2399</v>
      </c>
      <c r="R558">
        <v>73</v>
      </c>
      <c r="S558">
        <v>64</v>
      </c>
      <c r="T558" t="s">
        <v>26</v>
      </c>
      <c r="U558" s="8">
        <v>292</v>
      </c>
      <c r="V558" s="8">
        <f t="shared" si="76"/>
        <v>244</v>
      </c>
      <c r="W558" t="str">
        <f t="shared" si="77"/>
        <v>Sufficient Stock</v>
      </c>
      <c r="X558" s="9">
        <f t="shared" si="78"/>
        <v>45444</v>
      </c>
      <c r="Y558">
        <f t="shared" si="79"/>
        <v>89</v>
      </c>
      <c r="Z558" t="str">
        <f t="shared" si="80"/>
        <v>High Risk</v>
      </c>
    </row>
    <row r="559" spans="1:26" x14ac:dyDescent="0.4">
      <c r="A559" t="s">
        <v>2400</v>
      </c>
      <c r="B559" t="s">
        <v>111</v>
      </c>
      <c r="C559" t="s">
        <v>112</v>
      </c>
      <c r="D559" t="s">
        <v>2401</v>
      </c>
      <c r="E559" t="s">
        <v>478</v>
      </c>
      <c r="F559">
        <v>48</v>
      </c>
      <c r="G559">
        <v>2</v>
      </c>
      <c r="H559">
        <v>16</v>
      </c>
      <c r="I559" t="s">
        <v>1101</v>
      </c>
      <c r="J559" s="7">
        <f t="shared" si="72"/>
        <v>2.8</v>
      </c>
      <c r="K559" t="s">
        <v>360</v>
      </c>
      <c r="L559" s="1">
        <f t="shared" si="73"/>
        <v>45377</v>
      </c>
      <c r="M559" t="s">
        <v>485</v>
      </c>
      <c r="N559" s="1">
        <f t="shared" si="74"/>
        <v>45620</v>
      </c>
      <c r="O559" s="1">
        <v>45510</v>
      </c>
      <c r="P559" s="1">
        <f t="shared" si="75"/>
        <v>45510</v>
      </c>
      <c r="Q559" t="s">
        <v>2402</v>
      </c>
      <c r="R559">
        <v>27</v>
      </c>
      <c r="S559">
        <v>1</v>
      </c>
      <c r="T559" t="s">
        <v>26</v>
      </c>
      <c r="U559" s="8">
        <v>75.599999999999994</v>
      </c>
      <c r="V559" s="8">
        <f t="shared" si="76"/>
        <v>134.39999999999998</v>
      </c>
      <c r="W559" t="str">
        <f t="shared" si="77"/>
        <v>Sufficient Stock</v>
      </c>
      <c r="X559" s="9">
        <f t="shared" si="78"/>
        <v>45352</v>
      </c>
      <c r="Y559">
        <f t="shared" si="79"/>
        <v>133</v>
      </c>
      <c r="Z559" t="str">
        <f t="shared" si="80"/>
        <v>Medium Risk</v>
      </c>
    </row>
    <row r="560" spans="1:26" x14ac:dyDescent="0.4">
      <c r="A560" t="s">
        <v>2403</v>
      </c>
      <c r="B560" t="s">
        <v>595</v>
      </c>
      <c r="C560" t="s">
        <v>112</v>
      </c>
      <c r="D560" t="s">
        <v>2404</v>
      </c>
      <c r="E560" t="s">
        <v>565</v>
      </c>
      <c r="F560">
        <v>37</v>
      </c>
      <c r="G560">
        <v>96</v>
      </c>
      <c r="H560">
        <v>82</v>
      </c>
      <c r="I560" t="s">
        <v>220</v>
      </c>
      <c r="J560" s="7">
        <f t="shared" si="72"/>
        <v>5</v>
      </c>
      <c r="K560" s="1">
        <v>45453</v>
      </c>
      <c r="L560" s="1">
        <f t="shared" si="73"/>
        <v>45453</v>
      </c>
      <c r="M560" t="s">
        <v>1217</v>
      </c>
      <c r="N560" s="1">
        <f t="shared" si="74"/>
        <v>45671</v>
      </c>
      <c r="O560" s="1">
        <v>45455</v>
      </c>
      <c r="P560" s="1">
        <f t="shared" si="75"/>
        <v>45455</v>
      </c>
      <c r="Q560" t="s">
        <v>2405</v>
      </c>
      <c r="R560">
        <v>35</v>
      </c>
      <c r="S560">
        <v>23</v>
      </c>
      <c r="T560" t="s">
        <v>42</v>
      </c>
      <c r="U560" s="8">
        <v>175</v>
      </c>
      <c r="V560" s="8">
        <f t="shared" si="76"/>
        <v>185</v>
      </c>
      <c r="W560" t="str">
        <f t="shared" si="77"/>
        <v>Reorder Required</v>
      </c>
      <c r="X560" s="9">
        <f t="shared" si="78"/>
        <v>45444</v>
      </c>
      <c r="Y560">
        <f t="shared" si="79"/>
        <v>2</v>
      </c>
      <c r="Z560" t="str">
        <f t="shared" si="80"/>
        <v>Critical</v>
      </c>
    </row>
    <row r="561" spans="1:26" x14ac:dyDescent="0.4">
      <c r="A561" t="s">
        <v>2406</v>
      </c>
      <c r="B561" t="s">
        <v>28</v>
      </c>
      <c r="C561" t="s">
        <v>29</v>
      </c>
      <c r="D561" t="s">
        <v>2407</v>
      </c>
      <c r="E561" t="s">
        <v>1872</v>
      </c>
      <c r="F561">
        <v>45</v>
      </c>
      <c r="G561">
        <v>36</v>
      </c>
      <c r="H561">
        <v>97</v>
      </c>
      <c r="I561" t="s">
        <v>32</v>
      </c>
      <c r="J561" s="7">
        <f t="shared" si="72"/>
        <v>20</v>
      </c>
      <c r="K561" t="s">
        <v>1508</v>
      </c>
      <c r="L561" s="1">
        <f t="shared" si="73"/>
        <v>45653</v>
      </c>
      <c r="M561" t="s">
        <v>64</v>
      </c>
      <c r="N561" s="1">
        <f t="shared" si="74"/>
        <v>45438</v>
      </c>
      <c r="O561" t="s">
        <v>286</v>
      </c>
      <c r="P561" s="1">
        <f t="shared" si="75"/>
        <v>45682</v>
      </c>
      <c r="Q561" t="s">
        <v>2408</v>
      </c>
      <c r="R561">
        <v>36</v>
      </c>
      <c r="S561">
        <v>6</v>
      </c>
      <c r="T561" t="s">
        <v>51</v>
      </c>
      <c r="U561" s="8">
        <v>720</v>
      </c>
      <c r="V561" s="8">
        <f t="shared" si="76"/>
        <v>900</v>
      </c>
      <c r="W561" t="str">
        <f t="shared" si="77"/>
        <v>Sufficient Stock</v>
      </c>
      <c r="X561" s="9">
        <f t="shared" si="78"/>
        <v>45627</v>
      </c>
      <c r="Y561">
        <f t="shared" si="79"/>
        <v>29</v>
      </c>
      <c r="Z561" t="str">
        <f t="shared" si="80"/>
        <v>Critical</v>
      </c>
    </row>
    <row r="562" spans="1:26" x14ac:dyDescent="0.4">
      <c r="A562" t="s">
        <v>2409</v>
      </c>
      <c r="B562" t="s">
        <v>138</v>
      </c>
      <c r="C562" t="s">
        <v>18</v>
      </c>
      <c r="D562" t="s">
        <v>2410</v>
      </c>
      <c r="E562" t="s">
        <v>1069</v>
      </c>
      <c r="F562">
        <v>87</v>
      </c>
      <c r="G562">
        <v>97</v>
      </c>
      <c r="H562">
        <v>28</v>
      </c>
      <c r="I562" t="s">
        <v>47</v>
      </c>
      <c r="J562" s="7">
        <f t="shared" si="72"/>
        <v>1.5</v>
      </c>
      <c r="K562" s="1">
        <v>45632</v>
      </c>
      <c r="L562" s="1">
        <f t="shared" si="73"/>
        <v>45632</v>
      </c>
      <c r="M562" t="s">
        <v>435</v>
      </c>
      <c r="N562" s="1">
        <f t="shared" si="74"/>
        <v>45558</v>
      </c>
      <c r="O562" t="s">
        <v>946</v>
      </c>
      <c r="P562" s="1">
        <f t="shared" si="75"/>
        <v>45400</v>
      </c>
      <c r="Q562" t="s">
        <v>2411</v>
      </c>
      <c r="R562">
        <v>58</v>
      </c>
      <c r="S562">
        <v>21</v>
      </c>
      <c r="T562" t="s">
        <v>51</v>
      </c>
      <c r="U562" s="8">
        <v>87</v>
      </c>
      <c r="V562" s="8">
        <f t="shared" si="76"/>
        <v>130.5</v>
      </c>
      <c r="W562" t="str">
        <f t="shared" si="77"/>
        <v>Reorder Required</v>
      </c>
      <c r="X562" s="9">
        <f t="shared" si="78"/>
        <v>45627</v>
      </c>
      <c r="Y562">
        <f t="shared" si="79"/>
        <v>-232</v>
      </c>
      <c r="Z562" t="str">
        <f t="shared" si="80"/>
        <v>Invalid Data</v>
      </c>
    </row>
    <row r="563" spans="1:26" x14ac:dyDescent="0.4">
      <c r="A563" t="s">
        <v>2412</v>
      </c>
      <c r="B563" t="s">
        <v>669</v>
      </c>
      <c r="C563" t="s">
        <v>18</v>
      </c>
      <c r="D563" t="s">
        <v>2413</v>
      </c>
      <c r="E563" t="s">
        <v>1048</v>
      </c>
      <c r="F563">
        <v>37</v>
      </c>
      <c r="G563">
        <v>47</v>
      </c>
      <c r="H563">
        <v>34</v>
      </c>
      <c r="I563" t="s">
        <v>671</v>
      </c>
      <c r="J563" s="7">
        <f t="shared" si="72"/>
        <v>9.5</v>
      </c>
      <c r="K563" t="s">
        <v>1387</v>
      </c>
      <c r="L563" s="1">
        <f t="shared" si="73"/>
        <v>45503</v>
      </c>
      <c r="M563" t="s">
        <v>969</v>
      </c>
      <c r="N563" s="1">
        <f t="shared" si="74"/>
        <v>45596</v>
      </c>
      <c r="O563" t="s">
        <v>1111</v>
      </c>
      <c r="P563" s="1">
        <f t="shared" si="75"/>
        <v>45493</v>
      </c>
      <c r="Q563" t="s">
        <v>2414</v>
      </c>
      <c r="R563">
        <v>38</v>
      </c>
      <c r="S563">
        <v>89</v>
      </c>
      <c r="T563" t="s">
        <v>42</v>
      </c>
      <c r="U563" s="8">
        <v>361</v>
      </c>
      <c r="V563" s="8">
        <f t="shared" si="76"/>
        <v>351.5</v>
      </c>
      <c r="W563" t="str">
        <f t="shared" si="77"/>
        <v>Reorder Required</v>
      </c>
      <c r="X563" s="9">
        <f t="shared" si="78"/>
        <v>45474</v>
      </c>
      <c r="Y563">
        <f t="shared" si="79"/>
        <v>-10</v>
      </c>
      <c r="Z563" t="str">
        <f t="shared" si="80"/>
        <v>Invalid Data</v>
      </c>
    </row>
    <row r="564" spans="1:26" x14ac:dyDescent="0.4">
      <c r="A564" t="s">
        <v>2415</v>
      </c>
      <c r="B564" t="s">
        <v>989</v>
      </c>
      <c r="C564" t="s">
        <v>29</v>
      </c>
      <c r="D564" t="s">
        <v>2416</v>
      </c>
      <c r="E564" t="s">
        <v>371</v>
      </c>
      <c r="F564">
        <v>59</v>
      </c>
      <c r="G564">
        <v>62</v>
      </c>
      <c r="H564">
        <v>57</v>
      </c>
      <c r="I564" t="s">
        <v>2417</v>
      </c>
      <c r="J564" s="7">
        <f t="shared" si="72"/>
        <v>10.3</v>
      </c>
      <c r="K564" s="1">
        <v>45605</v>
      </c>
      <c r="L564" s="1">
        <f t="shared" si="73"/>
        <v>45605</v>
      </c>
      <c r="M564" t="s">
        <v>221</v>
      </c>
      <c r="N564" s="1">
        <f t="shared" si="74"/>
        <v>45489</v>
      </c>
      <c r="O564" t="s">
        <v>656</v>
      </c>
      <c r="P564" s="1">
        <f t="shared" si="75"/>
        <v>45347</v>
      </c>
      <c r="Q564" t="s">
        <v>2418</v>
      </c>
      <c r="R564">
        <v>90</v>
      </c>
      <c r="S564">
        <v>94</v>
      </c>
      <c r="T564" t="s">
        <v>42</v>
      </c>
      <c r="U564" s="8">
        <v>927.00000000000011</v>
      </c>
      <c r="V564" s="8">
        <f t="shared" si="76"/>
        <v>607.70000000000005</v>
      </c>
      <c r="W564" t="str">
        <f t="shared" si="77"/>
        <v>Reorder Required</v>
      </c>
      <c r="X564" s="9">
        <f t="shared" si="78"/>
        <v>45597</v>
      </c>
      <c r="Y564">
        <f t="shared" si="79"/>
        <v>-258</v>
      </c>
      <c r="Z564" t="str">
        <f t="shared" si="80"/>
        <v>Invalid Data</v>
      </c>
    </row>
    <row r="565" spans="1:26" x14ac:dyDescent="0.4">
      <c r="A565" t="s">
        <v>2419</v>
      </c>
      <c r="B565" t="s">
        <v>722</v>
      </c>
      <c r="C565" t="s">
        <v>54</v>
      </c>
      <c r="D565" t="s">
        <v>2420</v>
      </c>
      <c r="E565" t="s">
        <v>2421</v>
      </c>
      <c r="F565">
        <v>62</v>
      </c>
      <c r="G565">
        <v>40</v>
      </c>
      <c r="H565">
        <v>86</v>
      </c>
      <c r="I565" t="s">
        <v>39</v>
      </c>
      <c r="J565" s="7">
        <f t="shared" si="72"/>
        <v>6</v>
      </c>
      <c r="K565" t="s">
        <v>536</v>
      </c>
      <c r="L565" s="1">
        <f t="shared" si="73"/>
        <v>45488</v>
      </c>
      <c r="M565" t="s">
        <v>141</v>
      </c>
      <c r="N565" s="1">
        <f t="shared" si="74"/>
        <v>45612</v>
      </c>
      <c r="O565" s="1">
        <v>45418</v>
      </c>
      <c r="P565" s="1">
        <f t="shared" si="75"/>
        <v>45418</v>
      </c>
      <c r="Q565" t="s">
        <v>2422</v>
      </c>
      <c r="R565">
        <v>45</v>
      </c>
      <c r="S565">
        <v>86</v>
      </c>
      <c r="T565" t="s">
        <v>42</v>
      </c>
      <c r="U565" s="8">
        <v>270</v>
      </c>
      <c r="V565" s="8">
        <f t="shared" si="76"/>
        <v>372</v>
      </c>
      <c r="W565" t="str">
        <f t="shared" si="77"/>
        <v>Sufficient Stock</v>
      </c>
      <c r="X565" s="9">
        <f t="shared" si="78"/>
        <v>45474</v>
      </c>
      <c r="Y565">
        <f t="shared" si="79"/>
        <v>-70</v>
      </c>
      <c r="Z565" t="str">
        <f t="shared" si="80"/>
        <v>Invalid Data</v>
      </c>
    </row>
    <row r="566" spans="1:26" x14ac:dyDescent="0.4">
      <c r="A566" t="s">
        <v>2423</v>
      </c>
      <c r="B566" t="s">
        <v>1485</v>
      </c>
      <c r="C566" t="s">
        <v>77</v>
      </c>
      <c r="D566" t="s">
        <v>2424</v>
      </c>
      <c r="E566" t="s">
        <v>1891</v>
      </c>
      <c r="F566">
        <v>63</v>
      </c>
      <c r="G566">
        <v>12</v>
      </c>
      <c r="H566">
        <v>82</v>
      </c>
      <c r="I566" t="s">
        <v>2060</v>
      </c>
      <c r="J566" s="7">
        <f t="shared" si="72"/>
        <v>1.7</v>
      </c>
      <c r="K566" t="s">
        <v>435</v>
      </c>
      <c r="L566" s="1">
        <f t="shared" si="73"/>
        <v>45558</v>
      </c>
      <c r="M566" s="1">
        <v>45298</v>
      </c>
      <c r="N566" s="1">
        <f t="shared" si="74"/>
        <v>45298</v>
      </c>
      <c r="O566" t="s">
        <v>811</v>
      </c>
      <c r="P566" s="1">
        <f t="shared" si="75"/>
        <v>45435</v>
      </c>
      <c r="Q566" t="s">
        <v>2425</v>
      </c>
      <c r="R566">
        <v>56</v>
      </c>
      <c r="S566">
        <v>31</v>
      </c>
      <c r="T566" t="s">
        <v>42</v>
      </c>
      <c r="U566" s="8">
        <v>95.2</v>
      </c>
      <c r="V566" s="8">
        <f t="shared" si="76"/>
        <v>107.1</v>
      </c>
      <c r="W566" t="str">
        <f t="shared" si="77"/>
        <v>Sufficient Stock</v>
      </c>
      <c r="X566" s="9">
        <f t="shared" si="78"/>
        <v>45536</v>
      </c>
      <c r="Y566">
        <f t="shared" si="79"/>
        <v>-123</v>
      </c>
      <c r="Z566" t="str">
        <f t="shared" si="80"/>
        <v>Invalid Data</v>
      </c>
    </row>
    <row r="567" spans="1:26" x14ac:dyDescent="0.4">
      <c r="A567" t="s">
        <v>2426</v>
      </c>
      <c r="B567" t="s">
        <v>1383</v>
      </c>
      <c r="C567" t="s">
        <v>54</v>
      </c>
      <c r="D567" t="s">
        <v>2427</v>
      </c>
      <c r="E567" t="s">
        <v>313</v>
      </c>
      <c r="F567">
        <v>38</v>
      </c>
      <c r="G567">
        <v>72</v>
      </c>
      <c r="H567">
        <v>39</v>
      </c>
      <c r="I567" t="s">
        <v>1386</v>
      </c>
      <c r="J567" s="7">
        <f t="shared" si="72"/>
        <v>5.5</v>
      </c>
      <c r="K567" s="1">
        <v>45572</v>
      </c>
      <c r="L567" s="1">
        <f t="shared" si="73"/>
        <v>45572</v>
      </c>
      <c r="M567" t="s">
        <v>213</v>
      </c>
      <c r="N567" s="1">
        <f t="shared" si="74"/>
        <v>45467</v>
      </c>
      <c r="O567" s="1">
        <v>45575</v>
      </c>
      <c r="P567" s="1">
        <f t="shared" si="75"/>
        <v>45575</v>
      </c>
      <c r="Q567" t="s">
        <v>2428</v>
      </c>
      <c r="R567">
        <v>59</v>
      </c>
      <c r="S567">
        <v>8</v>
      </c>
      <c r="T567" t="s">
        <v>51</v>
      </c>
      <c r="U567" s="8">
        <v>324.5</v>
      </c>
      <c r="V567" s="8">
        <f t="shared" si="76"/>
        <v>209</v>
      </c>
      <c r="W567" t="str">
        <f t="shared" si="77"/>
        <v>Reorder Required</v>
      </c>
      <c r="X567" s="9">
        <f t="shared" si="78"/>
        <v>45566</v>
      </c>
      <c r="Y567">
        <f t="shared" si="79"/>
        <v>3</v>
      </c>
      <c r="Z567" t="str">
        <f t="shared" si="80"/>
        <v>Critical</v>
      </c>
    </row>
    <row r="568" spans="1:26" x14ac:dyDescent="0.4">
      <c r="A568" t="s">
        <v>2429</v>
      </c>
      <c r="B568" t="s">
        <v>1290</v>
      </c>
      <c r="C568" t="s">
        <v>169</v>
      </c>
      <c r="D568" t="s">
        <v>2430</v>
      </c>
      <c r="E568" t="s">
        <v>2431</v>
      </c>
      <c r="F568">
        <v>76</v>
      </c>
      <c r="G568">
        <v>21</v>
      </c>
      <c r="H568">
        <v>3</v>
      </c>
      <c r="I568" t="s">
        <v>1293</v>
      </c>
      <c r="J568" s="7">
        <f t="shared" si="72"/>
        <v>7.5</v>
      </c>
      <c r="K568" t="s">
        <v>299</v>
      </c>
      <c r="L568" s="1">
        <f t="shared" si="73"/>
        <v>45678</v>
      </c>
      <c r="M568" s="1">
        <v>45573</v>
      </c>
      <c r="N568" s="1">
        <f t="shared" si="74"/>
        <v>45573</v>
      </c>
      <c r="O568" t="s">
        <v>1238</v>
      </c>
      <c r="P568" s="1">
        <f t="shared" si="75"/>
        <v>45365</v>
      </c>
      <c r="Q568" t="s">
        <v>2432</v>
      </c>
      <c r="R568">
        <v>31</v>
      </c>
      <c r="S568">
        <v>47</v>
      </c>
      <c r="T568" t="s">
        <v>26</v>
      </c>
      <c r="U568" s="8">
        <v>232.5</v>
      </c>
      <c r="V568" s="8">
        <f t="shared" si="76"/>
        <v>570</v>
      </c>
      <c r="W568" t="str">
        <f t="shared" si="77"/>
        <v>Sufficient Stock</v>
      </c>
      <c r="X568" s="9">
        <f t="shared" si="78"/>
        <v>45658</v>
      </c>
      <c r="Y568">
        <f t="shared" si="79"/>
        <v>-313</v>
      </c>
      <c r="Z568" t="str">
        <f t="shared" si="80"/>
        <v>Invalid Data</v>
      </c>
    </row>
    <row r="569" spans="1:26" x14ac:dyDescent="0.4">
      <c r="A569" t="s">
        <v>2433</v>
      </c>
      <c r="B569" t="s">
        <v>203</v>
      </c>
      <c r="C569" t="s">
        <v>77</v>
      </c>
      <c r="D569" t="s">
        <v>2434</v>
      </c>
      <c r="E569" t="s">
        <v>858</v>
      </c>
      <c r="F569">
        <v>34</v>
      </c>
      <c r="G569">
        <v>94</v>
      </c>
      <c r="H569">
        <v>69</v>
      </c>
      <c r="I569" t="s">
        <v>206</v>
      </c>
      <c r="J569" s="7">
        <f t="shared" si="72"/>
        <v>0.8</v>
      </c>
      <c r="K569" s="1">
        <v>45717</v>
      </c>
      <c r="L569" s="1">
        <f t="shared" si="73"/>
        <v>45717</v>
      </c>
      <c r="M569" s="1">
        <v>45629</v>
      </c>
      <c r="N569" s="1">
        <f t="shared" si="74"/>
        <v>45629</v>
      </c>
      <c r="O569" t="s">
        <v>1151</v>
      </c>
      <c r="P569" s="1">
        <f t="shared" si="75"/>
        <v>45490</v>
      </c>
      <c r="Q569" t="s">
        <v>2435</v>
      </c>
      <c r="R569">
        <v>96</v>
      </c>
      <c r="S569">
        <v>30</v>
      </c>
      <c r="T569" t="s">
        <v>42</v>
      </c>
      <c r="U569" s="8">
        <v>76.800000000000011</v>
      </c>
      <c r="V569" s="8">
        <f t="shared" si="76"/>
        <v>27.200000000000003</v>
      </c>
      <c r="W569" t="str">
        <f t="shared" si="77"/>
        <v>Reorder Required</v>
      </c>
      <c r="X569" s="9">
        <f t="shared" si="78"/>
        <v>45717</v>
      </c>
      <c r="Y569">
        <f t="shared" si="79"/>
        <v>-227</v>
      </c>
      <c r="Z569" t="str">
        <f t="shared" si="80"/>
        <v>Invalid Data</v>
      </c>
    </row>
    <row r="570" spans="1:26" x14ac:dyDescent="0.4">
      <c r="A570" t="s">
        <v>2436</v>
      </c>
      <c r="B570" t="s">
        <v>482</v>
      </c>
      <c r="C570" t="s">
        <v>54</v>
      </c>
      <c r="D570" t="s">
        <v>2437</v>
      </c>
      <c r="E570" t="s">
        <v>2438</v>
      </c>
      <c r="F570">
        <v>25</v>
      </c>
      <c r="G570">
        <v>62</v>
      </c>
      <c r="H570">
        <v>11</v>
      </c>
      <c r="I570" t="s">
        <v>85</v>
      </c>
      <c r="J570" s="7">
        <f t="shared" si="72"/>
        <v>3</v>
      </c>
      <c r="K570" s="1">
        <v>45301</v>
      </c>
      <c r="L570" s="1">
        <f t="shared" si="73"/>
        <v>45301</v>
      </c>
      <c r="M570" s="1">
        <v>45303</v>
      </c>
      <c r="N570" s="1">
        <f t="shared" si="74"/>
        <v>45303</v>
      </c>
      <c r="O570" s="1">
        <v>45482</v>
      </c>
      <c r="P570" s="1">
        <f t="shared" si="75"/>
        <v>45482</v>
      </c>
      <c r="Q570" t="s">
        <v>2439</v>
      </c>
      <c r="R570">
        <v>57</v>
      </c>
      <c r="S570">
        <v>98</v>
      </c>
      <c r="T570" t="s">
        <v>42</v>
      </c>
      <c r="U570" s="8">
        <v>171</v>
      </c>
      <c r="V570" s="8">
        <f t="shared" si="76"/>
        <v>75</v>
      </c>
      <c r="W570" t="str">
        <f t="shared" si="77"/>
        <v>Reorder Required</v>
      </c>
      <c r="X570" s="9">
        <f t="shared" si="78"/>
        <v>45292</v>
      </c>
      <c r="Y570">
        <f t="shared" si="79"/>
        <v>181</v>
      </c>
      <c r="Z570" t="str">
        <f t="shared" si="80"/>
        <v>Low Risk</v>
      </c>
    </row>
    <row r="571" spans="1:26" x14ac:dyDescent="0.4">
      <c r="A571" t="s">
        <v>2440</v>
      </c>
      <c r="B571" t="s">
        <v>932</v>
      </c>
      <c r="C571" t="s">
        <v>77</v>
      </c>
      <c r="D571" t="s">
        <v>2441</v>
      </c>
      <c r="E571" t="s">
        <v>2442</v>
      </c>
      <c r="F571">
        <v>86</v>
      </c>
      <c r="G571">
        <v>16</v>
      </c>
      <c r="H571">
        <v>37</v>
      </c>
      <c r="I571" t="s">
        <v>71</v>
      </c>
      <c r="J571" s="7">
        <f t="shared" si="72"/>
        <v>2.5</v>
      </c>
      <c r="K571" t="s">
        <v>909</v>
      </c>
      <c r="L571" s="1">
        <f t="shared" si="73"/>
        <v>45378</v>
      </c>
      <c r="M571" s="1">
        <v>45540</v>
      </c>
      <c r="N571" s="1">
        <f t="shared" si="74"/>
        <v>45540</v>
      </c>
      <c r="O571" t="s">
        <v>230</v>
      </c>
      <c r="P571" s="1">
        <f t="shared" si="75"/>
        <v>45646</v>
      </c>
      <c r="Q571" t="s">
        <v>2443</v>
      </c>
      <c r="R571">
        <v>34</v>
      </c>
      <c r="S571">
        <v>66</v>
      </c>
      <c r="T571" t="s">
        <v>51</v>
      </c>
      <c r="U571" s="8">
        <v>85</v>
      </c>
      <c r="V571" s="8">
        <f t="shared" si="76"/>
        <v>215</v>
      </c>
      <c r="W571" t="str">
        <f t="shared" si="77"/>
        <v>Sufficient Stock</v>
      </c>
      <c r="X571" s="9">
        <f t="shared" si="78"/>
        <v>45352</v>
      </c>
      <c r="Y571">
        <f t="shared" si="79"/>
        <v>268</v>
      </c>
      <c r="Z571" t="str">
        <f t="shared" si="80"/>
        <v>Low Risk</v>
      </c>
    </row>
    <row r="572" spans="1:26" x14ac:dyDescent="0.4">
      <c r="A572" t="s">
        <v>2444</v>
      </c>
      <c r="B572" t="s">
        <v>218</v>
      </c>
      <c r="C572" t="s">
        <v>112</v>
      </c>
      <c r="D572" t="s">
        <v>2445</v>
      </c>
      <c r="E572" t="s">
        <v>1962</v>
      </c>
      <c r="F572">
        <v>41</v>
      </c>
      <c r="G572">
        <v>21</v>
      </c>
      <c r="H572">
        <v>47</v>
      </c>
      <c r="I572" t="s">
        <v>220</v>
      </c>
      <c r="J572" s="7">
        <f t="shared" si="72"/>
        <v>5</v>
      </c>
      <c r="K572" s="1">
        <v>45476</v>
      </c>
      <c r="L572" s="1">
        <f t="shared" si="73"/>
        <v>45476</v>
      </c>
      <c r="M572" s="1">
        <v>45658</v>
      </c>
      <c r="N572" s="1">
        <f t="shared" si="74"/>
        <v>45658</v>
      </c>
      <c r="O572" t="s">
        <v>307</v>
      </c>
      <c r="P572" s="1">
        <f t="shared" si="75"/>
        <v>45408</v>
      </c>
      <c r="Q572" t="s">
        <v>2446</v>
      </c>
      <c r="R572">
        <v>50</v>
      </c>
      <c r="S572">
        <v>99</v>
      </c>
      <c r="T572" t="s">
        <v>51</v>
      </c>
      <c r="U572" s="8">
        <v>250</v>
      </c>
      <c r="V572" s="8">
        <f t="shared" si="76"/>
        <v>205</v>
      </c>
      <c r="W572" t="str">
        <f t="shared" si="77"/>
        <v>Sufficient Stock</v>
      </c>
      <c r="X572" s="9">
        <f t="shared" si="78"/>
        <v>45474</v>
      </c>
      <c r="Y572">
        <f t="shared" si="79"/>
        <v>-68</v>
      </c>
      <c r="Z572" t="str">
        <f t="shared" si="80"/>
        <v>Invalid Data</v>
      </c>
    </row>
    <row r="573" spans="1:26" x14ac:dyDescent="0.4">
      <c r="A573" t="s">
        <v>2447</v>
      </c>
      <c r="B573" t="s">
        <v>779</v>
      </c>
      <c r="C573" t="s">
        <v>54</v>
      </c>
      <c r="D573" t="s">
        <v>2448</v>
      </c>
      <c r="E573" t="s">
        <v>2449</v>
      </c>
      <c r="F573">
        <v>77</v>
      </c>
      <c r="G573">
        <v>54</v>
      </c>
      <c r="H573">
        <v>10</v>
      </c>
      <c r="I573" t="s">
        <v>71</v>
      </c>
      <c r="J573" s="7">
        <f t="shared" si="72"/>
        <v>2.5</v>
      </c>
      <c r="K573" t="s">
        <v>854</v>
      </c>
      <c r="L573" s="1">
        <f t="shared" si="73"/>
        <v>45500</v>
      </c>
      <c r="M573" s="1">
        <v>45332</v>
      </c>
      <c r="N573" s="1">
        <f t="shared" si="74"/>
        <v>45332</v>
      </c>
      <c r="O573" t="s">
        <v>293</v>
      </c>
      <c r="P573" s="1">
        <f t="shared" si="75"/>
        <v>45648</v>
      </c>
      <c r="Q573" t="s">
        <v>2450</v>
      </c>
      <c r="R573">
        <v>64</v>
      </c>
      <c r="S573">
        <v>73</v>
      </c>
      <c r="T573" t="s">
        <v>51</v>
      </c>
      <c r="U573" s="8">
        <v>160</v>
      </c>
      <c r="V573" s="8">
        <f t="shared" si="76"/>
        <v>192.5</v>
      </c>
      <c r="W573" t="str">
        <f t="shared" si="77"/>
        <v>Sufficient Stock</v>
      </c>
      <c r="X573" s="9">
        <f t="shared" si="78"/>
        <v>45474</v>
      </c>
      <c r="Y573">
        <f t="shared" si="79"/>
        <v>148</v>
      </c>
      <c r="Z573" t="str">
        <f t="shared" si="80"/>
        <v>Medium Risk</v>
      </c>
    </row>
    <row r="574" spans="1:26" x14ac:dyDescent="0.4">
      <c r="A574" t="s">
        <v>2451</v>
      </c>
      <c r="B574" t="s">
        <v>88</v>
      </c>
      <c r="C574" t="s">
        <v>77</v>
      </c>
      <c r="D574" t="s">
        <v>2452</v>
      </c>
      <c r="E574" t="s">
        <v>2301</v>
      </c>
      <c r="F574">
        <v>41</v>
      </c>
      <c r="G574">
        <v>61</v>
      </c>
      <c r="H574">
        <v>69</v>
      </c>
      <c r="I574" t="s">
        <v>91</v>
      </c>
      <c r="J574" s="7">
        <f t="shared" si="72"/>
        <v>1</v>
      </c>
      <c r="K574" t="s">
        <v>955</v>
      </c>
      <c r="L574" s="1">
        <f t="shared" si="73"/>
        <v>45499</v>
      </c>
      <c r="M574" s="1">
        <v>45718</v>
      </c>
      <c r="N574" s="1">
        <f t="shared" si="74"/>
        <v>45718</v>
      </c>
      <c r="O574" t="s">
        <v>854</v>
      </c>
      <c r="P574" s="1">
        <f t="shared" si="75"/>
        <v>45500</v>
      </c>
      <c r="Q574" t="s">
        <v>2453</v>
      </c>
      <c r="R574">
        <v>30</v>
      </c>
      <c r="S574">
        <v>100</v>
      </c>
      <c r="T574" t="s">
        <v>26</v>
      </c>
      <c r="U574" s="8">
        <v>30</v>
      </c>
      <c r="V574" s="8">
        <f t="shared" si="76"/>
        <v>41</v>
      </c>
      <c r="W574" t="str">
        <f t="shared" si="77"/>
        <v>Reorder Required</v>
      </c>
      <c r="X574" s="9">
        <f t="shared" si="78"/>
        <v>45474</v>
      </c>
      <c r="Y574">
        <f t="shared" si="79"/>
        <v>1</v>
      </c>
      <c r="Z574" t="str">
        <f t="shared" si="80"/>
        <v>Critical</v>
      </c>
    </row>
    <row r="575" spans="1:26" x14ac:dyDescent="0.4">
      <c r="A575" t="s">
        <v>2454</v>
      </c>
      <c r="B575" t="s">
        <v>375</v>
      </c>
      <c r="C575" t="s">
        <v>54</v>
      </c>
      <c r="D575" t="s">
        <v>2455</v>
      </c>
      <c r="E575" t="s">
        <v>547</v>
      </c>
      <c r="F575">
        <v>44</v>
      </c>
      <c r="G575">
        <v>8</v>
      </c>
      <c r="H575">
        <v>52</v>
      </c>
      <c r="I575" t="s">
        <v>2456</v>
      </c>
      <c r="J575" s="7">
        <f t="shared" si="72"/>
        <v>2.95</v>
      </c>
      <c r="K575" s="1">
        <v>45601</v>
      </c>
      <c r="L575" s="1">
        <f t="shared" si="73"/>
        <v>45601</v>
      </c>
      <c r="M575" s="1">
        <v>45577</v>
      </c>
      <c r="N575" s="1">
        <f t="shared" si="74"/>
        <v>45577</v>
      </c>
      <c r="O575" s="1">
        <v>45390</v>
      </c>
      <c r="P575" s="1">
        <f t="shared" si="75"/>
        <v>45390</v>
      </c>
      <c r="Q575" t="s">
        <v>2457</v>
      </c>
      <c r="R575">
        <v>42</v>
      </c>
      <c r="S575">
        <v>66</v>
      </c>
      <c r="T575" t="s">
        <v>51</v>
      </c>
      <c r="U575" s="8">
        <v>123.9</v>
      </c>
      <c r="V575" s="8">
        <f t="shared" si="76"/>
        <v>129.80000000000001</v>
      </c>
      <c r="W575" t="str">
        <f t="shared" si="77"/>
        <v>Sufficient Stock</v>
      </c>
      <c r="X575" s="9">
        <f t="shared" si="78"/>
        <v>45597</v>
      </c>
      <c r="Y575">
        <f t="shared" si="79"/>
        <v>-211</v>
      </c>
      <c r="Z575" t="str">
        <f t="shared" si="80"/>
        <v>Invalid Data</v>
      </c>
    </row>
    <row r="576" spans="1:26" x14ac:dyDescent="0.4">
      <c r="A576" t="s">
        <v>2458</v>
      </c>
      <c r="B576" t="s">
        <v>789</v>
      </c>
      <c r="C576" t="s">
        <v>68</v>
      </c>
      <c r="D576" t="s">
        <v>2459</v>
      </c>
      <c r="E576" t="s">
        <v>1990</v>
      </c>
      <c r="F576">
        <v>53</v>
      </c>
      <c r="G576">
        <v>89</v>
      </c>
      <c r="H576">
        <v>100</v>
      </c>
      <c r="I576" t="s">
        <v>591</v>
      </c>
      <c r="J576" s="7">
        <f t="shared" si="72"/>
        <v>10</v>
      </c>
      <c r="K576" s="1">
        <v>45298</v>
      </c>
      <c r="L576" s="1">
        <f t="shared" si="73"/>
        <v>45298</v>
      </c>
      <c r="M576" s="1">
        <v>45447</v>
      </c>
      <c r="N576" s="1">
        <f t="shared" si="74"/>
        <v>45447</v>
      </c>
      <c r="O576" s="1">
        <v>45453</v>
      </c>
      <c r="P576" s="1">
        <f t="shared" si="75"/>
        <v>45453</v>
      </c>
      <c r="Q576" t="s">
        <v>2460</v>
      </c>
      <c r="R576">
        <v>22</v>
      </c>
      <c r="S576">
        <v>83</v>
      </c>
      <c r="T576" t="s">
        <v>42</v>
      </c>
      <c r="U576" s="8">
        <v>220</v>
      </c>
      <c r="V576" s="8">
        <f t="shared" si="76"/>
        <v>530</v>
      </c>
      <c r="W576" t="str">
        <f t="shared" si="77"/>
        <v>Reorder Required</v>
      </c>
      <c r="X576" s="9">
        <f t="shared" si="78"/>
        <v>45292</v>
      </c>
      <c r="Y576">
        <f t="shared" si="79"/>
        <v>155</v>
      </c>
      <c r="Z576" t="str">
        <f t="shared" si="80"/>
        <v>Medium Risk</v>
      </c>
    </row>
    <row r="577" spans="1:26" x14ac:dyDescent="0.4">
      <c r="A577" t="s">
        <v>2461</v>
      </c>
      <c r="B577" t="s">
        <v>595</v>
      </c>
      <c r="C577" t="s">
        <v>112</v>
      </c>
      <c r="D577" t="s">
        <v>2462</v>
      </c>
      <c r="E577" t="s">
        <v>186</v>
      </c>
      <c r="F577">
        <v>68</v>
      </c>
      <c r="G577">
        <v>29</v>
      </c>
      <c r="H577">
        <v>100</v>
      </c>
      <c r="I577" t="s">
        <v>220</v>
      </c>
      <c r="J577" s="7">
        <f t="shared" si="72"/>
        <v>5</v>
      </c>
      <c r="K577" t="s">
        <v>408</v>
      </c>
      <c r="L577" s="1">
        <f t="shared" si="73"/>
        <v>45609</v>
      </c>
      <c r="M577" t="s">
        <v>1351</v>
      </c>
      <c r="N577" s="1">
        <f t="shared" si="74"/>
        <v>45562</v>
      </c>
      <c r="O577" t="s">
        <v>221</v>
      </c>
      <c r="P577" s="1">
        <f t="shared" si="75"/>
        <v>45489</v>
      </c>
      <c r="Q577" t="s">
        <v>2463</v>
      </c>
      <c r="R577">
        <v>70</v>
      </c>
      <c r="S577">
        <v>26</v>
      </c>
      <c r="T577" t="s">
        <v>42</v>
      </c>
      <c r="U577" s="8">
        <v>350</v>
      </c>
      <c r="V577" s="8">
        <f t="shared" si="76"/>
        <v>340</v>
      </c>
      <c r="W577" t="str">
        <f t="shared" si="77"/>
        <v>Sufficient Stock</v>
      </c>
      <c r="X577" s="9">
        <f t="shared" si="78"/>
        <v>45597</v>
      </c>
      <c r="Y577">
        <f t="shared" si="79"/>
        <v>-120</v>
      </c>
      <c r="Z577" t="str">
        <f t="shared" si="80"/>
        <v>Invalid Data</v>
      </c>
    </row>
    <row r="578" spans="1:26" x14ac:dyDescent="0.4">
      <c r="A578" t="s">
        <v>2464</v>
      </c>
      <c r="B578" t="s">
        <v>144</v>
      </c>
      <c r="C578" t="s">
        <v>77</v>
      </c>
      <c r="D578" t="s">
        <v>2465</v>
      </c>
      <c r="E578" t="s">
        <v>776</v>
      </c>
      <c r="F578">
        <v>96</v>
      </c>
      <c r="G578">
        <v>34</v>
      </c>
      <c r="H578">
        <v>57</v>
      </c>
      <c r="I578" t="s">
        <v>147</v>
      </c>
      <c r="J578" s="7">
        <f t="shared" si="72"/>
        <v>8</v>
      </c>
      <c r="K578" t="s">
        <v>1418</v>
      </c>
      <c r="L578" s="1">
        <f t="shared" si="73"/>
        <v>45619</v>
      </c>
      <c r="M578" t="s">
        <v>1035</v>
      </c>
      <c r="N578" s="1">
        <f t="shared" si="74"/>
        <v>45585</v>
      </c>
      <c r="O578" t="s">
        <v>792</v>
      </c>
      <c r="P578" s="1">
        <f t="shared" si="75"/>
        <v>45462</v>
      </c>
      <c r="Q578" t="s">
        <v>2466</v>
      </c>
      <c r="R578">
        <v>71</v>
      </c>
      <c r="S578">
        <v>17</v>
      </c>
      <c r="T578" t="s">
        <v>26</v>
      </c>
      <c r="U578" s="8">
        <v>568</v>
      </c>
      <c r="V578" s="8">
        <f t="shared" si="76"/>
        <v>768</v>
      </c>
      <c r="W578" t="str">
        <f t="shared" si="77"/>
        <v>Sufficient Stock</v>
      </c>
      <c r="X578" s="9">
        <f t="shared" si="78"/>
        <v>45597</v>
      </c>
      <c r="Y578">
        <f t="shared" si="79"/>
        <v>-157</v>
      </c>
      <c r="Z578" t="str">
        <f t="shared" si="80"/>
        <v>Invalid Data</v>
      </c>
    </row>
    <row r="579" spans="1:26" x14ac:dyDescent="0.4">
      <c r="A579" t="s">
        <v>2467</v>
      </c>
      <c r="B579" t="s">
        <v>616</v>
      </c>
      <c r="C579" t="s">
        <v>54</v>
      </c>
      <c r="D579" t="s">
        <v>2468</v>
      </c>
      <c r="E579" t="s">
        <v>313</v>
      </c>
      <c r="F579">
        <v>33</v>
      </c>
      <c r="G579">
        <v>4</v>
      </c>
      <c r="H579">
        <v>31</v>
      </c>
      <c r="I579" t="s">
        <v>134</v>
      </c>
      <c r="J579" s="7">
        <f t="shared" ref="J579:J642" si="81">VALUE(SUBSTITUTE(I579,"$",""))</f>
        <v>7</v>
      </c>
      <c r="K579" t="s">
        <v>1629</v>
      </c>
      <c r="L579" s="1">
        <f t="shared" ref="L579:L642" si="82">IF(
ISNUMBER(K579),
K579,
DATE(
RIGHT(K579,4),
LEFT(K579,FIND("/",K579)-1),
MID(K579,FIND("/",K579)+1,FIND("/",K579,FIND("/",K579)+1)-FIND("/",K579)-1)
)
)</f>
        <v>45364</v>
      </c>
      <c r="M579" s="1">
        <v>45992</v>
      </c>
      <c r="N579" s="1">
        <f t="shared" ref="N579:N642" si="83">IF(
ISNUMBER(M579),
M579,
DATE(
RIGHT(M579,4),
LEFT(M579,FIND("/",M579)-1),
MID(M579,FIND("/",M579)+1,FIND("/",M579,FIND("/",M579)+1)-FIND("/",M579)-1)
)
)</f>
        <v>45992</v>
      </c>
      <c r="O579" t="s">
        <v>128</v>
      </c>
      <c r="P579" s="1">
        <f t="shared" ref="P579:P642" si="84">IF(
ISNUMBER(O579),
O579,
DATE(
RIGHT(O579,4),
LEFT(O579,FIND("/",O579)-1),
MID(O579,FIND("/",O579)+1,FIND("/",O579,FIND("/",O579)+1)-FIND("/",O579)-1)
)
)</f>
        <v>45457</v>
      </c>
      <c r="Q579" t="s">
        <v>2469</v>
      </c>
      <c r="R579">
        <v>46</v>
      </c>
      <c r="S579">
        <v>92</v>
      </c>
      <c r="T579" t="s">
        <v>51</v>
      </c>
      <c r="U579" s="8">
        <v>322</v>
      </c>
      <c r="V579" s="8">
        <f t="shared" ref="V579:V642" si="85">F579*J579</f>
        <v>231</v>
      </c>
      <c r="W579" t="str">
        <f t="shared" ref="W579:W642" si="86">IF(F579&lt;=G579,"Reorder Required","Sufficient Stock")</f>
        <v>Sufficient Stock</v>
      </c>
      <c r="X579" s="9">
        <f t="shared" ref="X579:X642" si="87">DATE(YEAR(L579),MONTH(L579),1)</f>
        <v>45352</v>
      </c>
      <c r="Y579">
        <f t="shared" ref="Y579:Y642" si="88">P579-L579</f>
        <v>93</v>
      </c>
      <c r="Z579" t="str">
        <f t="shared" ref="Z579:Z642" si="89">IF(Y579&lt;0,"Invalid Data",
IF(Y579&lt;=30,"Critical",
IF(Y579&lt;=90,"High Risk",
IF(Y579&lt;=180,"Medium Risk",
IF(Y579&lt;=365,"Low Risk",
"Safe")))))</f>
        <v>Medium Risk</v>
      </c>
    </row>
    <row r="580" spans="1:26" x14ac:dyDescent="0.4">
      <c r="A580" t="s">
        <v>2470</v>
      </c>
      <c r="B580" t="s">
        <v>779</v>
      </c>
      <c r="C580" t="s">
        <v>54</v>
      </c>
      <c r="D580" t="s">
        <v>2471</v>
      </c>
      <c r="E580" t="s">
        <v>1732</v>
      </c>
      <c r="F580">
        <v>33</v>
      </c>
      <c r="G580">
        <v>89</v>
      </c>
      <c r="H580">
        <v>15</v>
      </c>
      <c r="I580" t="s">
        <v>71</v>
      </c>
      <c r="J580" s="7">
        <f t="shared" si="81"/>
        <v>2.5</v>
      </c>
      <c r="K580" t="s">
        <v>422</v>
      </c>
      <c r="L580" s="1">
        <f t="shared" si="82"/>
        <v>45531</v>
      </c>
      <c r="M580" t="s">
        <v>73</v>
      </c>
      <c r="N580" s="1">
        <f t="shared" si="83"/>
        <v>45463</v>
      </c>
      <c r="O580" t="s">
        <v>267</v>
      </c>
      <c r="P580" s="1">
        <f t="shared" si="84"/>
        <v>45593</v>
      </c>
      <c r="Q580" t="s">
        <v>2472</v>
      </c>
      <c r="R580">
        <v>90</v>
      </c>
      <c r="S580">
        <v>52</v>
      </c>
      <c r="T580" t="s">
        <v>26</v>
      </c>
      <c r="U580" s="8">
        <v>225</v>
      </c>
      <c r="V580" s="8">
        <f t="shared" si="85"/>
        <v>82.5</v>
      </c>
      <c r="W580" t="str">
        <f t="shared" si="86"/>
        <v>Reorder Required</v>
      </c>
      <c r="X580" s="9">
        <f t="shared" si="87"/>
        <v>45505</v>
      </c>
      <c r="Y580">
        <f t="shared" si="88"/>
        <v>62</v>
      </c>
      <c r="Z580" t="str">
        <f t="shared" si="89"/>
        <v>High Risk</v>
      </c>
    </row>
    <row r="581" spans="1:26" x14ac:dyDescent="0.4">
      <c r="A581" t="s">
        <v>2473</v>
      </c>
      <c r="B581" t="s">
        <v>994</v>
      </c>
      <c r="C581" t="s">
        <v>54</v>
      </c>
      <c r="D581" t="s">
        <v>2474</v>
      </c>
      <c r="E581" t="s">
        <v>2475</v>
      </c>
      <c r="F581">
        <v>90</v>
      </c>
      <c r="G581">
        <v>17</v>
      </c>
      <c r="H581">
        <v>17</v>
      </c>
      <c r="I581" t="s">
        <v>85</v>
      </c>
      <c r="J581" s="7">
        <f t="shared" si="81"/>
        <v>3</v>
      </c>
      <c r="K581" t="s">
        <v>1125</v>
      </c>
      <c r="L581" s="1">
        <f t="shared" si="82"/>
        <v>45382</v>
      </c>
      <c r="M581" s="1">
        <v>45360</v>
      </c>
      <c r="N581" s="1">
        <f t="shared" si="83"/>
        <v>45360</v>
      </c>
      <c r="O581" s="1">
        <v>45568</v>
      </c>
      <c r="P581" s="1">
        <f t="shared" si="84"/>
        <v>45568</v>
      </c>
      <c r="Q581" t="s">
        <v>2476</v>
      </c>
      <c r="R581">
        <v>82</v>
      </c>
      <c r="S581">
        <v>84</v>
      </c>
      <c r="T581" t="s">
        <v>42</v>
      </c>
      <c r="U581" s="8">
        <v>246</v>
      </c>
      <c r="V581" s="8">
        <f t="shared" si="85"/>
        <v>270</v>
      </c>
      <c r="W581" t="str">
        <f t="shared" si="86"/>
        <v>Sufficient Stock</v>
      </c>
      <c r="X581" s="9">
        <f t="shared" si="87"/>
        <v>45352</v>
      </c>
      <c r="Y581">
        <f t="shared" si="88"/>
        <v>186</v>
      </c>
      <c r="Z581" t="str">
        <f t="shared" si="89"/>
        <v>Low Risk</v>
      </c>
    </row>
    <row r="582" spans="1:26" x14ac:dyDescent="0.4">
      <c r="A582" t="s">
        <v>2477</v>
      </c>
      <c r="B582" t="s">
        <v>1406</v>
      </c>
      <c r="C582" t="s">
        <v>18</v>
      </c>
      <c r="D582" t="s">
        <v>2478</v>
      </c>
      <c r="E582" t="s">
        <v>634</v>
      </c>
      <c r="F582">
        <v>31</v>
      </c>
      <c r="G582">
        <v>29</v>
      </c>
      <c r="H582">
        <v>57</v>
      </c>
      <c r="I582" t="s">
        <v>71</v>
      </c>
      <c r="J582" s="7">
        <f t="shared" si="81"/>
        <v>2.5</v>
      </c>
      <c r="K582" t="s">
        <v>1272</v>
      </c>
      <c r="L582" s="1">
        <f t="shared" si="82"/>
        <v>45591</v>
      </c>
      <c r="M582" t="s">
        <v>1463</v>
      </c>
      <c r="N582" s="1">
        <f t="shared" si="83"/>
        <v>45461</v>
      </c>
      <c r="O582" s="1">
        <v>45606</v>
      </c>
      <c r="P582" s="1">
        <f t="shared" si="84"/>
        <v>45606</v>
      </c>
      <c r="Q582" t="s">
        <v>2479</v>
      </c>
      <c r="R582">
        <v>25</v>
      </c>
      <c r="S582">
        <v>22</v>
      </c>
      <c r="T582" t="s">
        <v>51</v>
      </c>
      <c r="U582" s="8">
        <v>62.5</v>
      </c>
      <c r="V582" s="8">
        <f t="shared" si="85"/>
        <v>77.5</v>
      </c>
      <c r="W582" t="str">
        <f t="shared" si="86"/>
        <v>Sufficient Stock</v>
      </c>
      <c r="X582" s="9">
        <f t="shared" si="87"/>
        <v>45566</v>
      </c>
      <c r="Y582">
        <f t="shared" si="88"/>
        <v>15</v>
      </c>
      <c r="Z582" t="str">
        <f t="shared" si="89"/>
        <v>Critical</v>
      </c>
    </row>
    <row r="583" spans="1:26" x14ac:dyDescent="0.4">
      <c r="A583" t="s">
        <v>2480</v>
      </c>
      <c r="B583" t="s">
        <v>962</v>
      </c>
      <c r="C583" t="s">
        <v>54</v>
      </c>
      <c r="D583" t="s">
        <v>2481</v>
      </c>
      <c r="E583" t="s">
        <v>2482</v>
      </c>
      <c r="F583">
        <v>92</v>
      </c>
      <c r="G583">
        <v>3</v>
      </c>
      <c r="H583">
        <v>81</v>
      </c>
      <c r="I583" t="s">
        <v>220</v>
      </c>
      <c r="J583" s="7">
        <f t="shared" si="81"/>
        <v>5</v>
      </c>
      <c r="K583" s="1">
        <v>45416</v>
      </c>
      <c r="L583" s="1">
        <f t="shared" si="82"/>
        <v>45416</v>
      </c>
      <c r="M583" t="s">
        <v>656</v>
      </c>
      <c r="N583" s="1">
        <f t="shared" si="83"/>
        <v>45347</v>
      </c>
      <c r="O583" t="s">
        <v>1057</v>
      </c>
      <c r="P583" s="1">
        <f t="shared" si="84"/>
        <v>45645</v>
      </c>
      <c r="Q583" t="s">
        <v>2483</v>
      </c>
      <c r="R583">
        <v>62</v>
      </c>
      <c r="S583">
        <v>20</v>
      </c>
      <c r="T583" t="s">
        <v>42</v>
      </c>
      <c r="U583" s="8">
        <v>310</v>
      </c>
      <c r="V583" s="8">
        <f t="shared" si="85"/>
        <v>460</v>
      </c>
      <c r="W583" t="str">
        <f t="shared" si="86"/>
        <v>Sufficient Stock</v>
      </c>
      <c r="X583" s="9">
        <f t="shared" si="87"/>
        <v>45413</v>
      </c>
      <c r="Y583">
        <f t="shared" si="88"/>
        <v>229</v>
      </c>
      <c r="Z583" t="str">
        <f t="shared" si="89"/>
        <v>Low Risk</v>
      </c>
    </row>
    <row r="584" spans="1:26" x14ac:dyDescent="0.4">
      <c r="A584" t="s">
        <v>2484</v>
      </c>
      <c r="B584" t="s">
        <v>779</v>
      </c>
      <c r="C584" t="s">
        <v>54</v>
      </c>
      <c r="D584" t="s">
        <v>2485</v>
      </c>
      <c r="E584" t="s">
        <v>1385</v>
      </c>
      <c r="F584">
        <v>66</v>
      </c>
      <c r="G584">
        <v>31</v>
      </c>
      <c r="H584">
        <v>18</v>
      </c>
      <c r="I584" t="s">
        <v>71</v>
      </c>
      <c r="J584" s="7">
        <f t="shared" si="81"/>
        <v>2.5</v>
      </c>
      <c r="K584" s="1">
        <v>45447</v>
      </c>
      <c r="L584" s="1">
        <f t="shared" si="82"/>
        <v>45447</v>
      </c>
      <c r="M584" t="s">
        <v>158</v>
      </c>
      <c r="N584" s="1">
        <f t="shared" si="83"/>
        <v>45654</v>
      </c>
      <c r="O584" s="1">
        <v>45508</v>
      </c>
      <c r="P584" s="1">
        <f t="shared" si="84"/>
        <v>45508</v>
      </c>
      <c r="Q584" t="s">
        <v>2486</v>
      </c>
      <c r="R584">
        <v>85</v>
      </c>
      <c r="S584">
        <v>39</v>
      </c>
      <c r="T584" t="s">
        <v>42</v>
      </c>
      <c r="U584" s="8">
        <v>212.5</v>
      </c>
      <c r="V584" s="8">
        <f t="shared" si="85"/>
        <v>165</v>
      </c>
      <c r="W584" t="str">
        <f t="shared" si="86"/>
        <v>Sufficient Stock</v>
      </c>
      <c r="X584" s="9">
        <f t="shared" si="87"/>
        <v>45444</v>
      </c>
      <c r="Y584">
        <f t="shared" si="88"/>
        <v>61</v>
      </c>
      <c r="Z584" t="str">
        <f t="shared" si="89"/>
        <v>High Risk</v>
      </c>
    </row>
    <row r="585" spans="1:26" x14ac:dyDescent="0.4">
      <c r="A585" t="s">
        <v>2487</v>
      </c>
      <c r="B585" t="s">
        <v>1017</v>
      </c>
      <c r="C585" t="s">
        <v>169</v>
      </c>
      <c r="D585" t="s">
        <v>2488</v>
      </c>
      <c r="E585" t="s">
        <v>1553</v>
      </c>
      <c r="F585">
        <v>83</v>
      </c>
      <c r="G585">
        <v>17</v>
      </c>
      <c r="H585">
        <v>39</v>
      </c>
      <c r="I585" t="s">
        <v>591</v>
      </c>
      <c r="J585" s="7">
        <f t="shared" si="81"/>
        <v>10</v>
      </c>
      <c r="K585" s="1">
        <v>45357</v>
      </c>
      <c r="L585" s="1">
        <f t="shared" si="82"/>
        <v>45357</v>
      </c>
      <c r="M585" s="1">
        <v>45603</v>
      </c>
      <c r="N585" s="1">
        <f t="shared" si="83"/>
        <v>45603</v>
      </c>
      <c r="O585" t="s">
        <v>1125</v>
      </c>
      <c r="P585" s="1">
        <f t="shared" si="84"/>
        <v>45382</v>
      </c>
      <c r="Q585" t="s">
        <v>2489</v>
      </c>
      <c r="R585">
        <v>33</v>
      </c>
      <c r="S585">
        <v>20</v>
      </c>
      <c r="T585" t="s">
        <v>51</v>
      </c>
      <c r="U585" s="8">
        <v>330</v>
      </c>
      <c r="V585" s="8">
        <f t="shared" si="85"/>
        <v>830</v>
      </c>
      <c r="W585" t="str">
        <f t="shared" si="86"/>
        <v>Sufficient Stock</v>
      </c>
      <c r="X585" s="9">
        <f t="shared" si="87"/>
        <v>45352</v>
      </c>
      <c r="Y585">
        <f t="shared" si="88"/>
        <v>25</v>
      </c>
      <c r="Z585" t="str">
        <f t="shared" si="89"/>
        <v>Critical</v>
      </c>
    </row>
    <row r="586" spans="1:26" x14ac:dyDescent="0.4">
      <c r="A586" t="s">
        <v>2490</v>
      </c>
      <c r="B586" t="s">
        <v>304</v>
      </c>
      <c r="C586" t="s">
        <v>54</v>
      </c>
      <c r="D586" t="s">
        <v>2491</v>
      </c>
      <c r="E586" t="s">
        <v>2235</v>
      </c>
      <c r="F586">
        <v>84</v>
      </c>
      <c r="G586">
        <v>9</v>
      </c>
      <c r="H586">
        <v>46</v>
      </c>
      <c r="I586" t="s">
        <v>220</v>
      </c>
      <c r="J586" s="7">
        <f t="shared" si="81"/>
        <v>5</v>
      </c>
      <c r="K586" s="1">
        <v>45510</v>
      </c>
      <c r="L586" s="1">
        <f t="shared" si="82"/>
        <v>45510</v>
      </c>
      <c r="M586" t="s">
        <v>148</v>
      </c>
      <c r="N586" s="1">
        <f t="shared" si="83"/>
        <v>45431</v>
      </c>
      <c r="O586" s="1">
        <v>45577</v>
      </c>
      <c r="P586" s="1">
        <f t="shared" si="84"/>
        <v>45577</v>
      </c>
      <c r="Q586" t="s">
        <v>2492</v>
      </c>
      <c r="R586">
        <v>30</v>
      </c>
      <c r="S586">
        <v>68</v>
      </c>
      <c r="T586" t="s">
        <v>42</v>
      </c>
      <c r="U586" s="8">
        <v>150</v>
      </c>
      <c r="V586" s="8">
        <f t="shared" si="85"/>
        <v>420</v>
      </c>
      <c r="W586" t="str">
        <f t="shared" si="86"/>
        <v>Sufficient Stock</v>
      </c>
      <c r="X586" s="9">
        <f t="shared" si="87"/>
        <v>45505</v>
      </c>
      <c r="Y586">
        <f t="shared" si="88"/>
        <v>67</v>
      </c>
      <c r="Z586" t="str">
        <f t="shared" si="89"/>
        <v>High Risk</v>
      </c>
    </row>
    <row r="587" spans="1:26" x14ac:dyDescent="0.4">
      <c r="A587" t="s">
        <v>2493</v>
      </c>
      <c r="B587" t="s">
        <v>263</v>
      </c>
      <c r="C587" t="s">
        <v>169</v>
      </c>
      <c r="D587" t="s">
        <v>2494</v>
      </c>
      <c r="E587" t="s">
        <v>2482</v>
      </c>
      <c r="F587">
        <v>76</v>
      </c>
      <c r="G587">
        <v>57</v>
      </c>
      <c r="H587">
        <v>78</v>
      </c>
      <c r="I587" t="s">
        <v>266</v>
      </c>
      <c r="J587" s="7">
        <f t="shared" si="81"/>
        <v>9</v>
      </c>
      <c r="K587" t="s">
        <v>1463</v>
      </c>
      <c r="L587" s="1">
        <f t="shared" si="82"/>
        <v>45461</v>
      </c>
      <c r="M587" t="s">
        <v>1488</v>
      </c>
      <c r="N587" s="1">
        <f t="shared" si="83"/>
        <v>45470</v>
      </c>
      <c r="O587" t="s">
        <v>828</v>
      </c>
      <c r="P587" s="1">
        <f t="shared" si="84"/>
        <v>45410</v>
      </c>
      <c r="Q587" t="s">
        <v>2495</v>
      </c>
      <c r="R587">
        <v>52</v>
      </c>
      <c r="S587">
        <v>86</v>
      </c>
      <c r="T587" t="s">
        <v>26</v>
      </c>
      <c r="U587" s="8">
        <v>468</v>
      </c>
      <c r="V587" s="8">
        <f t="shared" si="85"/>
        <v>684</v>
      </c>
      <c r="W587" t="str">
        <f t="shared" si="86"/>
        <v>Sufficient Stock</v>
      </c>
      <c r="X587" s="9">
        <f t="shared" si="87"/>
        <v>45444</v>
      </c>
      <c r="Y587">
        <f t="shared" si="88"/>
        <v>-51</v>
      </c>
      <c r="Z587" t="str">
        <f t="shared" si="89"/>
        <v>Invalid Data</v>
      </c>
    </row>
    <row r="588" spans="1:26" x14ac:dyDescent="0.4">
      <c r="A588" t="s">
        <v>2496</v>
      </c>
      <c r="B588" t="s">
        <v>722</v>
      </c>
      <c r="C588" t="s">
        <v>54</v>
      </c>
      <c r="D588" t="s">
        <v>2497</v>
      </c>
      <c r="E588" t="s">
        <v>977</v>
      </c>
      <c r="F588">
        <v>26</v>
      </c>
      <c r="G588">
        <v>1</v>
      </c>
      <c r="H588">
        <v>9</v>
      </c>
      <c r="I588" t="s">
        <v>39</v>
      </c>
      <c r="J588" s="7">
        <f t="shared" si="81"/>
        <v>6</v>
      </c>
      <c r="K588" s="1">
        <v>45932</v>
      </c>
      <c r="L588" s="1">
        <f t="shared" si="82"/>
        <v>45932</v>
      </c>
      <c r="M588" s="1">
        <v>45416</v>
      </c>
      <c r="N588" s="1">
        <f t="shared" si="83"/>
        <v>45416</v>
      </c>
      <c r="O588" s="1">
        <v>45334</v>
      </c>
      <c r="P588" s="1">
        <f t="shared" si="84"/>
        <v>45334</v>
      </c>
      <c r="Q588" t="s">
        <v>2498</v>
      </c>
      <c r="R588">
        <v>82</v>
      </c>
      <c r="S588">
        <v>8</v>
      </c>
      <c r="T588" t="s">
        <v>42</v>
      </c>
      <c r="U588" s="8">
        <v>492</v>
      </c>
      <c r="V588" s="8">
        <f t="shared" si="85"/>
        <v>156</v>
      </c>
      <c r="W588" t="str">
        <f t="shared" si="86"/>
        <v>Sufficient Stock</v>
      </c>
      <c r="X588" s="9">
        <f t="shared" si="87"/>
        <v>45931</v>
      </c>
      <c r="Y588">
        <f t="shared" si="88"/>
        <v>-598</v>
      </c>
      <c r="Z588" t="str">
        <f t="shared" si="89"/>
        <v>Invalid Data</v>
      </c>
    </row>
    <row r="589" spans="1:26" x14ac:dyDescent="0.4">
      <c r="A589" t="s">
        <v>2499</v>
      </c>
      <c r="B589" t="s">
        <v>391</v>
      </c>
      <c r="C589" t="s">
        <v>29</v>
      </c>
      <c r="D589" t="s">
        <v>2500</v>
      </c>
      <c r="E589" t="s">
        <v>2501</v>
      </c>
      <c r="F589">
        <v>61</v>
      </c>
      <c r="G589">
        <v>31</v>
      </c>
      <c r="H589">
        <v>100</v>
      </c>
      <c r="I589" t="s">
        <v>1001</v>
      </c>
      <c r="J589" s="7">
        <f t="shared" si="81"/>
        <v>12.5</v>
      </c>
      <c r="K589" t="s">
        <v>2285</v>
      </c>
      <c r="L589" s="1">
        <f t="shared" si="82"/>
        <v>45656</v>
      </c>
      <c r="M589" t="s">
        <v>495</v>
      </c>
      <c r="N589" s="1">
        <f t="shared" si="83"/>
        <v>45367</v>
      </c>
      <c r="O589" t="s">
        <v>428</v>
      </c>
      <c r="P589" s="1">
        <f t="shared" si="84"/>
        <v>45561</v>
      </c>
      <c r="Q589" t="s">
        <v>2502</v>
      </c>
      <c r="R589">
        <v>95</v>
      </c>
      <c r="S589">
        <v>61</v>
      </c>
      <c r="T589" t="s">
        <v>51</v>
      </c>
      <c r="U589" s="8">
        <v>1187.5</v>
      </c>
      <c r="V589" s="8">
        <f t="shared" si="85"/>
        <v>762.5</v>
      </c>
      <c r="W589" t="str">
        <f t="shared" si="86"/>
        <v>Sufficient Stock</v>
      </c>
      <c r="X589" s="9">
        <f t="shared" si="87"/>
        <v>45627</v>
      </c>
      <c r="Y589">
        <f t="shared" si="88"/>
        <v>-95</v>
      </c>
      <c r="Z589" t="str">
        <f t="shared" si="89"/>
        <v>Invalid Data</v>
      </c>
    </row>
    <row r="590" spans="1:26" x14ac:dyDescent="0.4">
      <c r="A590" t="s">
        <v>2503</v>
      </c>
      <c r="B590" t="s">
        <v>1455</v>
      </c>
      <c r="C590" t="s">
        <v>77</v>
      </c>
      <c r="D590" t="s">
        <v>2504</v>
      </c>
      <c r="E590" t="s">
        <v>740</v>
      </c>
      <c r="F590">
        <v>15</v>
      </c>
      <c r="G590">
        <v>75</v>
      </c>
      <c r="H590">
        <v>78</v>
      </c>
      <c r="I590" t="s">
        <v>1728</v>
      </c>
      <c r="J590" s="7">
        <f t="shared" si="81"/>
        <v>1.9</v>
      </c>
      <c r="K590" s="1">
        <v>45659</v>
      </c>
      <c r="L590" s="1">
        <f t="shared" si="82"/>
        <v>45659</v>
      </c>
      <c r="M590" s="1">
        <v>45993</v>
      </c>
      <c r="N590" s="1">
        <f t="shared" si="83"/>
        <v>45993</v>
      </c>
      <c r="O590" t="s">
        <v>180</v>
      </c>
      <c r="P590" s="1">
        <f t="shared" si="84"/>
        <v>45702</v>
      </c>
      <c r="Q590" t="s">
        <v>2505</v>
      </c>
      <c r="R590">
        <v>71</v>
      </c>
      <c r="S590">
        <v>21</v>
      </c>
      <c r="T590" t="s">
        <v>26</v>
      </c>
      <c r="U590" s="8">
        <v>134.9</v>
      </c>
      <c r="V590" s="8">
        <f t="shared" si="85"/>
        <v>28.5</v>
      </c>
      <c r="W590" t="str">
        <f t="shared" si="86"/>
        <v>Reorder Required</v>
      </c>
      <c r="X590" s="9">
        <f t="shared" si="87"/>
        <v>45658</v>
      </c>
      <c r="Y590">
        <f t="shared" si="88"/>
        <v>43</v>
      </c>
      <c r="Z590" t="str">
        <f t="shared" si="89"/>
        <v>High Risk</v>
      </c>
    </row>
    <row r="591" spans="1:26" x14ac:dyDescent="0.4">
      <c r="A591" t="s">
        <v>2506</v>
      </c>
      <c r="B591" t="s">
        <v>1447</v>
      </c>
      <c r="C591" t="s">
        <v>54</v>
      </c>
      <c r="D591" t="s">
        <v>2507</v>
      </c>
      <c r="E591" t="s">
        <v>2508</v>
      </c>
      <c r="F591">
        <v>73</v>
      </c>
      <c r="G591">
        <v>83</v>
      </c>
      <c r="H591">
        <v>74</v>
      </c>
      <c r="I591" t="s">
        <v>220</v>
      </c>
      <c r="J591" s="7">
        <f t="shared" si="81"/>
        <v>5</v>
      </c>
      <c r="K591" t="s">
        <v>1209</v>
      </c>
      <c r="L591" s="1">
        <f t="shared" si="82"/>
        <v>45380</v>
      </c>
      <c r="M591" s="1">
        <v>45779</v>
      </c>
      <c r="N591" s="1">
        <f t="shared" si="83"/>
        <v>45779</v>
      </c>
      <c r="O591" t="s">
        <v>322</v>
      </c>
      <c r="P591" s="1">
        <f t="shared" si="84"/>
        <v>45495</v>
      </c>
      <c r="Q591" t="s">
        <v>2509</v>
      </c>
      <c r="R591">
        <v>87</v>
      </c>
      <c r="S591">
        <v>10</v>
      </c>
      <c r="T591" t="s">
        <v>26</v>
      </c>
      <c r="U591" s="8">
        <v>435</v>
      </c>
      <c r="V591" s="8">
        <f t="shared" si="85"/>
        <v>365</v>
      </c>
      <c r="W591" t="str">
        <f t="shared" si="86"/>
        <v>Reorder Required</v>
      </c>
      <c r="X591" s="9">
        <f t="shared" si="87"/>
        <v>45352</v>
      </c>
      <c r="Y591">
        <f t="shared" si="88"/>
        <v>115</v>
      </c>
      <c r="Z591" t="str">
        <f t="shared" si="89"/>
        <v>Medium Risk</v>
      </c>
    </row>
    <row r="592" spans="1:26" x14ac:dyDescent="0.4">
      <c r="A592" t="s">
        <v>2510</v>
      </c>
      <c r="B592" t="s">
        <v>984</v>
      </c>
      <c r="C592" t="s">
        <v>18</v>
      </c>
      <c r="D592" t="s">
        <v>2511</v>
      </c>
      <c r="E592" t="s">
        <v>257</v>
      </c>
      <c r="F592">
        <v>41</v>
      </c>
      <c r="G592">
        <v>76</v>
      </c>
      <c r="H592">
        <v>47</v>
      </c>
      <c r="I592" t="s">
        <v>2512</v>
      </c>
      <c r="J592" s="7">
        <f t="shared" si="81"/>
        <v>2.65</v>
      </c>
      <c r="K592" t="s">
        <v>434</v>
      </c>
      <c r="L592" s="1">
        <f t="shared" si="82"/>
        <v>45550</v>
      </c>
      <c r="M592" t="s">
        <v>635</v>
      </c>
      <c r="N592" s="1">
        <f t="shared" si="83"/>
        <v>45402</v>
      </c>
      <c r="O592" s="1">
        <v>45449</v>
      </c>
      <c r="P592" s="1">
        <f t="shared" si="84"/>
        <v>45449</v>
      </c>
      <c r="Q592" t="s">
        <v>2513</v>
      </c>
      <c r="R592">
        <v>50</v>
      </c>
      <c r="S592">
        <v>50</v>
      </c>
      <c r="T592" t="s">
        <v>42</v>
      </c>
      <c r="U592" s="8">
        <v>132.5</v>
      </c>
      <c r="V592" s="8">
        <f t="shared" si="85"/>
        <v>108.64999999999999</v>
      </c>
      <c r="W592" t="str">
        <f t="shared" si="86"/>
        <v>Reorder Required</v>
      </c>
      <c r="X592" s="9">
        <f t="shared" si="87"/>
        <v>45536</v>
      </c>
      <c r="Y592">
        <f t="shared" si="88"/>
        <v>-101</v>
      </c>
      <c r="Z592" t="str">
        <f t="shared" si="89"/>
        <v>Invalid Data</v>
      </c>
    </row>
    <row r="593" spans="1:26" x14ac:dyDescent="0.4">
      <c r="A593" t="s">
        <v>2514</v>
      </c>
      <c r="B593" t="s">
        <v>789</v>
      </c>
      <c r="C593" t="s">
        <v>68</v>
      </c>
      <c r="D593" t="s">
        <v>2515</v>
      </c>
      <c r="E593" t="s">
        <v>62</v>
      </c>
      <c r="F593">
        <v>14</v>
      </c>
      <c r="G593">
        <v>75</v>
      </c>
      <c r="H593">
        <v>10</v>
      </c>
      <c r="I593" t="s">
        <v>591</v>
      </c>
      <c r="J593" s="7">
        <f t="shared" si="81"/>
        <v>10</v>
      </c>
      <c r="K593" s="1">
        <v>45392</v>
      </c>
      <c r="L593" s="1">
        <f t="shared" si="82"/>
        <v>45392</v>
      </c>
      <c r="M593" t="s">
        <v>286</v>
      </c>
      <c r="N593" s="1">
        <f t="shared" si="83"/>
        <v>45682</v>
      </c>
      <c r="O593" s="1">
        <v>45298</v>
      </c>
      <c r="P593" s="1">
        <f t="shared" si="84"/>
        <v>45298</v>
      </c>
      <c r="Q593" t="s">
        <v>2516</v>
      </c>
      <c r="R593">
        <v>65</v>
      </c>
      <c r="S593">
        <v>62</v>
      </c>
      <c r="T593" t="s">
        <v>51</v>
      </c>
      <c r="U593" s="8">
        <v>650</v>
      </c>
      <c r="V593" s="8">
        <f t="shared" si="85"/>
        <v>140</v>
      </c>
      <c r="W593" t="str">
        <f t="shared" si="86"/>
        <v>Reorder Required</v>
      </c>
      <c r="X593" s="9">
        <f t="shared" si="87"/>
        <v>45383</v>
      </c>
      <c r="Y593">
        <f t="shared" si="88"/>
        <v>-94</v>
      </c>
      <c r="Z593" t="str">
        <f t="shared" si="89"/>
        <v>Invalid Data</v>
      </c>
    </row>
    <row r="594" spans="1:26" x14ac:dyDescent="0.4">
      <c r="A594" t="s">
        <v>2517</v>
      </c>
      <c r="B594" t="s">
        <v>304</v>
      </c>
      <c r="C594" t="s">
        <v>54</v>
      </c>
      <c r="D594" t="s">
        <v>2518</v>
      </c>
      <c r="E594" t="s">
        <v>977</v>
      </c>
      <c r="F594">
        <v>99</v>
      </c>
      <c r="G594">
        <v>59</v>
      </c>
      <c r="H594">
        <v>12</v>
      </c>
      <c r="I594" t="s">
        <v>220</v>
      </c>
      <c r="J594" s="7">
        <f t="shared" si="81"/>
        <v>5</v>
      </c>
      <c r="K594" t="s">
        <v>213</v>
      </c>
      <c r="L594" s="1">
        <f t="shared" si="82"/>
        <v>45467</v>
      </c>
      <c r="M594" t="s">
        <v>567</v>
      </c>
      <c r="N594" s="1">
        <f t="shared" si="83"/>
        <v>45555</v>
      </c>
      <c r="O594" s="1">
        <v>45993</v>
      </c>
      <c r="P594" s="1">
        <f t="shared" si="84"/>
        <v>45993</v>
      </c>
      <c r="Q594" t="s">
        <v>2519</v>
      </c>
      <c r="R594">
        <v>52</v>
      </c>
      <c r="S594">
        <v>57</v>
      </c>
      <c r="T594" t="s">
        <v>42</v>
      </c>
      <c r="U594" s="8">
        <v>260</v>
      </c>
      <c r="V594" s="8">
        <f t="shared" si="85"/>
        <v>495</v>
      </c>
      <c r="W594" t="str">
        <f t="shared" si="86"/>
        <v>Sufficient Stock</v>
      </c>
      <c r="X594" s="9">
        <f t="shared" si="87"/>
        <v>45444</v>
      </c>
      <c r="Y594">
        <f t="shared" si="88"/>
        <v>526</v>
      </c>
      <c r="Z594" t="str">
        <f t="shared" si="89"/>
        <v>Safe</v>
      </c>
    </row>
    <row r="595" spans="1:26" x14ac:dyDescent="0.4">
      <c r="A595" t="s">
        <v>2520</v>
      </c>
      <c r="B595" t="s">
        <v>962</v>
      </c>
      <c r="C595" t="s">
        <v>54</v>
      </c>
      <c r="D595" t="s">
        <v>2521</v>
      </c>
      <c r="E595" t="s">
        <v>2522</v>
      </c>
      <c r="F595">
        <v>80</v>
      </c>
      <c r="G595">
        <v>6</v>
      </c>
      <c r="H595">
        <v>92</v>
      </c>
      <c r="I595" t="s">
        <v>220</v>
      </c>
      <c r="J595" s="7">
        <f t="shared" si="81"/>
        <v>5</v>
      </c>
      <c r="K595" t="s">
        <v>1217</v>
      </c>
      <c r="L595" s="1">
        <f t="shared" si="82"/>
        <v>45671</v>
      </c>
      <c r="M595" t="s">
        <v>1174</v>
      </c>
      <c r="N595" s="1">
        <f t="shared" si="83"/>
        <v>45677</v>
      </c>
      <c r="O595" t="s">
        <v>1080</v>
      </c>
      <c r="P595" s="1">
        <f t="shared" si="84"/>
        <v>45551</v>
      </c>
      <c r="Q595" t="s">
        <v>2523</v>
      </c>
      <c r="R595">
        <v>26</v>
      </c>
      <c r="S595">
        <v>71</v>
      </c>
      <c r="T595" t="s">
        <v>26</v>
      </c>
      <c r="U595" s="8">
        <v>130</v>
      </c>
      <c r="V595" s="8">
        <f t="shared" si="85"/>
        <v>400</v>
      </c>
      <c r="W595" t="str">
        <f t="shared" si="86"/>
        <v>Sufficient Stock</v>
      </c>
      <c r="X595" s="9">
        <f t="shared" si="87"/>
        <v>45658</v>
      </c>
      <c r="Y595">
        <f t="shared" si="88"/>
        <v>-120</v>
      </c>
      <c r="Z595" t="str">
        <f t="shared" si="89"/>
        <v>Invalid Data</v>
      </c>
    </row>
    <row r="596" spans="1:26" x14ac:dyDescent="0.4">
      <c r="A596" t="s">
        <v>2524</v>
      </c>
      <c r="B596" t="s">
        <v>482</v>
      </c>
      <c r="C596" t="s">
        <v>54</v>
      </c>
      <c r="D596" t="s">
        <v>2525</v>
      </c>
      <c r="E596" t="s">
        <v>1437</v>
      </c>
      <c r="F596">
        <v>49</v>
      </c>
      <c r="G596">
        <v>89</v>
      </c>
      <c r="H596">
        <v>65</v>
      </c>
      <c r="I596" t="s">
        <v>85</v>
      </c>
      <c r="J596" s="7">
        <f t="shared" si="81"/>
        <v>3</v>
      </c>
      <c r="K596" t="s">
        <v>100</v>
      </c>
      <c r="L596" s="1">
        <f t="shared" si="82"/>
        <v>45436</v>
      </c>
      <c r="M596" s="1">
        <v>45604</v>
      </c>
      <c r="N596" s="1">
        <f t="shared" si="83"/>
        <v>45604</v>
      </c>
      <c r="O596" t="s">
        <v>807</v>
      </c>
      <c r="P596" s="1">
        <f t="shared" si="84"/>
        <v>45429</v>
      </c>
      <c r="Q596" t="s">
        <v>2526</v>
      </c>
      <c r="R596">
        <v>37</v>
      </c>
      <c r="S596">
        <v>48</v>
      </c>
      <c r="T596" t="s">
        <v>51</v>
      </c>
      <c r="U596" s="8">
        <v>111</v>
      </c>
      <c r="V596" s="8">
        <f t="shared" si="85"/>
        <v>147</v>
      </c>
      <c r="W596" t="str">
        <f t="shared" si="86"/>
        <v>Reorder Required</v>
      </c>
      <c r="X596" s="9">
        <f t="shared" si="87"/>
        <v>45413</v>
      </c>
      <c r="Y596">
        <f t="shared" si="88"/>
        <v>-7</v>
      </c>
      <c r="Z596" t="str">
        <f t="shared" si="89"/>
        <v>Invalid Data</v>
      </c>
    </row>
    <row r="597" spans="1:26" x14ac:dyDescent="0.4">
      <c r="A597" t="s">
        <v>2527</v>
      </c>
      <c r="B597" t="s">
        <v>1383</v>
      </c>
      <c r="C597" t="s">
        <v>54</v>
      </c>
      <c r="D597" t="s">
        <v>2528</v>
      </c>
      <c r="E597" t="s">
        <v>759</v>
      </c>
      <c r="F597">
        <v>25</v>
      </c>
      <c r="G597">
        <v>74</v>
      </c>
      <c r="H597">
        <v>100</v>
      </c>
      <c r="I597" t="s">
        <v>1386</v>
      </c>
      <c r="J597" s="7">
        <f t="shared" si="81"/>
        <v>5.5</v>
      </c>
      <c r="K597" s="1">
        <v>45479</v>
      </c>
      <c r="L597" s="1">
        <f t="shared" si="82"/>
        <v>45479</v>
      </c>
      <c r="M597" s="1">
        <v>45485</v>
      </c>
      <c r="N597" s="1">
        <f t="shared" si="83"/>
        <v>45485</v>
      </c>
      <c r="O597" s="1">
        <v>45394</v>
      </c>
      <c r="P597" s="1">
        <f t="shared" si="84"/>
        <v>45394</v>
      </c>
      <c r="Q597" t="s">
        <v>2529</v>
      </c>
      <c r="R597">
        <v>41</v>
      </c>
      <c r="S597">
        <v>59</v>
      </c>
      <c r="T597" t="s">
        <v>26</v>
      </c>
      <c r="U597" s="8">
        <v>225.5</v>
      </c>
      <c r="V597" s="8">
        <f t="shared" si="85"/>
        <v>137.5</v>
      </c>
      <c r="W597" t="str">
        <f t="shared" si="86"/>
        <v>Reorder Required</v>
      </c>
      <c r="X597" s="9">
        <f t="shared" si="87"/>
        <v>45474</v>
      </c>
      <c r="Y597">
        <f t="shared" si="88"/>
        <v>-85</v>
      </c>
      <c r="Z597" t="str">
        <f t="shared" si="89"/>
        <v>Invalid Data</v>
      </c>
    </row>
    <row r="598" spans="1:26" x14ac:dyDescent="0.4">
      <c r="A598" t="s">
        <v>2530</v>
      </c>
      <c r="B598" t="s">
        <v>943</v>
      </c>
      <c r="C598" t="s">
        <v>68</v>
      </c>
      <c r="D598" t="s">
        <v>2531</v>
      </c>
      <c r="E598" t="s">
        <v>604</v>
      </c>
      <c r="F598">
        <v>39</v>
      </c>
      <c r="G598">
        <v>78</v>
      </c>
      <c r="H598">
        <v>97</v>
      </c>
      <c r="I598" t="s">
        <v>945</v>
      </c>
      <c r="J598" s="7">
        <f t="shared" si="81"/>
        <v>6.5</v>
      </c>
      <c r="K598" t="s">
        <v>654</v>
      </c>
      <c r="L598" s="1">
        <f t="shared" si="82"/>
        <v>45594</v>
      </c>
      <c r="M598" t="s">
        <v>107</v>
      </c>
      <c r="N598" s="1">
        <f t="shared" si="83"/>
        <v>45584</v>
      </c>
      <c r="O598" t="s">
        <v>1151</v>
      </c>
      <c r="P598" s="1">
        <f t="shared" si="84"/>
        <v>45490</v>
      </c>
      <c r="Q598" t="s">
        <v>2532</v>
      </c>
      <c r="R598">
        <v>54</v>
      </c>
      <c r="S598">
        <v>89</v>
      </c>
      <c r="T598" t="s">
        <v>42</v>
      </c>
      <c r="U598" s="8">
        <v>351</v>
      </c>
      <c r="V598" s="8">
        <f t="shared" si="85"/>
        <v>253.5</v>
      </c>
      <c r="W598" t="str">
        <f t="shared" si="86"/>
        <v>Reorder Required</v>
      </c>
      <c r="X598" s="9">
        <f t="shared" si="87"/>
        <v>45566</v>
      </c>
      <c r="Y598">
        <f t="shared" si="88"/>
        <v>-104</v>
      </c>
      <c r="Z598" t="str">
        <f t="shared" si="89"/>
        <v>Invalid Data</v>
      </c>
    </row>
    <row r="599" spans="1:26" x14ac:dyDescent="0.4">
      <c r="A599" t="s">
        <v>2533</v>
      </c>
      <c r="B599" t="s">
        <v>375</v>
      </c>
      <c r="C599" t="s">
        <v>54</v>
      </c>
      <c r="D599" t="s">
        <v>2534</v>
      </c>
      <c r="E599" t="s">
        <v>2535</v>
      </c>
      <c r="F599">
        <v>94</v>
      </c>
      <c r="G599">
        <v>58</v>
      </c>
      <c r="H599">
        <v>17</v>
      </c>
      <c r="I599" t="s">
        <v>407</v>
      </c>
      <c r="J599" s="7">
        <f t="shared" si="81"/>
        <v>2.9</v>
      </c>
      <c r="K599" s="1">
        <v>45299</v>
      </c>
      <c r="L599" s="1">
        <f t="shared" si="82"/>
        <v>45299</v>
      </c>
      <c r="M599" s="1">
        <v>45419</v>
      </c>
      <c r="N599" s="1">
        <f t="shared" si="83"/>
        <v>45419</v>
      </c>
      <c r="O599" t="s">
        <v>1057</v>
      </c>
      <c r="P599" s="1">
        <f t="shared" si="84"/>
        <v>45645</v>
      </c>
      <c r="Q599" t="s">
        <v>2536</v>
      </c>
      <c r="R599">
        <v>57</v>
      </c>
      <c r="S599">
        <v>74</v>
      </c>
      <c r="T599" t="s">
        <v>42</v>
      </c>
      <c r="U599" s="8">
        <v>165.29999999999998</v>
      </c>
      <c r="V599" s="8">
        <f t="shared" si="85"/>
        <v>272.59999999999997</v>
      </c>
      <c r="W599" t="str">
        <f t="shared" si="86"/>
        <v>Sufficient Stock</v>
      </c>
      <c r="X599" s="9">
        <f t="shared" si="87"/>
        <v>45292</v>
      </c>
      <c r="Y599">
        <f t="shared" si="88"/>
        <v>346</v>
      </c>
      <c r="Z599" t="str">
        <f t="shared" si="89"/>
        <v>Low Risk</v>
      </c>
    </row>
    <row r="600" spans="1:26" x14ac:dyDescent="0.4">
      <c r="A600" t="s">
        <v>2537</v>
      </c>
      <c r="B600" t="s">
        <v>412</v>
      </c>
      <c r="C600" t="s">
        <v>169</v>
      </c>
      <c r="D600" t="s">
        <v>2538</v>
      </c>
      <c r="E600" t="s">
        <v>38</v>
      </c>
      <c r="F600">
        <v>11</v>
      </c>
      <c r="G600">
        <v>17</v>
      </c>
      <c r="H600">
        <v>59</v>
      </c>
      <c r="I600" t="s">
        <v>39</v>
      </c>
      <c r="J600" s="7">
        <f t="shared" si="81"/>
        <v>6</v>
      </c>
      <c r="K600" t="s">
        <v>1111</v>
      </c>
      <c r="L600" s="1">
        <f t="shared" si="82"/>
        <v>45493</v>
      </c>
      <c r="M600" t="s">
        <v>909</v>
      </c>
      <c r="N600" s="1">
        <f t="shared" si="83"/>
        <v>45378</v>
      </c>
      <c r="O600" s="1">
        <v>45508</v>
      </c>
      <c r="P600" s="1">
        <f t="shared" si="84"/>
        <v>45508</v>
      </c>
      <c r="Q600" t="s">
        <v>2539</v>
      </c>
      <c r="R600">
        <v>69</v>
      </c>
      <c r="S600">
        <v>100</v>
      </c>
      <c r="T600" t="s">
        <v>42</v>
      </c>
      <c r="U600" s="8">
        <v>414</v>
      </c>
      <c r="V600" s="8">
        <f t="shared" si="85"/>
        <v>66</v>
      </c>
      <c r="W600" t="str">
        <f t="shared" si="86"/>
        <v>Reorder Required</v>
      </c>
      <c r="X600" s="9">
        <f t="shared" si="87"/>
        <v>45474</v>
      </c>
      <c r="Y600">
        <f t="shared" si="88"/>
        <v>15</v>
      </c>
      <c r="Z600" t="str">
        <f t="shared" si="89"/>
        <v>Critical</v>
      </c>
    </row>
    <row r="601" spans="1:26" x14ac:dyDescent="0.4">
      <c r="A601" t="s">
        <v>2540</v>
      </c>
      <c r="B601" t="s">
        <v>582</v>
      </c>
      <c r="C601" t="s">
        <v>68</v>
      </c>
      <c r="D601" t="s">
        <v>2541</v>
      </c>
      <c r="E601" t="s">
        <v>406</v>
      </c>
      <c r="F601">
        <v>21</v>
      </c>
      <c r="G601">
        <v>52</v>
      </c>
      <c r="H601">
        <v>80</v>
      </c>
      <c r="I601" t="s">
        <v>57</v>
      </c>
      <c r="J601" s="7">
        <f t="shared" si="81"/>
        <v>4</v>
      </c>
      <c r="K601" s="1">
        <v>45357</v>
      </c>
      <c r="L601" s="1">
        <f t="shared" si="82"/>
        <v>45357</v>
      </c>
      <c r="M601" s="1">
        <v>45393</v>
      </c>
      <c r="N601" s="1">
        <f t="shared" si="83"/>
        <v>45393</v>
      </c>
      <c r="O601" s="1">
        <v>45658</v>
      </c>
      <c r="P601" s="1">
        <f t="shared" si="84"/>
        <v>45658</v>
      </c>
      <c r="Q601" t="s">
        <v>2542</v>
      </c>
      <c r="R601">
        <v>49</v>
      </c>
      <c r="S601">
        <v>37</v>
      </c>
      <c r="T601" t="s">
        <v>42</v>
      </c>
      <c r="U601" s="8">
        <v>196</v>
      </c>
      <c r="V601" s="8">
        <f t="shared" si="85"/>
        <v>84</v>
      </c>
      <c r="W601" t="str">
        <f t="shared" si="86"/>
        <v>Reorder Required</v>
      </c>
      <c r="X601" s="9">
        <f t="shared" si="87"/>
        <v>45352</v>
      </c>
      <c r="Y601">
        <f t="shared" si="88"/>
        <v>301</v>
      </c>
      <c r="Z601" t="str">
        <f t="shared" si="89"/>
        <v>Low Risk</v>
      </c>
    </row>
    <row r="602" spans="1:26" x14ac:dyDescent="0.4">
      <c r="A602" t="s">
        <v>2543</v>
      </c>
      <c r="B602" t="s">
        <v>350</v>
      </c>
      <c r="C602" t="s">
        <v>54</v>
      </c>
      <c r="D602" t="s">
        <v>2544</v>
      </c>
      <c r="E602" t="s">
        <v>2377</v>
      </c>
      <c r="F602">
        <v>38</v>
      </c>
      <c r="G602">
        <v>91</v>
      </c>
      <c r="H602">
        <v>94</v>
      </c>
      <c r="I602" t="s">
        <v>2545</v>
      </c>
      <c r="J602" s="7">
        <f t="shared" si="81"/>
        <v>5.7</v>
      </c>
      <c r="K602" s="1">
        <v>45633</v>
      </c>
      <c r="L602" s="1">
        <f t="shared" si="82"/>
        <v>45633</v>
      </c>
      <c r="M602" t="s">
        <v>598</v>
      </c>
      <c r="N602" s="1">
        <f t="shared" si="83"/>
        <v>45705</v>
      </c>
      <c r="O602" t="s">
        <v>1343</v>
      </c>
      <c r="P602" s="1">
        <f t="shared" si="84"/>
        <v>45617</v>
      </c>
      <c r="Q602" t="s">
        <v>2546</v>
      </c>
      <c r="R602">
        <v>53</v>
      </c>
      <c r="S602">
        <v>87</v>
      </c>
      <c r="T602" t="s">
        <v>26</v>
      </c>
      <c r="U602" s="8">
        <v>302.10000000000002</v>
      </c>
      <c r="V602" s="8">
        <f t="shared" si="85"/>
        <v>216.6</v>
      </c>
      <c r="W602" t="str">
        <f t="shared" si="86"/>
        <v>Reorder Required</v>
      </c>
      <c r="X602" s="9">
        <f t="shared" si="87"/>
        <v>45627</v>
      </c>
      <c r="Y602">
        <f t="shared" si="88"/>
        <v>-16</v>
      </c>
      <c r="Z602" t="str">
        <f t="shared" si="89"/>
        <v>Invalid Data</v>
      </c>
    </row>
    <row r="603" spans="1:26" x14ac:dyDescent="0.4">
      <c r="A603" t="s">
        <v>2547</v>
      </c>
      <c r="B603" t="s">
        <v>607</v>
      </c>
      <c r="C603" t="s">
        <v>68</v>
      </c>
      <c r="D603" t="s">
        <v>2548</v>
      </c>
      <c r="E603" t="s">
        <v>560</v>
      </c>
      <c r="F603">
        <v>58</v>
      </c>
      <c r="G603">
        <v>23</v>
      </c>
      <c r="H603">
        <v>66</v>
      </c>
      <c r="I603" t="s">
        <v>466</v>
      </c>
      <c r="J603" s="7">
        <f t="shared" si="81"/>
        <v>1.8</v>
      </c>
      <c r="K603" t="s">
        <v>644</v>
      </c>
      <c r="L603" s="1">
        <f t="shared" si="82"/>
        <v>45411</v>
      </c>
      <c r="M603" s="1">
        <v>45631</v>
      </c>
      <c r="N603" s="1">
        <f t="shared" si="83"/>
        <v>45631</v>
      </c>
      <c r="O603" t="s">
        <v>214</v>
      </c>
      <c r="P603" s="1">
        <f t="shared" si="84"/>
        <v>45712</v>
      </c>
      <c r="Q603" t="s">
        <v>2549</v>
      </c>
      <c r="R603">
        <v>82</v>
      </c>
      <c r="S603">
        <v>61</v>
      </c>
      <c r="T603" t="s">
        <v>42</v>
      </c>
      <c r="U603" s="8">
        <v>147.6</v>
      </c>
      <c r="V603" s="8">
        <f t="shared" si="85"/>
        <v>104.4</v>
      </c>
      <c r="W603" t="str">
        <f t="shared" si="86"/>
        <v>Sufficient Stock</v>
      </c>
      <c r="X603" s="9">
        <f t="shared" si="87"/>
        <v>45383</v>
      </c>
      <c r="Y603">
        <f t="shared" si="88"/>
        <v>301</v>
      </c>
      <c r="Z603" t="str">
        <f t="shared" si="89"/>
        <v>Low Risk</v>
      </c>
    </row>
    <row r="604" spans="1:26" x14ac:dyDescent="0.4">
      <c r="A604" t="s">
        <v>2550</v>
      </c>
      <c r="B604" t="s">
        <v>53</v>
      </c>
      <c r="C604" t="s">
        <v>54</v>
      </c>
      <c r="D604" t="s">
        <v>2551</v>
      </c>
      <c r="E604" t="s">
        <v>2501</v>
      </c>
      <c r="F604">
        <v>85</v>
      </c>
      <c r="G604">
        <v>16</v>
      </c>
      <c r="H604">
        <v>74</v>
      </c>
      <c r="I604" t="s">
        <v>745</v>
      </c>
      <c r="J604" s="7">
        <f t="shared" si="81"/>
        <v>3.85</v>
      </c>
      <c r="K604" t="s">
        <v>92</v>
      </c>
      <c r="L604" s="1">
        <f t="shared" si="82"/>
        <v>45614</v>
      </c>
      <c r="M604" s="1">
        <v>45514</v>
      </c>
      <c r="N604" s="1">
        <f t="shared" si="83"/>
        <v>45514</v>
      </c>
      <c r="O604" s="1">
        <v>45363</v>
      </c>
      <c r="P604" s="1">
        <f t="shared" si="84"/>
        <v>45363</v>
      </c>
      <c r="Q604" t="s">
        <v>2552</v>
      </c>
      <c r="R604">
        <v>58</v>
      </c>
      <c r="S604">
        <v>36</v>
      </c>
      <c r="T604" t="s">
        <v>42</v>
      </c>
      <c r="U604" s="8">
        <v>223.3</v>
      </c>
      <c r="V604" s="8">
        <f t="shared" si="85"/>
        <v>327.25</v>
      </c>
      <c r="W604" t="str">
        <f t="shared" si="86"/>
        <v>Sufficient Stock</v>
      </c>
      <c r="X604" s="9">
        <f t="shared" si="87"/>
        <v>45597</v>
      </c>
      <c r="Y604">
        <f t="shared" si="88"/>
        <v>-251</v>
      </c>
      <c r="Z604" t="str">
        <f t="shared" si="89"/>
        <v>Invalid Data</v>
      </c>
    </row>
    <row r="605" spans="1:26" x14ac:dyDescent="0.4">
      <c r="A605" t="s">
        <v>2553</v>
      </c>
      <c r="B605" t="s">
        <v>779</v>
      </c>
      <c r="C605" t="s">
        <v>54</v>
      </c>
      <c r="D605" t="s">
        <v>2554</v>
      </c>
      <c r="E605" t="s">
        <v>38</v>
      </c>
      <c r="F605">
        <v>63</v>
      </c>
      <c r="G605">
        <v>62</v>
      </c>
      <c r="H605">
        <v>98</v>
      </c>
      <c r="I605" t="s">
        <v>71</v>
      </c>
      <c r="J605" s="7">
        <f t="shared" si="81"/>
        <v>2.5</v>
      </c>
      <c r="K605" t="s">
        <v>200</v>
      </c>
      <c r="L605" s="1">
        <f t="shared" si="82"/>
        <v>45442</v>
      </c>
      <c r="M605" t="s">
        <v>549</v>
      </c>
      <c r="N605" s="1">
        <f t="shared" si="83"/>
        <v>45372</v>
      </c>
      <c r="O605" t="s">
        <v>1106</v>
      </c>
      <c r="P605" s="1">
        <f t="shared" si="84"/>
        <v>45679</v>
      </c>
      <c r="Q605" t="s">
        <v>2555</v>
      </c>
      <c r="R605">
        <v>62</v>
      </c>
      <c r="S605">
        <v>45</v>
      </c>
      <c r="T605" t="s">
        <v>42</v>
      </c>
      <c r="U605" s="8">
        <v>155</v>
      </c>
      <c r="V605" s="8">
        <f t="shared" si="85"/>
        <v>157.5</v>
      </c>
      <c r="W605" t="str">
        <f t="shared" si="86"/>
        <v>Sufficient Stock</v>
      </c>
      <c r="X605" s="9">
        <f t="shared" si="87"/>
        <v>45413</v>
      </c>
      <c r="Y605">
        <f t="shared" si="88"/>
        <v>237</v>
      </c>
      <c r="Z605" t="str">
        <f t="shared" si="89"/>
        <v>Low Risk</v>
      </c>
    </row>
    <row r="606" spans="1:26" x14ac:dyDescent="0.4">
      <c r="A606" t="s">
        <v>2556</v>
      </c>
      <c r="B606" t="s">
        <v>1821</v>
      </c>
      <c r="C606" t="s">
        <v>68</v>
      </c>
      <c r="D606" t="s">
        <v>2557</v>
      </c>
      <c r="E606" t="s">
        <v>2558</v>
      </c>
      <c r="F606">
        <v>54</v>
      </c>
      <c r="G606">
        <v>86</v>
      </c>
      <c r="H606">
        <v>69</v>
      </c>
      <c r="I606" t="s">
        <v>220</v>
      </c>
      <c r="J606" s="7">
        <f t="shared" si="81"/>
        <v>5</v>
      </c>
      <c r="K606" t="s">
        <v>402</v>
      </c>
      <c r="L606" s="1">
        <f t="shared" si="82"/>
        <v>45622</v>
      </c>
      <c r="M606" t="s">
        <v>700</v>
      </c>
      <c r="N606" s="1">
        <f t="shared" si="83"/>
        <v>45519</v>
      </c>
      <c r="O606" s="1">
        <v>45508</v>
      </c>
      <c r="P606" s="1">
        <f t="shared" si="84"/>
        <v>45508</v>
      </c>
      <c r="Q606" t="s">
        <v>2559</v>
      </c>
      <c r="R606">
        <v>29</v>
      </c>
      <c r="S606">
        <v>8</v>
      </c>
      <c r="T606" t="s">
        <v>26</v>
      </c>
      <c r="U606" s="8">
        <v>145</v>
      </c>
      <c r="V606" s="8">
        <f t="shared" si="85"/>
        <v>270</v>
      </c>
      <c r="W606" t="str">
        <f t="shared" si="86"/>
        <v>Reorder Required</v>
      </c>
      <c r="X606" s="9">
        <f t="shared" si="87"/>
        <v>45597</v>
      </c>
      <c r="Y606">
        <f t="shared" si="88"/>
        <v>-114</v>
      </c>
      <c r="Z606" t="str">
        <f t="shared" si="89"/>
        <v>Invalid Data</v>
      </c>
    </row>
    <row r="607" spans="1:26" x14ac:dyDescent="0.4">
      <c r="A607" t="s">
        <v>2560</v>
      </c>
      <c r="B607" t="s">
        <v>2561</v>
      </c>
      <c r="C607" t="s">
        <v>54</v>
      </c>
      <c r="D607" t="s">
        <v>2562</v>
      </c>
      <c r="E607" t="s">
        <v>729</v>
      </c>
      <c r="F607">
        <v>30</v>
      </c>
      <c r="G607">
        <v>25</v>
      </c>
      <c r="H607">
        <v>11</v>
      </c>
      <c r="I607" t="s">
        <v>147</v>
      </c>
      <c r="J607" s="7">
        <f t="shared" si="81"/>
        <v>8</v>
      </c>
      <c r="K607" t="s">
        <v>315</v>
      </c>
      <c r="L607" s="1">
        <f t="shared" si="82"/>
        <v>45651</v>
      </c>
      <c r="M607" s="1">
        <v>45633</v>
      </c>
      <c r="N607" s="1">
        <f t="shared" si="83"/>
        <v>45633</v>
      </c>
      <c r="O607" t="s">
        <v>252</v>
      </c>
      <c r="P607" s="1">
        <f t="shared" si="84"/>
        <v>45471</v>
      </c>
      <c r="Q607" t="s">
        <v>2563</v>
      </c>
      <c r="R607">
        <v>42</v>
      </c>
      <c r="S607">
        <v>76</v>
      </c>
      <c r="T607" t="s">
        <v>51</v>
      </c>
      <c r="U607" s="8">
        <v>336</v>
      </c>
      <c r="V607" s="8">
        <f t="shared" si="85"/>
        <v>240</v>
      </c>
      <c r="W607" t="str">
        <f t="shared" si="86"/>
        <v>Sufficient Stock</v>
      </c>
      <c r="X607" s="9">
        <f t="shared" si="87"/>
        <v>45627</v>
      </c>
      <c r="Y607">
        <f t="shared" si="88"/>
        <v>-180</v>
      </c>
      <c r="Z607" t="str">
        <f t="shared" si="89"/>
        <v>Invalid Data</v>
      </c>
    </row>
    <row r="608" spans="1:26" x14ac:dyDescent="0.4">
      <c r="A608" t="s">
        <v>2564</v>
      </c>
      <c r="B608" t="s">
        <v>779</v>
      </c>
      <c r="C608" t="s">
        <v>54</v>
      </c>
      <c r="D608" t="s">
        <v>2565</v>
      </c>
      <c r="E608" t="s">
        <v>1013</v>
      </c>
      <c r="F608">
        <v>57</v>
      </c>
      <c r="G608">
        <v>25</v>
      </c>
      <c r="H608">
        <v>98</v>
      </c>
      <c r="I608" t="s">
        <v>71</v>
      </c>
      <c r="J608" s="7">
        <f t="shared" si="81"/>
        <v>2.5</v>
      </c>
      <c r="K608" t="s">
        <v>128</v>
      </c>
      <c r="L608" s="1">
        <f t="shared" si="82"/>
        <v>45457</v>
      </c>
      <c r="M608" t="s">
        <v>656</v>
      </c>
      <c r="N608" s="1">
        <f t="shared" si="83"/>
        <v>45347</v>
      </c>
      <c r="O608" t="s">
        <v>1720</v>
      </c>
      <c r="P608" s="1">
        <f t="shared" si="84"/>
        <v>45426</v>
      </c>
      <c r="Q608" t="s">
        <v>2566</v>
      </c>
      <c r="R608">
        <v>78</v>
      </c>
      <c r="S608">
        <v>37</v>
      </c>
      <c r="T608" t="s">
        <v>51</v>
      </c>
      <c r="U608" s="8">
        <v>195</v>
      </c>
      <c r="V608" s="8">
        <f t="shared" si="85"/>
        <v>142.5</v>
      </c>
      <c r="W608" t="str">
        <f t="shared" si="86"/>
        <v>Sufficient Stock</v>
      </c>
      <c r="X608" s="9">
        <f t="shared" si="87"/>
        <v>45444</v>
      </c>
      <c r="Y608">
        <f t="shared" si="88"/>
        <v>-31</v>
      </c>
      <c r="Z608" t="str">
        <f t="shared" si="89"/>
        <v>Invalid Data</v>
      </c>
    </row>
    <row r="609" spans="1:26" x14ac:dyDescent="0.4">
      <c r="A609" t="s">
        <v>2567</v>
      </c>
      <c r="B609" t="s">
        <v>912</v>
      </c>
      <c r="C609" t="s">
        <v>68</v>
      </c>
      <c r="D609" t="s">
        <v>2568</v>
      </c>
      <c r="E609" t="s">
        <v>1323</v>
      </c>
      <c r="F609">
        <v>18</v>
      </c>
      <c r="G609">
        <v>72</v>
      </c>
      <c r="H609">
        <v>71</v>
      </c>
      <c r="I609" t="s">
        <v>106</v>
      </c>
      <c r="J609" s="7">
        <f t="shared" si="81"/>
        <v>2</v>
      </c>
      <c r="K609" s="1">
        <v>45417</v>
      </c>
      <c r="L609" s="1">
        <f t="shared" si="82"/>
        <v>45417</v>
      </c>
      <c r="M609" s="1">
        <v>45634</v>
      </c>
      <c r="N609" s="1">
        <f t="shared" si="83"/>
        <v>45634</v>
      </c>
      <c r="O609" t="s">
        <v>73</v>
      </c>
      <c r="P609" s="1">
        <f t="shared" si="84"/>
        <v>45463</v>
      </c>
      <c r="Q609" t="s">
        <v>2569</v>
      </c>
      <c r="R609">
        <v>25</v>
      </c>
      <c r="S609">
        <v>81</v>
      </c>
      <c r="T609" t="s">
        <v>51</v>
      </c>
      <c r="U609" s="8">
        <v>50</v>
      </c>
      <c r="V609" s="8">
        <f t="shared" si="85"/>
        <v>36</v>
      </c>
      <c r="W609" t="str">
        <f t="shared" si="86"/>
        <v>Reorder Required</v>
      </c>
      <c r="X609" s="9">
        <f t="shared" si="87"/>
        <v>45413</v>
      </c>
      <c r="Y609">
        <f t="shared" si="88"/>
        <v>46</v>
      </c>
      <c r="Z609" t="str">
        <f t="shared" si="89"/>
        <v>High Risk</v>
      </c>
    </row>
    <row r="610" spans="1:26" x14ac:dyDescent="0.4">
      <c r="A610" t="s">
        <v>2570</v>
      </c>
      <c r="B610" t="s">
        <v>814</v>
      </c>
      <c r="C610" t="s">
        <v>169</v>
      </c>
      <c r="D610" t="s">
        <v>2571</v>
      </c>
      <c r="E610" t="s">
        <v>2572</v>
      </c>
      <c r="F610">
        <v>16</v>
      </c>
      <c r="G610">
        <v>34</v>
      </c>
      <c r="H610">
        <v>89</v>
      </c>
      <c r="I610" t="s">
        <v>817</v>
      </c>
      <c r="J610" s="7">
        <f t="shared" si="81"/>
        <v>18</v>
      </c>
      <c r="K610" t="s">
        <v>268</v>
      </c>
      <c r="L610" s="1">
        <f t="shared" si="82"/>
        <v>45652</v>
      </c>
      <c r="M610" t="s">
        <v>135</v>
      </c>
      <c r="N610" s="1">
        <f t="shared" si="83"/>
        <v>45349</v>
      </c>
      <c r="O610" t="s">
        <v>644</v>
      </c>
      <c r="P610" s="1">
        <f t="shared" si="84"/>
        <v>45411</v>
      </c>
      <c r="Q610" t="s">
        <v>2573</v>
      </c>
      <c r="R610">
        <v>35</v>
      </c>
      <c r="S610">
        <v>52</v>
      </c>
      <c r="T610" t="s">
        <v>42</v>
      </c>
      <c r="U610" s="8">
        <v>630</v>
      </c>
      <c r="V610" s="8">
        <f t="shared" si="85"/>
        <v>288</v>
      </c>
      <c r="W610" t="str">
        <f t="shared" si="86"/>
        <v>Reorder Required</v>
      </c>
      <c r="X610" s="9">
        <f t="shared" si="87"/>
        <v>45627</v>
      </c>
      <c r="Y610">
        <f t="shared" si="88"/>
        <v>-241</v>
      </c>
      <c r="Z610" t="str">
        <f t="shared" si="89"/>
        <v>Invalid Data</v>
      </c>
    </row>
    <row r="611" spans="1:26" x14ac:dyDescent="0.4">
      <c r="A611" t="s">
        <v>2574</v>
      </c>
      <c r="B611" t="s">
        <v>820</v>
      </c>
      <c r="C611" t="s">
        <v>77</v>
      </c>
      <c r="D611" t="s">
        <v>2575</v>
      </c>
      <c r="E611" t="s">
        <v>1164</v>
      </c>
      <c r="F611">
        <v>39</v>
      </c>
      <c r="G611">
        <v>80</v>
      </c>
      <c r="H611">
        <v>68</v>
      </c>
      <c r="I611" t="s">
        <v>71</v>
      </c>
      <c r="J611" s="7">
        <f t="shared" si="81"/>
        <v>2.5</v>
      </c>
      <c r="K611" t="s">
        <v>1111</v>
      </c>
      <c r="L611" s="1">
        <f t="shared" si="82"/>
        <v>45493</v>
      </c>
      <c r="M611" s="1">
        <v>45451</v>
      </c>
      <c r="N611" s="1">
        <f t="shared" si="83"/>
        <v>45451</v>
      </c>
      <c r="O611" t="s">
        <v>700</v>
      </c>
      <c r="P611" s="1">
        <f t="shared" si="84"/>
        <v>45519</v>
      </c>
      <c r="Q611" t="s">
        <v>2576</v>
      </c>
      <c r="R611">
        <v>46</v>
      </c>
      <c r="S611">
        <v>54</v>
      </c>
      <c r="T611" t="s">
        <v>26</v>
      </c>
      <c r="U611" s="8">
        <v>115</v>
      </c>
      <c r="V611" s="8">
        <f t="shared" si="85"/>
        <v>97.5</v>
      </c>
      <c r="W611" t="str">
        <f t="shared" si="86"/>
        <v>Reorder Required</v>
      </c>
      <c r="X611" s="9">
        <f t="shared" si="87"/>
        <v>45474</v>
      </c>
      <c r="Y611">
        <f t="shared" si="88"/>
        <v>26</v>
      </c>
      <c r="Z611" t="str">
        <f t="shared" si="89"/>
        <v>Critical</v>
      </c>
    </row>
    <row r="612" spans="1:26" x14ac:dyDescent="0.4">
      <c r="A612" t="s">
        <v>2577</v>
      </c>
      <c r="B612" t="s">
        <v>311</v>
      </c>
      <c r="C612" t="s">
        <v>54</v>
      </c>
      <c r="D612" t="s">
        <v>2578</v>
      </c>
      <c r="E612" t="s">
        <v>2280</v>
      </c>
      <c r="F612">
        <v>59</v>
      </c>
      <c r="G612">
        <v>82</v>
      </c>
      <c r="H612">
        <v>69</v>
      </c>
      <c r="I612" t="s">
        <v>1593</v>
      </c>
      <c r="J612" s="7">
        <f t="shared" si="81"/>
        <v>2.4500000000000002</v>
      </c>
      <c r="K612" s="1">
        <v>45387</v>
      </c>
      <c r="L612" s="1">
        <f t="shared" si="82"/>
        <v>45387</v>
      </c>
      <c r="M612" t="s">
        <v>718</v>
      </c>
      <c r="N612" s="1">
        <f t="shared" si="83"/>
        <v>45376</v>
      </c>
      <c r="O612" s="1">
        <v>45354</v>
      </c>
      <c r="P612" s="1">
        <f t="shared" si="84"/>
        <v>45354</v>
      </c>
      <c r="Q612" t="s">
        <v>2579</v>
      </c>
      <c r="R612">
        <v>30</v>
      </c>
      <c r="S612">
        <v>34</v>
      </c>
      <c r="T612" t="s">
        <v>26</v>
      </c>
      <c r="U612" s="8">
        <v>73.5</v>
      </c>
      <c r="V612" s="8">
        <f t="shared" si="85"/>
        <v>144.55000000000001</v>
      </c>
      <c r="W612" t="str">
        <f t="shared" si="86"/>
        <v>Reorder Required</v>
      </c>
      <c r="X612" s="9">
        <f t="shared" si="87"/>
        <v>45383</v>
      </c>
      <c r="Y612">
        <f t="shared" si="88"/>
        <v>-33</v>
      </c>
      <c r="Z612" t="str">
        <f t="shared" si="89"/>
        <v>Invalid Data</v>
      </c>
    </row>
    <row r="613" spans="1:26" x14ac:dyDescent="0.4">
      <c r="A613" t="s">
        <v>2580</v>
      </c>
      <c r="B613" t="s">
        <v>1761</v>
      </c>
      <c r="C613" t="s">
        <v>169</v>
      </c>
      <c r="D613" t="s">
        <v>2581</v>
      </c>
      <c r="E613" t="s">
        <v>2582</v>
      </c>
      <c r="F613">
        <v>79</v>
      </c>
      <c r="G613">
        <v>28</v>
      </c>
      <c r="H613">
        <v>4</v>
      </c>
      <c r="I613" t="s">
        <v>320</v>
      </c>
      <c r="J613" s="7">
        <f t="shared" si="81"/>
        <v>15</v>
      </c>
      <c r="K613" s="1">
        <v>45659</v>
      </c>
      <c r="L613" s="1">
        <f t="shared" si="82"/>
        <v>45659</v>
      </c>
      <c r="M613" t="s">
        <v>567</v>
      </c>
      <c r="N613" s="1">
        <f t="shared" si="83"/>
        <v>45555</v>
      </c>
      <c r="O613" t="s">
        <v>807</v>
      </c>
      <c r="P613" s="1">
        <f t="shared" si="84"/>
        <v>45429</v>
      </c>
      <c r="Q613" t="s">
        <v>2583</v>
      </c>
      <c r="R613">
        <v>42</v>
      </c>
      <c r="S613">
        <v>46</v>
      </c>
      <c r="T613" t="s">
        <v>51</v>
      </c>
      <c r="U613" s="8">
        <v>630</v>
      </c>
      <c r="V613" s="8">
        <f t="shared" si="85"/>
        <v>1185</v>
      </c>
      <c r="W613" t="str">
        <f t="shared" si="86"/>
        <v>Sufficient Stock</v>
      </c>
      <c r="X613" s="9">
        <f t="shared" si="87"/>
        <v>45658</v>
      </c>
      <c r="Y613">
        <f t="shared" si="88"/>
        <v>-230</v>
      </c>
      <c r="Z613" t="str">
        <f t="shared" si="89"/>
        <v>Invalid Data</v>
      </c>
    </row>
    <row r="614" spans="1:26" x14ac:dyDescent="0.4">
      <c r="A614" t="s">
        <v>2584</v>
      </c>
      <c r="B614" t="s">
        <v>203</v>
      </c>
      <c r="C614" t="s">
        <v>77</v>
      </c>
      <c r="D614" t="s">
        <v>2585</v>
      </c>
      <c r="E614" t="s">
        <v>494</v>
      </c>
      <c r="F614">
        <v>78</v>
      </c>
      <c r="G614">
        <v>61</v>
      </c>
      <c r="H614">
        <v>6</v>
      </c>
      <c r="I614" t="s">
        <v>206</v>
      </c>
      <c r="J614" s="7">
        <f t="shared" si="81"/>
        <v>0.8</v>
      </c>
      <c r="K614" t="s">
        <v>1129</v>
      </c>
      <c r="L614" s="1">
        <f t="shared" si="82"/>
        <v>45439</v>
      </c>
      <c r="M614" s="1">
        <v>45453</v>
      </c>
      <c r="N614" s="1">
        <f t="shared" si="83"/>
        <v>45453</v>
      </c>
      <c r="O614" t="s">
        <v>99</v>
      </c>
      <c r="P614" s="1">
        <f t="shared" si="84"/>
        <v>45644</v>
      </c>
      <c r="Q614" t="s">
        <v>2586</v>
      </c>
      <c r="R614">
        <v>49</v>
      </c>
      <c r="S614">
        <v>60</v>
      </c>
      <c r="T614" t="s">
        <v>51</v>
      </c>
      <c r="U614" s="8">
        <v>39.200000000000003</v>
      </c>
      <c r="V614" s="8">
        <f t="shared" si="85"/>
        <v>62.400000000000006</v>
      </c>
      <c r="W614" t="str">
        <f t="shared" si="86"/>
        <v>Sufficient Stock</v>
      </c>
      <c r="X614" s="9">
        <f t="shared" si="87"/>
        <v>45413</v>
      </c>
      <c r="Y614">
        <f t="shared" si="88"/>
        <v>205</v>
      </c>
      <c r="Z614" t="str">
        <f t="shared" si="89"/>
        <v>Low Risk</v>
      </c>
    </row>
    <row r="615" spans="1:26" x14ac:dyDescent="0.4">
      <c r="A615" t="s">
        <v>2587</v>
      </c>
      <c r="B615" t="s">
        <v>17</v>
      </c>
      <c r="C615" t="s">
        <v>18</v>
      </c>
      <c r="D615" t="s">
        <v>2588</v>
      </c>
      <c r="E615" t="s">
        <v>2589</v>
      </c>
      <c r="F615">
        <v>22</v>
      </c>
      <c r="G615">
        <v>10</v>
      </c>
      <c r="H615">
        <v>53</v>
      </c>
      <c r="I615" t="s">
        <v>1155</v>
      </c>
      <c r="J615" s="7">
        <f t="shared" si="81"/>
        <v>4.25</v>
      </c>
      <c r="K615" s="1">
        <v>45512</v>
      </c>
      <c r="L615" s="1">
        <f t="shared" si="82"/>
        <v>45512</v>
      </c>
      <c r="M615" t="s">
        <v>1272</v>
      </c>
      <c r="N615" s="1">
        <f t="shared" si="83"/>
        <v>45591</v>
      </c>
      <c r="O615" t="s">
        <v>1482</v>
      </c>
      <c r="P615" s="1">
        <f t="shared" si="84"/>
        <v>45396</v>
      </c>
      <c r="Q615" t="s">
        <v>2590</v>
      </c>
      <c r="R615">
        <v>64</v>
      </c>
      <c r="S615">
        <v>7</v>
      </c>
      <c r="T615" t="s">
        <v>51</v>
      </c>
      <c r="U615" s="8">
        <v>272</v>
      </c>
      <c r="V615" s="8">
        <f t="shared" si="85"/>
        <v>93.5</v>
      </c>
      <c r="W615" t="str">
        <f t="shared" si="86"/>
        <v>Sufficient Stock</v>
      </c>
      <c r="X615" s="9">
        <f t="shared" si="87"/>
        <v>45505</v>
      </c>
      <c r="Y615">
        <f t="shared" si="88"/>
        <v>-116</v>
      </c>
      <c r="Z615" t="str">
        <f t="shared" si="89"/>
        <v>Invalid Data</v>
      </c>
    </row>
    <row r="616" spans="1:26" x14ac:dyDescent="0.4">
      <c r="A616" t="s">
        <v>2591</v>
      </c>
      <c r="B616" t="s">
        <v>2592</v>
      </c>
      <c r="C616" t="s">
        <v>77</v>
      </c>
      <c r="D616" t="s">
        <v>2593</v>
      </c>
      <c r="E616" t="s">
        <v>2594</v>
      </c>
      <c r="F616">
        <v>10</v>
      </c>
      <c r="G616">
        <v>17</v>
      </c>
      <c r="H616">
        <v>70</v>
      </c>
      <c r="I616" t="s">
        <v>2595</v>
      </c>
      <c r="J616" s="7">
        <f t="shared" si="81"/>
        <v>0.2</v>
      </c>
      <c r="K616" t="s">
        <v>655</v>
      </c>
      <c r="L616" s="1">
        <f t="shared" si="82"/>
        <v>45655</v>
      </c>
      <c r="M616" t="s">
        <v>701</v>
      </c>
      <c r="N616" s="1">
        <f t="shared" si="83"/>
        <v>45649</v>
      </c>
      <c r="O616" s="1">
        <v>45513</v>
      </c>
      <c r="P616" s="1">
        <f t="shared" si="84"/>
        <v>45513</v>
      </c>
      <c r="Q616" t="s">
        <v>2596</v>
      </c>
      <c r="R616">
        <v>100</v>
      </c>
      <c r="S616">
        <v>63</v>
      </c>
      <c r="T616" t="s">
        <v>42</v>
      </c>
      <c r="U616" s="8">
        <v>20</v>
      </c>
      <c r="V616" s="8">
        <f t="shared" si="85"/>
        <v>2</v>
      </c>
      <c r="W616" t="str">
        <f t="shared" si="86"/>
        <v>Reorder Required</v>
      </c>
      <c r="X616" s="9">
        <f t="shared" si="87"/>
        <v>45627</v>
      </c>
      <c r="Y616">
        <f t="shared" si="88"/>
        <v>-142</v>
      </c>
      <c r="Z616" t="str">
        <f t="shared" si="89"/>
        <v>Invalid Data</v>
      </c>
    </row>
    <row r="617" spans="1:26" x14ac:dyDescent="0.4">
      <c r="A617" t="s">
        <v>2597</v>
      </c>
      <c r="B617" t="s">
        <v>517</v>
      </c>
      <c r="C617" t="s">
        <v>18</v>
      </c>
      <c r="D617" t="s">
        <v>2598</v>
      </c>
      <c r="E617" t="s">
        <v>850</v>
      </c>
      <c r="F617">
        <v>34</v>
      </c>
      <c r="G617">
        <v>32</v>
      </c>
      <c r="H617">
        <v>22</v>
      </c>
      <c r="I617" t="s">
        <v>21</v>
      </c>
      <c r="J617" s="7">
        <f t="shared" si="81"/>
        <v>4.5</v>
      </c>
      <c r="K617" s="1">
        <v>45327</v>
      </c>
      <c r="L617" s="1">
        <f t="shared" si="82"/>
        <v>45327</v>
      </c>
      <c r="M617" s="1">
        <v>45333</v>
      </c>
      <c r="N617" s="1">
        <f t="shared" si="83"/>
        <v>45333</v>
      </c>
      <c r="O617" s="1">
        <v>45840</v>
      </c>
      <c r="P617" s="1">
        <f t="shared" si="84"/>
        <v>45840</v>
      </c>
      <c r="Q617" t="s">
        <v>2599</v>
      </c>
      <c r="R617">
        <v>42</v>
      </c>
      <c r="S617">
        <v>27</v>
      </c>
      <c r="T617" t="s">
        <v>51</v>
      </c>
      <c r="U617" s="8">
        <v>189</v>
      </c>
      <c r="V617" s="8">
        <f t="shared" si="85"/>
        <v>153</v>
      </c>
      <c r="W617" t="str">
        <f t="shared" si="86"/>
        <v>Sufficient Stock</v>
      </c>
      <c r="X617" s="9">
        <f t="shared" si="87"/>
        <v>45323</v>
      </c>
      <c r="Y617">
        <f t="shared" si="88"/>
        <v>513</v>
      </c>
      <c r="Z617" t="str">
        <f t="shared" si="89"/>
        <v>Safe</v>
      </c>
    </row>
    <row r="618" spans="1:26" x14ac:dyDescent="0.4">
      <c r="A618" t="s">
        <v>2600</v>
      </c>
      <c r="B618" t="s">
        <v>492</v>
      </c>
      <c r="C618" t="s">
        <v>77</v>
      </c>
      <c r="D618" t="s">
        <v>2601</v>
      </c>
      <c r="E618" t="s">
        <v>623</v>
      </c>
      <c r="F618">
        <v>74</v>
      </c>
      <c r="G618">
        <v>62</v>
      </c>
      <c r="H618">
        <v>6</v>
      </c>
      <c r="I618" t="s">
        <v>57</v>
      </c>
      <c r="J618" s="7">
        <f t="shared" si="81"/>
        <v>4</v>
      </c>
      <c r="K618" t="s">
        <v>1508</v>
      </c>
      <c r="L618" s="1">
        <f t="shared" si="82"/>
        <v>45653</v>
      </c>
      <c r="M618" t="s">
        <v>193</v>
      </c>
      <c r="N618" s="1">
        <f t="shared" si="83"/>
        <v>45670</v>
      </c>
      <c r="O618" t="s">
        <v>882</v>
      </c>
      <c r="P618" s="1">
        <f t="shared" si="84"/>
        <v>45518</v>
      </c>
      <c r="Q618" t="s">
        <v>2602</v>
      </c>
      <c r="R618">
        <v>65</v>
      </c>
      <c r="S618">
        <v>96</v>
      </c>
      <c r="T618" t="s">
        <v>51</v>
      </c>
      <c r="U618" s="8">
        <v>260</v>
      </c>
      <c r="V618" s="8">
        <f t="shared" si="85"/>
        <v>296</v>
      </c>
      <c r="W618" t="str">
        <f t="shared" si="86"/>
        <v>Sufficient Stock</v>
      </c>
      <c r="X618" s="9">
        <f t="shared" si="87"/>
        <v>45627</v>
      </c>
      <c r="Y618">
        <f t="shared" si="88"/>
        <v>-135</v>
      </c>
      <c r="Z618" t="str">
        <f t="shared" si="89"/>
        <v>Invalid Data</v>
      </c>
    </row>
    <row r="619" spans="1:26" x14ac:dyDescent="0.4">
      <c r="A619" t="s">
        <v>2603</v>
      </c>
      <c r="B619" t="s">
        <v>17</v>
      </c>
      <c r="C619" t="s">
        <v>18</v>
      </c>
      <c r="D619" t="s">
        <v>2604</v>
      </c>
      <c r="E619" t="s">
        <v>996</v>
      </c>
      <c r="F619">
        <v>10</v>
      </c>
      <c r="G619">
        <v>11</v>
      </c>
      <c r="H619">
        <v>29</v>
      </c>
      <c r="I619" t="s">
        <v>750</v>
      </c>
      <c r="J619" s="7">
        <f t="shared" si="81"/>
        <v>4.3</v>
      </c>
      <c r="K619" t="s">
        <v>827</v>
      </c>
      <c r="L619" s="1">
        <f t="shared" si="82"/>
        <v>45701</v>
      </c>
      <c r="M619" s="1">
        <v>45514</v>
      </c>
      <c r="N619" s="1">
        <f t="shared" si="83"/>
        <v>45514</v>
      </c>
      <c r="O619" t="s">
        <v>322</v>
      </c>
      <c r="P619" s="1">
        <f t="shared" si="84"/>
        <v>45495</v>
      </c>
      <c r="Q619" t="s">
        <v>2605</v>
      </c>
      <c r="R619">
        <v>29</v>
      </c>
      <c r="S619">
        <v>72</v>
      </c>
      <c r="T619" t="s">
        <v>42</v>
      </c>
      <c r="U619" s="8">
        <v>124.69999999999999</v>
      </c>
      <c r="V619" s="8">
        <f t="shared" si="85"/>
        <v>43</v>
      </c>
      <c r="W619" t="str">
        <f t="shared" si="86"/>
        <v>Reorder Required</v>
      </c>
      <c r="X619" s="9">
        <f t="shared" si="87"/>
        <v>45689</v>
      </c>
      <c r="Y619">
        <f t="shared" si="88"/>
        <v>-206</v>
      </c>
      <c r="Z619" t="str">
        <f t="shared" si="89"/>
        <v>Invalid Data</v>
      </c>
    </row>
    <row r="620" spans="1:26" x14ac:dyDescent="0.4">
      <c r="A620" t="s">
        <v>2606</v>
      </c>
      <c r="B620" t="s">
        <v>1046</v>
      </c>
      <c r="C620" t="s">
        <v>18</v>
      </c>
      <c r="D620" t="s">
        <v>2607</v>
      </c>
      <c r="E620" t="s">
        <v>1183</v>
      </c>
      <c r="F620">
        <v>11</v>
      </c>
      <c r="G620">
        <v>87</v>
      </c>
      <c r="H620">
        <v>64</v>
      </c>
      <c r="I620" t="s">
        <v>21</v>
      </c>
      <c r="J620" s="7">
        <f t="shared" si="81"/>
        <v>4.5</v>
      </c>
      <c r="K620" t="s">
        <v>382</v>
      </c>
      <c r="L620" s="1">
        <f t="shared" si="82"/>
        <v>45534</v>
      </c>
      <c r="M620" s="1">
        <v>45510</v>
      </c>
      <c r="N620" s="1">
        <f t="shared" si="83"/>
        <v>45510</v>
      </c>
      <c r="O620" s="1">
        <v>45418</v>
      </c>
      <c r="P620" s="1">
        <f t="shared" si="84"/>
        <v>45418</v>
      </c>
      <c r="Q620" t="s">
        <v>2608</v>
      </c>
      <c r="R620">
        <v>29</v>
      </c>
      <c r="S620">
        <v>6</v>
      </c>
      <c r="T620" t="s">
        <v>51</v>
      </c>
      <c r="U620" s="8">
        <v>130.5</v>
      </c>
      <c r="V620" s="8">
        <f t="shared" si="85"/>
        <v>49.5</v>
      </c>
      <c r="W620" t="str">
        <f t="shared" si="86"/>
        <v>Reorder Required</v>
      </c>
      <c r="X620" s="9">
        <f t="shared" si="87"/>
        <v>45505</v>
      </c>
      <c r="Y620">
        <f t="shared" si="88"/>
        <v>-116</v>
      </c>
      <c r="Z620" t="str">
        <f t="shared" si="89"/>
        <v>Invalid Data</v>
      </c>
    </row>
    <row r="621" spans="1:26" x14ac:dyDescent="0.4">
      <c r="A621" t="s">
        <v>2609</v>
      </c>
      <c r="B621" t="s">
        <v>1383</v>
      </c>
      <c r="C621" t="s">
        <v>54</v>
      </c>
      <c r="D621" t="s">
        <v>2610</v>
      </c>
      <c r="E621" t="s">
        <v>1957</v>
      </c>
      <c r="F621">
        <v>99</v>
      </c>
      <c r="G621">
        <v>68</v>
      </c>
      <c r="H621">
        <v>1</v>
      </c>
      <c r="I621" t="s">
        <v>1386</v>
      </c>
      <c r="J621" s="7">
        <f t="shared" si="81"/>
        <v>5.5</v>
      </c>
      <c r="K621" t="s">
        <v>866</v>
      </c>
      <c r="L621" s="1">
        <f t="shared" si="82"/>
        <v>45486</v>
      </c>
      <c r="M621" t="s">
        <v>656</v>
      </c>
      <c r="N621" s="1">
        <f t="shared" si="83"/>
        <v>45347</v>
      </c>
      <c r="O621" s="1">
        <v>45513</v>
      </c>
      <c r="P621" s="1">
        <f t="shared" si="84"/>
        <v>45513</v>
      </c>
      <c r="Q621" t="s">
        <v>2611</v>
      </c>
      <c r="R621">
        <v>59</v>
      </c>
      <c r="S621">
        <v>16</v>
      </c>
      <c r="T621" t="s">
        <v>26</v>
      </c>
      <c r="U621" s="8">
        <v>324.5</v>
      </c>
      <c r="V621" s="8">
        <f t="shared" si="85"/>
        <v>544.5</v>
      </c>
      <c r="W621" t="str">
        <f t="shared" si="86"/>
        <v>Sufficient Stock</v>
      </c>
      <c r="X621" s="9">
        <f t="shared" si="87"/>
        <v>45474</v>
      </c>
      <c r="Y621">
        <f t="shared" si="88"/>
        <v>27</v>
      </c>
      <c r="Z621" t="str">
        <f t="shared" si="89"/>
        <v>Critical</v>
      </c>
    </row>
    <row r="622" spans="1:26" x14ac:dyDescent="0.4">
      <c r="A622" t="s">
        <v>2612</v>
      </c>
      <c r="B622" t="s">
        <v>144</v>
      </c>
      <c r="C622" t="s">
        <v>77</v>
      </c>
      <c r="D622" t="s">
        <v>2613</v>
      </c>
      <c r="E622" t="s">
        <v>887</v>
      </c>
      <c r="F622">
        <v>64</v>
      </c>
      <c r="G622">
        <v>14</v>
      </c>
      <c r="H622">
        <v>44</v>
      </c>
      <c r="I622" t="s">
        <v>147</v>
      </c>
      <c r="J622" s="7">
        <f t="shared" si="81"/>
        <v>8</v>
      </c>
      <c r="K622" t="s">
        <v>260</v>
      </c>
      <c r="L622" s="1">
        <f t="shared" si="82"/>
        <v>45466</v>
      </c>
      <c r="M622" t="s">
        <v>347</v>
      </c>
      <c r="N622" s="1">
        <f t="shared" si="83"/>
        <v>45428</v>
      </c>
      <c r="O622" t="s">
        <v>655</v>
      </c>
      <c r="P622" s="1">
        <f t="shared" si="84"/>
        <v>45655</v>
      </c>
      <c r="Q622" t="s">
        <v>2614</v>
      </c>
      <c r="R622">
        <v>53</v>
      </c>
      <c r="S622">
        <v>33</v>
      </c>
      <c r="T622" t="s">
        <v>51</v>
      </c>
      <c r="U622" s="8">
        <v>424</v>
      </c>
      <c r="V622" s="8">
        <f t="shared" si="85"/>
        <v>512</v>
      </c>
      <c r="W622" t="str">
        <f t="shared" si="86"/>
        <v>Sufficient Stock</v>
      </c>
      <c r="X622" s="9">
        <f t="shared" si="87"/>
        <v>45444</v>
      </c>
      <c r="Y622">
        <f t="shared" si="88"/>
        <v>189</v>
      </c>
      <c r="Z622" t="str">
        <f t="shared" si="89"/>
        <v>Low Risk</v>
      </c>
    </row>
    <row r="623" spans="1:26" x14ac:dyDescent="0.4">
      <c r="A623" t="s">
        <v>2615</v>
      </c>
      <c r="B623" t="s">
        <v>225</v>
      </c>
      <c r="C623" t="s">
        <v>54</v>
      </c>
      <c r="D623" t="s">
        <v>2616</v>
      </c>
      <c r="E623" t="s">
        <v>2617</v>
      </c>
      <c r="F623">
        <v>58</v>
      </c>
      <c r="G623">
        <v>55</v>
      </c>
      <c r="H623">
        <v>5</v>
      </c>
      <c r="I623" t="s">
        <v>440</v>
      </c>
      <c r="J623" s="7">
        <f t="shared" si="81"/>
        <v>4.45</v>
      </c>
      <c r="K623" t="s">
        <v>509</v>
      </c>
      <c r="L623" s="1">
        <f t="shared" si="82"/>
        <v>45657</v>
      </c>
      <c r="M623" t="s">
        <v>49</v>
      </c>
      <c r="N623" s="1">
        <f t="shared" si="83"/>
        <v>45399</v>
      </c>
      <c r="O623" s="1">
        <v>45809</v>
      </c>
      <c r="P623" s="1">
        <f t="shared" si="84"/>
        <v>45809</v>
      </c>
      <c r="Q623" t="s">
        <v>2618</v>
      </c>
      <c r="R623">
        <v>62</v>
      </c>
      <c r="S623">
        <v>89</v>
      </c>
      <c r="T623" t="s">
        <v>51</v>
      </c>
      <c r="U623" s="8">
        <v>275.90000000000003</v>
      </c>
      <c r="V623" s="8">
        <f t="shared" si="85"/>
        <v>258.10000000000002</v>
      </c>
      <c r="W623" t="str">
        <f t="shared" si="86"/>
        <v>Sufficient Stock</v>
      </c>
      <c r="X623" s="9">
        <f t="shared" si="87"/>
        <v>45627</v>
      </c>
      <c r="Y623">
        <f t="shared" si="88"/>
        <v>152</v>
      </c>
      <c r="Z623" t="str">
        <f t="shared" si="89"/>
        <v>Medium Risk</v>
      </c>
    </row>
    <row r="624" spans="1:26" x14ac:dyDescent="0.4">
      <c r="A624" t="s">
        <v>2619</v>
      </c>
      <c r="B624" t="s">
        <v>67</v>
      </c>
      <c r="C624" t="s">
        <v>68</v>
      </c>
      <c r="D624" t="s">
        <v>2620</v>
      </c>
      <c r="E624" t="s">
        <v>227</v>
      </c>
      <c r="F624">
        <v>26</v>
      </c>
      <c r="G624">
        <v>100</v>
      </c>
      <c r="H624">
        <v>13</v>
      </c>
      <c r="I624" t="s">
        <v>71</v>
      </c>
      <c r="J624" s="7">
        <f t="shared" si="81"/>
        <v>2.5</v>
      </c>
      <c r="K624" t="s">
        <v>1418</v>
      </c>
      <c r="L624" s="1">
        <f t="shared" si="82"/>
        <v>45619</v>
      </c>
      <c r="M624" t="s">
        <v>514</v>
      </c>
      <c r="N624" s="1">
        <f t="shared" si="83"/>
        <v>45553</v>
      </c>
      <c r="O624" s="1">
        <v>45839</v>
      </c>
      <c r="P624" s="1">
        <f t="shared" si="84"/>
        <v>45839</v>
      </c>
      <c r="Q624" t="s">
        <v>2621</v>
      </c>
      <c r="R624">
        <v>45</v>
      </c>
      <c r="S624">
        <v>45</v>
      </c>
      <c r="T624" t="s">
        <v>26</v>
      </c>
      <c r="U624" s="8">
        <v>112.5</v>
      </c>
      <c r="V624" s="8">
        <f t="shared" si="85"/>
        <v>65</v>
      </c>
      <c r="W624" t="str">
        <f t="shared" si="86"/>
        <v>Reorder Required</v>
      </c>
      <c r="X624" s="9">
        <f t="shared" si="87"/>
        <v>45597</v>
      </c>
      <c r="Y624">
        <f t="shared" si="88"/>
        <v>220</v>
      </c>
      <c r="Z624" t="str">
        <f t="shared" si="89"/>
        <v>Low Risk</v>
      </c>
    </row>
    <row r="625" spans="1:26" x14ac:dyDescent="0.4">
      <c r="A625" t="s">
        <v>2622</v>
      </c>
      <c r="B625" t="s">
        <v>196</v>
      </c>
      <c r="C625" t="s">
        <v>18</v>
      </c>
      <c r="D625" t="s">
        <v>2623</v>
      </c>
      <c r="E625" t="s">
        <v>832</v>
      </c>
      <c r="F625">
        <v>72</v>
      </c>
      <c r="G625">
        <v>72</v>
      </c>
      <c r="H625">
        <v>68</v>
      </c>
      <c r="I625" t="s">
        <v>47</v>
      </c>
      <c r="J625" s="7">
        <f t="shared" si="81"/>
        <v>1.5</v>
      </c>
      <c r="K625" t="s">
        <v>842</v>
      </c>
      <c r="L625" s="1">
        <f t="shared" si="82"/>
        <v>45564</v>
      </c>
      <c r="M625" t="s">
        <v>207</v>
      </c>
      <c r="N625" s="1">
        <f t="shared" si="83"/>
        <v>45469</v>
      </c>
      <c r="O625" t="s">
        <v>341</v>
      </c>
      <c r="P625" s="1">
        <f t="shared" si="84"/>
        <v>45613</v>
      </c>
      <c r="Q625" t="s">
        <v>2624</v>
      </c>
      <c r="R625">
        <v>39</v>
      </c>
      <c r="S625">
        <v>78</v>
      </c>
      <c r="T625" t="s">
        <v>51</v>
      </c>
      <c r="U625" s="8">
        <v>58.5</v>
      </c>
      <c r="V625" s="8">
        <f t="shared" si="85"/>
        <v>108</v>
      </c>
      <c r="W625" t="str">
        <f t="shared" si="86"/>
        <v>Reorder Required</v>
      </c>
      <c r="X625" s="9">
        <f t="shared" si="87"/>
        <v>45536</v>
      </c>
      <c r="Y625">
        <f t="shared" si="88"/>
        <v>49</v>
      </c>
      <c r="Z625" t="str">
        <f t="shared" si="89"/>
        <v>High Risk</v>
      </c>
    </row>
    <row r="626" spans="1:26" x14ac:dyDescent="0.4">
      <c r="A626" t="s">
        <v>2625</v>
      </c>
      <c r="B626" t="s">
        <v>470</v>
      </c>
      <c r="C626" t="s">
        <v>77</v>
      </c>
      <c r="D626" t="s">
        <v>2626</v>
      </c>
      <c r="E626" t="s">
        <v>1280</v>
      </c>
      <c r="F626">
        <v>36</v>
      </c>
      <c r="G626">
        <v>82</v>
      </c>
      <c r="H626">
        <v>85</v>
      </c>
      <c r="I626" t="s">
        <v>2627</v>
      </c>
      <c r="J626" s="7">
        <f t="shared" si="81"/>
        <v>7.1</v>
      </c>
      <c r="K626" t="s">
        <v>828</v>
      </c>
      <c r="L626" s="1">
        <f t="shared" si="82"/>
        <v>45410</v>
      </c>
      <c r="M626" t="s">
        <v>1209</v>
      </c>
      <c r="N626" s="1">
        <f t="shared" si="83"/>
        <v>45380</v>
      </c>
      <c r="O626" s="1">
        <v>45420</v>
      </c>
      <c r="P626" s="1">
        <f t="shared" si="84"/>
        <v>45420</v>
      </c>
      <c r="Q626" t="s">
        <v>2628</v>
      </c>
      <c r="R626">
        <v>27</v>
      </c>
      <c r="S626">
        <v>67</v>
      </c>
      <c r="T626" t="s">
        <v>26</v>
      </c>
      <c r="U626" s="8">
        <v>191.7</v>
      </c>
      <c r="V626" s="8">
        <f t="shared" si="85"/>
        <v>255.6</v>
      </c>
      <c r="W626" t="str">
        <f t="shared" si="86"/>
        <v>Reorder Required</v>
      </c>
      <c r="X626" s="9">
        <f t="shared" si="87"/>
        <v>45383</v>
      </c>
      <c r="Y626">
        <f t="shared" si="88"/>
        <v>10</v>
      </c>
      <c r="Z626" t="str">
        <f t="shared" si="89"/>
        <v>Critical</v>
      </c>
    </row>
    <row r="627" spans="1:26" x14ac:dyDescent="0.4">
      <c r="A627" t="s">
        <v>2629</v>
      </c>
      <c r="B627" t="s">
        <v>210</v>
      </c>
      <c r="C627" t="s">
        <v>54</v>
      </c>
      <c r="D627" t="s">
        <v>2630</v>
      </c>
      <c r="E627" t="s">
        <v>2631</v>
      </c>
      <c r="F627">
        <v>24</v>
      </c>
      <c r="G627">
        <v>21</v>
      </c>
      <c r="H627">
        <v>4</v>
      </c>
      <c r="I627" t="s">
        <v>39</v>
      </c>
      <c r="J627" s="7">
        <f t="shared" si="81"/>
        <v>6</v>
      </c>
      <c r="K627" s="1">
        <v>45416</v>
      </c>
      <c r="L627" s="1">
        <f t="shared" si="82"/>
        <v>45416</v>
      </c>
      <c r="M627" t="s">
        <v>1488</v>
      </c>
      <c r="N627" s="1">
        <f t="shared" si="83"/>
        <v>45470</v>
      </c>
      <c r="O627" t="s">
        <v>267</v>
      </c>
      <c r="P627" s="1">
        <f t="shared" si="84"/>
        <v>45593</v>
      </c>
      <c r="Q627" t="s">
        <v>2632</v>
      </c>
      <c r="R627">
        <v>85</v>
      </c>
      <c r="S627">
        <v>17</v>
      </c>
      <c r="T627" t="s">
        <v>42</v>
      </c>
      <c r="U627" s="8">
        <v>510</v>
      </c>
      <c r="V627" s="8">
        <f t="shared" si="85"/>
        <v>144</v>
      </c>
      <c r="W627" t="str">
        <f t="shared" si="86"/>
        <v>Sufficient Stock</v>
      </c>
      <c r="X627" s="9">
        <f t="shared" si="87"/>
        <v>45413</v>
      </c>
      <c r="Y627">
        <f t="shared" si="88"/>
        <v>177</v>
      </c>
      <c r="Z627" t="str">
        <f t="shared" si="89"/>
        <v>Medium Risk</v>
      </c>
    </row>
    <row r="628" spans="1:26" x14ac:dyDescent="0.4">
      <c r="A628" t="s">
        <v>2633</v>
      </c>
      <c r="B628" t="s">
        <v>271</v>
      </c>
      <c r="C628" t="s">
        <v>54</v>
      </c>
      <c r="D628" t="s">
        <v>2634</v>
      </c>
      <c r="E628" t="s">
        <v>1061</v>
      </c>
      <c r="F628">
        <v>16</v>
      </c>
      <c r="G628">
        <v>75</v>
      </c>
      <c r="H628">
        <v>42</v>
      </c>
      <c r="I628" t="s">
        <v>106</v>
      </c>
      <c r="J628" s="7">
        <f t="shared" si="81"/>
        <v>2</v>
      </c>
      <c r="K628" t="s">
        <v>274</v>
      </c>
      <c r="L628" s="1">
        <f t="shared" si="82"/>
        <v>45496</v>
      </c>
      <c r="M628" t="s">
        <v>549</v>
      </c>
      <c r="N628" s="1">
        <f t="shared" si="83"/>
        <v>45372</v>
      </c>
      <c r="O628" t="s">
        <v>100</v>
      </c>
      <c r="P628" s="1">
        <f t="shared" si="84"/>
        <v>45436</v>
      </c>
      <c r="Q628" t="s">
        <v>2635</v>
      </c>
      <c r="R628">
        <v>22</v>
      </c>
      <c r="S628">
        <v>46</v>
      </c>
      <c r="T628" t="s">
        <v>51</v>
      </c>
      <c r="U628" s="8">
        <v>44</v>
      </c>
      <c r="V628" s="8">
        <f t="shared" si="85"/>
        <v>32</v>
      </c>
      <c r="W628" t="str">
        <f t="shared" si="86"/>
        <v>Reorder Required</v>
      </c>
      <c r="X628" s="9">
        <f t="shared" si="87"/>
        <v>45474</v>
      </c>
      <c r="Y628">
        <f t="shared" si="88"/>
        <v>-60</v>
      </c>
      <c r="Z628" t="str">
        <f t="shared" si="89"/>
        <v>Invalid Data</v>
      </c>
    </row>
    <row r="629" spans="1:26" x14ac:dyDescent="0.4">
      <c r="A629" t="s">
        <v>2636</v>
      </c>
      <c r="B629" t="s">
        <v>709</v>
      </c>
      <c r="C629" t="s">
        <v>54</v>
      </c>
      <c r="D629" t="s">
        <v>2637</v>
      </c>
      <c r="E629" t="s">
        <v>2638</v>
      </c>
      <c r="F629">
        <v>39</v>
      </c>
      <c r="G629">
        <v>19</v>
      </c>
      <c r="H629">
        <v>18</v>
      </c>
      <c r="I629" t="s">
        <v>2639</v>
      </c>
      <c r="J629" s="7">
        <f t="shared" si="81"/>
        <v>13.99</v>
      </c>
      <c r="K629" t="s">
        <v>666</v>
      </c>
      <c r="L629" s="1">
        <f t="shared" si="82"/>
        <v>45381</v>
      </c>
      <c r="M629" t="s">
        <v>116</v>
      </c>
      <c r="N629" s="1">
        <f t="shared" si="83"/>
        <v>45491</v>
      </c>
      <c r="O629" t="s">
        <v>1174</v>
      </c>
      <c r="P629" s="1">
        <f t="shared" si="84"/>
        <v>45677</v>
      </c>
      <c r="Q629" t="s">
        <v>2640</v>
      </c>
      <c r="R629">
        <v>58</v>
      </c>
      <c r="S629">
        <v>90</v>
      </c>
      <c r="T629" t="s">
        <v>51</v>
      </c>
      <c r="U629" s="8">
        <v>811.42</v>
      </c>
      <c r="V629" s="8">
        <f t="shared" si="85"/>
        <v>545.61</v>
      </c>
      <c r="W629" t="str">
        <f t="shared" si="86"/>
        <v>Sufficient Stock</v>
      </c>
      <c r="X629" s="9">
        <f t="shared" si="87"/>
        <v>45352</v>
      </c>
      <c r="Y629">
        <f t="shared" si="88"/>
        <v>296</v>
      </c>
      <c r="Z629" t="str">
        <f t="shared" si="89"/>
        <v>Low Risk</v>
      </c>
    </row>
    <row r="630" spans="1:26" x14ac:dyDescent="0.4">
      <c r="A630" t="s">
        <v>2641</v>
      </c>
      <c r="B630" t="s">
        <v>290</v>
      </c>
      <c r="C630" t="s">
        <v>54</v>
      </c>
      <c r="D630" t="s">
        <v>2642</v>
      </c>
      <c r="E630" t="s">
        <v>2643</v>
      </c>
      <c r="F630">
        <v>89</v>
      </c>
      <c r="G630">
        <v>56</v>
      </c>
      <c r="H630">
        <v>74</v>
      </c>
      <c r="I630" t="s">
        <v>71</v>
      </c>
      <c r="J630" s="7">
        <f t="shared" si="81"/>
        <v>2.5</v>
      </c>
      <c r="K630" s="1">
        <v>45576</v>
      </c>
      <c r="L630" s="1">
        <f t="shared" si="82"/>
        <v>45576</v>
      </c>
      <c r="M630" t="s">
        <v>1387</v>
      </c>
      <c r="N630" s="1">
        <f t="shared" si="83"/>
        <v>45503</v>
      </c>
      <c r="O630" s="1">
        <v>45301</v>
      </c>
      <c r="P630" s="1">
        <f t="shared" si="84"/>
        <v>45301</v>
      </c>
      <c r="Q630" t="s">
        <v>2644</v>
      </c>
      <c r="R630">
        <v>27</v>
      </c>
      <c r="S630">
        <v>51</v>
      </c>
      <c r="T630" t="s">
        <v>42</v>
      </c>
      <c r="U630" s="8">
        <v>67.5</v>
      </c>
      <c r="V630" s="8">
        <f t="shared" si="85"/>
        <v>222.5</v>
      </c>
      <c r="W630" t="str">
        <f t="shared" si="86"/>
        <v>Sufficient Stock</v>
      </c>
      <c r="X630" s="9">
        <f t="shared" si="87"/>
        <v>45566</v>
      </c>
      <c r="Y630">
        <f t="shared" si="88"/>
        <v>-275</v>
      </c>
      <c r="Z630" t="str">
        <f t="shared" si="89"/>
        <v>Invalid Data</v>
      </c>
    </row>
    <row r="631" spans="1:26" x14ac:dyDescent="0.4">
      <c r="A631" t="s">
        <v>2645</v>
      </c>
      <c r="B631" t="s">
        <v>2561</v>
      </c>
      <c r="C631" t="s">
        <v>54</v>
      </c>
      <c r="D631" t="s">
        <v>2646</v>
      </c>
      <c r="E631" t="s">
        <v>1581</v>
      </c>
      <c r="F631">
        <v>57</v>
      </c>
      <c r="G631">
        <v>82</v>
      </c>
      <c r="H631">
        <v>59</v>
      </c>
      <c r="I631" t="s">
        <v>147</v>
      </c>
      <c r="J631" s="7">
        <f t="shared" si="81"/>
        <v>8</v>
      </c>
      <c r="K631" s="1">
        <v>45574</v>
      </c>
      <c r="L631" s="1">
        <f t="shared" si="82"/>
        <v>45574</v>
      </c>
      <c r="M631" t="s">
        <v>473</v>
      </c>
      <c r="N631" s="1">
        <f t="shared" si="83"/>
        <v>45616</v>
      </c>
      <c r="O631" s="1">
        <v>45602</v>
      </c>
      <c r="P631" s="1">
        <f t="shared" si="84"/>
        <v>45602</v>
      </c>
      <c r="Q631" t="s">
        <v>2647</v>
      </c>
      <c r="R631">
        <v>44</v>
      </c>
      <c r="S631">
        <v>57</v>
      </c>
      <c r="T631" t="s">
        <v>51</v>
      </c>
      <c r="U631" s="8">
        <v>352</v>
      </c>
      <c r="V631" s="8">
        <f t="shared" si="85"/>
        <v>456</v>
      </c>
      <c r="W631" t="str">
        <f t="shared" si="86"/>
        <v>Reorder Required</v>
      </c>
      <c r="X631" s="9">
        <f t="shared" si="87"/>
        <v>45566</v>
      </c>
      <c r="Y631">
        <f t="shared" si="88"/>
        <v>28</v>
      </c>
      <c r="Z631" t="str">
        <f t="shared" si="89"/>
        <v>Critical</v>
      </c>
    </row>
    <row r="632" spans="1:26" x14ac:dyDescent="0.4">
      <c r="A632" t="s">
        <v>2648</v>
      </c>
      <c r="B632" t="s">
        <v>255</v>
      </c>
      <c r="C632" t="s">
        <v>29</v>
      </c>
      <c r="D632" t="s">
        <v>2649</v>
      </c>
      <c r="E632" t="s">
        <v>2650</v>
      </c>
      <c r="F632">
        <v>61</v>
      </c>
      <c r="G632">
        <v>22</v>
      </c>
      <c r="H632">
        <v>98</v>
      </c>
      <c r="I632" t="s">
        <v>258</v>
      </c>
      <c r="J632" s="7">
        <f t="shared" si="81"/>
        <v>30</v>
      </c>
      <c r="K632" s="1">
        <v>45476</v>
      </c>
      <c r="L632" s="1">
        <f t="shared" si="82"/>
        <v>45476</v>
      </c>
      <c r="M632" s="1">
        <v>45332</v>
      </c>
      <c r="N632" s="1">
        <f t="shared" si="83"/>
        <v>45332</v>
      </c>
      <c r="O632" s="1">
        <v>45546</v>
      </c>
      <c r="P632" s="1">
        <f t="shared" si="84"/>
        <v>45546</v>
      </c>
      <c r="Q632" t="s">
        <v>2651</v>
      </c>
      <c r="R632">
        <v>90</v>
      </c>
      <c r="S632">
        <v>11</v>
      </c>
      <c r="T632" t="s">
        <v>51</v>
      </c>
      <c r="U632" s="8">
        <v>2700</v>
      </c>
      <c r="V632" s="8">
        <f t="shared" si="85"/>
        <v>1830</v>
      </c>
      <c r="W632" t="str">
        <f t="shared" si="86"/>
        <v>Sufficient Stock</v>
      </c>
      <c r="X632" s="9">
        <f t="shared" si="87"/>
        <v>45474</v>
      </c>
      <c r="Y632">
        <f t="shared" si="88"/>
        <v>70</v>
      </c>
      <c r="Z632" t="str">
        <f t="shared" si="89"/>
        <v>High Risk</v>
      </c>
    </row>
    <row r="633" spans="1:26" x14ac:dyDescent="0.4">
      <c r="A633" t="s">
        <v>2652</v>
      </c>
      <c r="B633" t="s">
        <v>296</v>
      </c>
      <c r="C633" t="s">
        <v>18</v>
      </c>
      <c r="D633" t="s">
        <v>2653</v>
      </c>
      <c r="E633" t="s">
        <v>1013</v>
      </c>
      <c r="F633">
        <v>56</v>
      </c>
      <c r="G633">
        <v>28</v>
      </c>
      <c r="H633">
        <v>76</v>
      </c>
      <c r="I633" t="s">
        <v>85</v>
      </c>
      <c r="J633" s="7">
        <f t="shared" si="81"/>
        <v>3</v>
      </c>
      <c r="K633" t="s">
        <v>455</v>
      </c>
      <c r="L633" s="1">
        <f t="shared" si="82"/>
        <v>45590</v>
      </c>
      <c r="M633" s="1">
        <v>45749</v>
      </c>
      <c r="N633" s="1">
        <f t="shared" si="83"/>
        <v>45749</v>
      </c>
      <c r="O633" s="1">
        <v>45331</v>
      </c>
      <c r="P633" s="1">
        <f t="shared" si="84"/>
        <v>45331</v>
      </c>
      <c r="Q633" t="s">
        <v>2654</v>
      </c>
      <c r="R633">
        <v>93</v>
      </c>
      <c r="S633">
        <v>69</v>
      </c>
      <c r="T633" t="s">
        <v>51</v>
      </c>
      <c r="U633" s="8">
        <v>279</v>
      </c>
      <c r="V633" s="8">
        <f t="shared" si="85"/>
        <v>168</v>
      </c>
      <c r="W633" t="str">
        <f t="shared" si="86"/>
        <v>Sufficient Stock</v>
      </c>
      <c r="X633" s="9">
        <f t="shared" si="87"/>
        <v>45566</v>
      </c>
      <c r="Y633">
        <f t="shared" si="88"/>
        <v>-259</v>
      </c>
      <c r="Z633" t="str">
        <f t="shared" si="89"/>
        <v>Invalid Data</v>
      </c>
    </row>
    <row r="634" spans="1:26" x14ac:dyDescent="0.4">
      <c r="A634" t="s">
        <v>2655</v>
      </c>
      <c r="B634" t="s">
        <v>545</v>
      </c>
      <c r="C634" t="s">
        <v>77</v>
      </c>
      <c r="D634" t="s">
        <v>2656</v>
      </c>
      <c r="E634" t="s">
        <v>1216</v>
      </c>
      <c r="F634">
        <v>21</v>
      </c>
      <c r="G634">
        <v>24</v>
      </c>
      <c r="H634">
        <v>2</v>
      </c>
      <c r="I634" t="s">
        <v>2657</v>
      </c>
      <c r="J634" s="7">
        <f t="shared" si="81"/>
        <v>2.35</v>
      </c>
      <c r="K634" s="1">
        <v>45416</v>
      </c>
      <c r="L634" s="1">
        <f t="shared" si="82"/>
        <v>45416</v>
      </c>
      <c r="M634" s="1">
        <v>45605</v>
      </c>
      <c r="N634" s="1">
        <f t="shared" si="83"/>
        <v>45605</v>
      </c>
      <c r="O634" t="s">
        <v>245</v>
      </c>
      <c r="P634" s="1">
        <f t="shared" si="84"/>
        <v>45563</v>
      </c>
      <c r="Q634" t="s">
        <v>2658</v>
      </c>
      <c r="R634">
        <v>87</v>
      </c>
      <c r="S634">
        <v>36</v>
      </c>
      <c r="T634" t="s">
        <v>42</v>
      </c>
      <c r="U634" s="8">
        <v>204.45000000000002</v>
      </c>
      <c r="V634" s="8">
        <f t="shared" si="85"/>
        <v>49.35</v>
      </c>
      <c r="W634" t="str">
        <f t="shared" si="86"/>
        <v>Reorder Required</v>
      </c>
      <c r="X634" s="9">
        <f t="shared" si="87"/>
        <v>45413</v>
      </c>
      <c r="Y634">
        <f t="shared" si="88"/>
        <v>147</v>
      </c>
      <c r="Z634" t="str">
        <f t="shared" si="89"/>
        <v>Medium Risk</v>
      </c>
    </row>
    <row r="635" spans="1:26" x14ac:dyDescent="0.4">
      <c r="A635" t="s">
        <v>2659</v>
      </c>
      <c r="B635" t="s">
        <v>1383</v>
      </c>
      <c r="C635" t="s">
        <v>54</v>
      </c>
      <c r="D635" t="s">
        <v>2660</v>
      </c>
      <c r="E635" t="s">
        <v>2661</v>
      </c>
      <c r="F635">
        <v>59</v>
      </c>
      <c r="G635">
        <v>29</v>
      </c>
      <c r="H635">
        <v>100</v>
      </c>
      <c r="I635" t="s">
        <v>1386</v>
      </c>
      <c r="J635" s="7">
        <f t="shared" si="81"/>
        <v>5.5</v>
      </c>
      <c r="K635" s="1">
        <v>45386</v>
      </c>
      <c r="L635" s="1">
        <f t="shared" si="82"/>
        <v>45386</v>
      </c>
      <c r="M635" t="s">
        <v>1188</v>
      </c>
      <c r="N635" s="1">
        <f t="shared" si="83"/>
        <v>45625</v>
      </c>
      <c r="O635" s="1">
        <v>45658</v>
      </c>
      <c r="P635" s="1">
        <f t="shared" si="84"/>
        <v>45658</v>
      </c>
      <c r="Q635" t="s">
        <v>2662</v>
      </c>
      <c r="R635">
        <v>74</v>
      </c>
      <c r="S635">
        <v>16</v>
      </c>
      <c r="T635" t="s">
        <v>26</v>
      </c>
      <c r="U635" s="8">
        <v>407</v>
      </c>
      <c r="V635" s="8">
        <f t="shared" si="85"/>
        <v>324.5</v>
      </c>
      <c r="W635" t="str">
        <f t="shared" si="86"/>
        <v>Sufficient Stock</v>
      </c>
      <c r="X635" s="9">
        <f t="shared" si="87"/>
        <v>45383</v>
      </c>
      <c r="Y635">
        <f t="shared" si="88"/>
        <v>272</v>
      </c>
      <c r="Z635" t="str">
        <f t="shared" si="89"/>
        <v>Low Risk</v>
      </c>
    </row>
    <row r="636" spans="1:26" x14ac:dyDescent="0.4">
      <c r="A636" t="s">
        <v>2663</v>
      </c>
      <c r="B636" t="s">
        <v>391</v>
      </c>
      <c r="C636" t="s">
        <v>29</v>
      </c>
      <c r="D636" t="s">
        <v>2664</v>
      </c>
      <c r="E636" t="s">
        <v>278</v>
      </c>
      <c r="F636">
        <v>20</v>
      </c>
      <c r="G636">
        <v>68</v>
      </c>
      <c r="H636">
        <v>20</v>
      </c>
      <c r="I636" t="s">
        <v>172</v>
      </c>
      <c r="J636" s="7">
        <f t="shared" si="81"/>
        <v>12</v>
      </c>
      <c r="K636" s="1">
        <v>45901</v>
      </c>
      <c r="L636" s="1">
        <f t="shared" si="82"/>
        <v>45901</v>
      </c>
      <c r="M636" s="1">
        <v>45389</v>
      </c>
      <c r="N636" s="1">
        <f t="shared" si="83"/>
        <v>45389</v>
      </c>
      <c r="O636" s="1">
        <v>45333</v>
      </c>
      <c r="P636" s="1">
        <f t="shared" si="84"/>
        <v>45333</v>
      </c>
      <c r="Q636" t="s">
        <v>2665</v>
      </c>
      <c r="R636">
        <v>38</v>
      </c>
      <c r="S636">
        <v>51</v>
      </c>
      <c r="T636" t="s">
        <v>51</v>
      </c>
      <c r="U636" s="8">
        <v>456</v>
      </c>
      <c r="V636" s="8">
        <f t="shared" si="85"/>
        <v>240</v>
      </c>
      <c r="W636" t="str">
        <f t="shared" si="86"/>
        <v>Reorder Required</v>
      </c>
      <c r="X636" s="9">
        <f t="shared" si="87"/>
        <v>45901</v>
      </c>
      <c r="Y636">
        <f t="shared" si="88"/>
        <v>-568</v>
      </c>
      <c r="Z636" t="str">
        <f t="shared" si="89"/>
        <v>Invalid Data</v>
      </c>
    </row>
    <row r="637" spans="1:26" x14ac:dyDescent="0.4">
      <c r="A637" t="s">
        <v>2666</v>
      </c>
      <c r="B637" t="s">
        <v>111</v>
      </c>
      <c r="C637" t="s">
        <v>112</v>
      </c>
      <c r="D637" t="s">
        <v>2667</v>
      </c>
      <c r="E637" t="s">
        <v>1115</v>
      </c>
      <c r="F637">
        <v>99</v>
      </c>
      <c r="G637">
        <v>6</v>
      </c>
      <c r="H637">
        <v>88</v>
      </c>
      <c r="I637" t="s">
        <v>85</v>
      </c>
      <c r="J637" s="7">
        <f t="shared" si="81"/>
        <v>3</v>
      </c>
      <c r="K637" t="s">
        <v>372</v>
      </c>
      <c r="L637" s="1">
        <f t="shared" si="82"/>
        <v>45427</v>
      </c>
      <c r="M637" t="s">
        <v>221</v>
      </c>
      <c r="N637" s="1">
        <f t="shared" si="83"/>
        <v>45489</v>
      </c>
      <c r="O637" t="s">
        <v>524</v>
      </c>
      <c r="P637" s="1">
        <f t="shared" si="84"/>
        <v>45640</v>
      </c>
      <c r="Q637" t="s">
        <v>2668</v>
      </c>
      <c r="R637">
        <v>49</v>
      </c>
      <c r="S637">
        <v>9</v>
      </c>
      <c r="T637" t="s">
        <v>51</v>
      </c>
      <c r="U637" s="8">
        <v>147</v>
      </c>
      <c r="V637" s="8">
        <f t="shared" si="85"/>
        <v>297</v>
      </c>
      <c r="W637" t="str">
        <f t="shared" si="86"/>
        <v>Sufficient Stock</v>
      </c>
      <c r="X637" s="9">
        <f t="shared" si="87"/>
        <v>45413</v>
      </c>
      <c r="Y637">
        <f t="shared" si="88"/>
        <v>213</v>
      </c>
      <c r="Z637" t="str">
        <f t="shared" si="89"/>
        <v>Low Risk</v>
      </c>
    </row>
    <row r="638" spans="1:26" x14ac:dyDescent="0.4">
      <c r="A638" t="s">
        <v>2669</v>
      </c>
      <c r="B638" t="s">
        <v>869</v>
      </c>
      <c r="C638" t="s">
        <v>29</v>
      </c>
      <c r="D638" t="s">
        <v>2670</v>
      </c>
      <c r="E638" t="s">
        <v>597</v>
      </c>
      <c r="F638">
        <v>24</v>
      </c>
      <c r="G638">
        <v>27</v>
      </c>
      <c r="H638">
        <v>35</v>
      </c>
      <c r="I638" t="s">
        <v>147</v>
      </c>
      <c r="J638" s="7">
        <f t="shared" si="81"/>
        <v>8</v>
      </c>
      <c r="K638" t="s">
        <v>108</v>
      </c>
      <c r="L638" s="1">
        <f t="shared" si="82"/>
        <v>45579</v>
      </c>
      <c r="M638" t="s">
        <v>450</v>
      </c>
      <c r="N638" s="1">
        <f t="shared" si="83"/>
        <v>45688</v>
      </c>
      <c r="O638" t="s">
        <v>473</v>
      </c>
      <c r="P638" s="1">
        <f t="shared" si="84"/>
        <v>45616</v>
      </c>
      <c r="Q638" t="s">
        <v>2671</v>
      </c>
      <c r="R638">
        <v>49</v>
      </c>
      <c r="S638">
        <v>58</v>
      </c>
      <c r="T638" t="s">
        <v>51</v>
      </c>
      <c r="U638" s="8">
        <v>392</v>
      </c>
      <c r="V638" s="8">
        <f t="shared" si="85"/>
        <v>192</v>
      </c>
      <c r="W638" t="str">
        <f t="shared" si="86"/>
        <v>Reorder Required</v>
      </c>
      <c r="X638" s="9">
        <f t="shared" si="87"/>
        <v>45566</v>
      </c>
      <c r="Y638">
        <f t="shared" si="88"/>
        <v>37</v>
      </c>
      <c r="Z638" t="str">
        <f t="shared" si="89"/>
        <v>High Risk</v>
      </c>
    </row>
    <row r="639" spans="1:26" x14ac:dyDescent="0.4">
      <c r="A639" t="s">
        <v>2672</v>
      </c>
      <c r="B639" t="s">
        <v>17</v>
      </c>
      <c r="C639" t="s">
        <v>18</v>
      </c>
      <c r="D639" t="s">
        <v>2673</v>
      </c>
      <c r="E639" t="s">
        <v>735</v>
      </c>
      <c r="F639">
        <v>78</v>
      </c>
      <c r="G639">
        <v>94</v>
      </c>
      <c r="H639">
        <v>7</v>
      </c>
      <c r="I639" t="s">
        <v>2674</v>
      </c>
      <c r="J639" s="7">
        <f t="shared" si="81"/>
        <v>4.3499999999999996</v>
      </c>
      <c r="K639" s="1">
        <v>45452</v>
      </c>
      <c r="L639" s="1">
        <f t="shared" si="82"/>
        <v>45452</v>
      </c>
      <c r="M639" s="1">
        <v>45362</v>
      </c>
      <c r="N639" s="1">
        <f t="shared" si="83"/>
        <v>45362</v>
      </c>
      <c r="O639" t="s">
        <v>388</v>
      </c>
      <c r="P639" s="1">
        <f t="shared" si="84"/>
        <v>45434</v>
      </c>
      <c r="Q639" t="s">
        <v>2675</v>
      </c>
      <c r="R639">
        <v>69</v>
      </c>
      <c r="S639">
        <v>40</v>
      </c>
      <c r="T639" t="s">
        <v>42</v>
      </c>
      <c r="U639" s="8">
        <v>300.14999999999998</v>
      </c>
      <c r="V639" s="8">
        <f t="shared" si="85"/>
        <v>339.29999999999995</v>
      </c>
      <c r="W639" t="str">
        <f t="shared" si="86"/>
        <v>Reorder Required</v>
      </c>
      <c r="X639" s="9">
        <f t="shared" si="87"/>
        <v>45444</v>
      </c>
      <c r="Y639">
        <f t="shared" si="88"/>
        <v>-18</v>
      </c>
      <c r="Z639" t="str">
        <f t="shared" si="89"/>
        <v>Invalid Data</v>
      </c>
    </row>
    <row r="640" spans="1:26" x14ac:dyDescent="0.4">
      <c r="A640" t="s">
        <v>2676</v>
      </c>
      <c r="B640" t="s">
        <v>88</v>
      </c>
      <c r="C640" t="s">
        <v>77</v>
      </c>
      <c r="D640" t="s">
        <v>2677</v>
      </c>
      <c r="E640" t="s">
        <v>97</v>
      </c>
      <c r="F640">
        <v>52</v>
      </c>
      <c r="G640">
        <v>31</v>
      </c>
      <c r="H640">
        <v>18</v>
      </c>
      <c r="I640" t="s">
        <v>91</v>
      </c>
      <c r="J640" s="7">
        <f t="shared" si="81"/>
        <v>1</v>
      </c>
      <c r="K640" t="s">
        <v>828</v>
      </c>
      <c r="L640" s="1">
        <f t="shared" si="82"/>
        <v>45410</v>
      </c>
      <c r="M640" t="s">
        <v>1343</v>
      </c>
      <c r="N640" s="1">
        <f t="shared" si="83"/>
        <v>45617</v>
      </c>
      <c r="O640" s="1">
        <v>45690</v>
      </c>
      <c r="P640" s="1">
        <f t="shared" si="84"/>
        <v>45690</v>
      </c>
      <c r="Q640" t="s">
        <v>2678</v>
      </c>
      <c r="R640">
        <v>77</v>
      </c>
      <c r="S640">
        <v>16</v>
      </c>
      <c r="T640" t="s">
        <v>42</v>
      </c>
      <c r="U640" s="8">
        <v>77</v>
      </c>
      <c r="V640" s="8">
        <f t="shared" si="85"/>
        <v>52</v>
      </c>
      <c r="W640" t="str">
        <f t="shared" si="86"/>
        <v>Sufficient Stock</v>
      </c>
      <c r="X640" s="9">
        <f t="shared" si="87"/>
        <v>45383</v>
      </c>
      <c r="Y640">
        <f t="shared" si="88"/>
        <v>280</v>
      </c>
      <c r="Z640" t="str">
        <f t="shared" si="89"/>
        <v>Low Risk</v>
      </c>
    </row>
    <row r="641" spans="1:26" x14ac:dyDescent="0.4">
      <c r="A641" t="s">
        <v>2679</v>
      </c>
      <c r="B641" t="s">
        <v>161</v>
      </c>
      <c r="C641" t="s">
        <v>54</v>
      </c>
      <c r="D641" t="s">
        <v>2680</v>
      </c>
      <c r="E641" t="s">
        <v>2681</v>
      </c>
      <c r="F641">
        <v>45</v>
      </c>
      <c r="G641">
        <v>70</v>
      </c>
      <c r="H641">
        <v>98</v>
      </c>
      <c r="I641" t="s">
        <v>1593</v>
      </c>
      <c r="J641" s="7">
        <f t="shared" si="81"/>
        <v>2.4500000000000002</v>
      </c>
      <c r="K641" s="1">
        <v>45573</v>
      </c>
      <c r="L641" s="1">
        <f t="shared" si="82"/>
        <v>45573</v>
      </c>
      <c r="M641" t="s">
        <v>854</v>
      </c>
      <c r="N641" s="1">
        <f t="shared" si="83"/>
        <v>45500</v>
      </c>
      <c r="O641" s="1">
        <v>45540</v>
      </c>
      <c r="P641" s="1">
        <f t="shared" si="84"/>
        <v>45540</v>
      </c>
      <c r="Q641" t="s">
        <v>2682</v>
      </c>
      <c r="R641">
        <v>25</v>
      </c>
      <c r="S641">
        <v>39</v>
      </c>
      <c r="T641" t="s">
        <v>42</v>
      </c>
      <c r="U641" s="8">
        <v>61.250000000000007</v>
      </c>
      <c r="V641" s="8">
        <f t="shared" si="85"/>
        <v>110.25000000000001</v>
      </c>
      <c r="W641" t="str">
        <f t="shared" si="86"/>
        <v>Reorder Required</v>
      </c>
      <c r="X641" s="9">
        <f t="shared" si="87"/>
        <v>45566</v>
      </c>
      <c r="Y641">
        <f t="shared" si="88"/>
        <v>-33</v>
      </c>
      <c r="Z641" t="str">
        <f t="shared" si="89"/>
        <v>Invalid Data</v>
      </c>
    </row>
    <row r="642" spans="1:26" x14ac:dyDescent="0.4">
      <c r="A642" t="s">
        <v>2683</v>
      </c>
      <c r="B642" t="s">
        <v>1447</v>
      </c>
      <c r="C642" t="s">
        <v>54</v>
      </c>
      <c r="D642" t="s">
        <v>2684</v>
      </c>
      <c r="E642" t="s">
        <v>2685</v>
      </c>
      <c r="F642">
        <v>89</v>
      </c>
      <c r="G642">
        <v>35</v>
      </c>
      <c r="H642">
        <v>19</v>
      </c>
      <c r="I642" t="s">
        <v>220</v>
      </c>
      <c r="J642" s="7">
        <f t="shared" si="81"/>
        <v>5</v>
      </c>
      <c r="K642" t="s">
        <v>450</v>
      </c>
      <c r="L642" s="1">
        <f t="shared" si="82"/>
        <v>45688</v>
      </c>
      <c r="M642" s="1">
        <v>45514</v>
      </c>
      <c r="N642" s="1">
        <f t="shared" si="83"/>
        <v>45514</v>
      </c>
      <c r="O642" s="1">
        <v>45478</v>
      </c>
      <c r="P642" s="1">
        <f t="shared" si="84"/>
        <v>45478</v>
      </c>
      <c r="Q642" t="s">
        <v>2686</v>
      </c>
      <c r="R642">
        <v>49</v>
      </c>
      <c r="S642">
        <v>55</v>
      </c>
      <c r="T642" t="s">
        <v>26</v>
      </c>
      <c r="U642" s="8">
        <v>245</v>
      </c>
      <c r="V642" s="8">
        <f t="shared" si="85"/>
        <v>445</v>
      </c>
      <c r="W642" t="str">
        <f t="shared" si="86"/>
        <v>Sufficient Stock</v>
      </c>
      <c r="X642" s="9">
        <f t="shared" si="87"/>
        <v>45658</v>
      </c>
      <c r="Y642">
        <f t="shared" si="88"/>
        <v>-210</v>
      </c>
      <c r="Z642" t="str">
        <f t="shared" si="89"/>
        <v>Invalid Data</v>
      </c>
    </row>
    <row r="643" spans="1:26" x14ac:dyDescent="0.4">
      <c r="A643" t="s">
        <v>2687</v>
      </c>
      <c r="B643" t="s">
        <v>350</v>
      </c>
      <c r="C643" t="s">
        <v>54</v>
      </c>
      <c r="D643" t="s">
        <v>2688</v>
      </c>
      <c r="E643" t="s">
        <v>114</v>
      </c>
      <c r="F643">
        <v>63</v>
      </c>
      <c r="G643">
        <v>57</v>
      </c>
      <c r="H643">
        <v>11</v>
      </c>
      <c r="I643" t="s">
        <v>2689</v>
      </c>
      <c r="J643" s="7">
        <f t="shared" ref="J643:J706" si="90">VALUE(SUBSTITUTE(I643,"$",""))</f>
        <v>5.8</v>
      </c>
      <c r="K643" s="1">
        <v>45962</v>
      </c>
      <c r="L643" s="1">
        <f t="shared" ref="L643:L706" si="91">IF(
ISNUMBER(K643),
K643,
DATE(
RIGHT(K643,4),
LEFT(K643,FIND("/",K643)-1),
MID(K643,FIND("/",K643)+1,FIND("/",K643,FIND("/",K643)+1)-FIND("/",K643)-1)
)
)</f>
        <v>45962</v>
      </c>
      <c r="M643" t="s">
        <v>701</v>
      </c>
      <c r="N643" s="1">
        <f t="shared" ref="N643:N706" si="92">IF(
ISNUMBER(M643),
M643,
DATE(
RIGHT(M643,4),
LEFT(M643,FIND("/",M643)-1),
MID(M643,FIND("/",M643)+1,FIND("/",M643,FIND("/",M643)+1)-FIND("/",M643)-1)
)
)</f>
        <v>45649</v>
      </c>
      <c r="O643" s="1">
        <v>45570</v>
      </c>
      <c r="P643" s="1">
        <f t="shared" ref="P643:P706" si="93">IF(
ISNUMBER(O643),
O643,
DATE(
RIGHT(O643,4),
LEFT(O643,FIND("/",O643)-1),
MID(O643,FIND("/",O643)+1,FIND("/",O643,FIND("/",O643)+1)-FIND("/",O643)-1)
)
)</f>
        <v>45570</v>
      </c>
      <c r="Q643" t="s">
        <v>2690</v>
      </c>
      <c r="R643">
        <v>20</v>
      </c>
      <c r="S643">
        <v>100</v>
      </c>
      <c r="T643" t="s">
        <v>26</v>
      </c>
      <c r="U643" s="8">
        <v>116</v>
      </c>
      <c r="V643" s="8">
        <f t="shared" ref="V643:V706" si="94">F643*J643</f>
        <v>365.4</v>
      </c>
      <c r="W643" t="str">
        <f t="shared" ref="W643:W706" si="95">IF(F643&lt;=G643,"Reorder Required","Sufficient Stock")</f>
        <v>Sufficient Stock</v>
      </c>
      <c r="X643" s="9">
        <f t="shared" ref="X643:X706" si="96">DATE(YEAR(L643),MONTH(L643),1)</f>
        <v>45962</v>
      </c>
      <c r="Y643">
        <f t="shared" ref="Y643:Y706" si="97">P643-L643</f>
        <v>-392</v>
      </c>
      <c r="Z643" t="str">
        <f t="shared" ref="Z643:Z706" si="98">IF(Y643&lt;0,"Invalid Data",
IF(Y643&lt;=30,"Critical",
IF(Y643&lt;=90,"High Risk",
IF(Y643&lt;=180,"Medium Risk",
IF(Y643&lt;=365,"Low Risk",
"Safe")))))</f>
        <v>Invalid Data</v>
      </c>
    </row>
    <row r="644" spans="1:26" x14ac:dyDescent="0.4">
      <c r="A644" t="s">
        <v>2691</v>
      </c>
      <c r="B644" t="s">
        <v>36</v>
      </c>
      <c r="C644" t="s">
        <v>18</v>
      </c>
      <c r="D644" t="s">
        <v>2692</v>
      </c>
      <c r="E644" t="s">
        <v>1947</v>
      </c>
      <c r="F644">
        <v>49</v>
      </c>
      <c r="G644">
        <v>3</v>
      </c>
      <c r="H644">
        <v>7</v>
      </c>
      <c r="I644" t="s">
        <v>2693</v>
      </c>
      <c r="J644" s="7">
        <f t="shared" si="90"/>
        <v>6.25</v>
      </c>
      <c r="K644" t="s">
        <v>24</v>
      </c>
      <c r="L644" s="1">
        <f t="shared" si="91"/>
        <v>45554</v>
      </c>
      <c r="M644" t="s">
        <v>969</v>
      </c>
      <c r="N644" s="1">
        <f t="shared" si="92"/>
        <v>45596</v>
      </c>
      <c r="O644" t="s">
        <v>1629</v>
      </c>
      <c r="P644" s="1">
        <f t="shared" si="93"/>
        <v>45364</v>
      </c>
      <c r="Q644" t="s">
        <v>2694</v>
      </c>
      <c r="R644">
        <v>75</v>
      </c>
      <c r="S644">
        <v>46</v>
      </c>
      <c r="T644" t="s">
        <v>42</v>
      </c>
      <c r="U644" s="8">
        <v>468.75</v>
      </c>
      <c r="V644" s="8">
        <f t="shared" si="94"/>
        <v>306.25</v>
      </c>
      <c r="W644" t="str">
        <f t="shared" si="95"/>
        <v>Sufficient Stock</v>
      </c>
      <c r="X644" s="9">
        <f t="shared" si="96"/>
        <v>45536</v>
      </c>
      <c r="Y644">
        <f t="shared" si="97"/>
        <v>-190</v>
      </c>
      <c r="Z644" t="str">
        <f t="shared" si="98"/>
        <v>Invalid Data</v>
      </c>
    </row>
    <row r="645" spans="1:26" x14ac:dyDescent="0.4">
      <c r="A645" t="s">
        <v>2695</v>
      </c>
      <c r="B645" t="s">
        <v>869</v>
      </c>
      <c r="C645" t="s">
        <v>29</v>
      </c>
      <c r="D645" t="s">
        <v>2696</v>
      </c>
      <c r="E645" t="s">
        <v>648</v>
      </c>
      <c r="F645">
        <v>26</v>
      </c>
      <c r="G645">
        <v>59</v>
      </c>
      <c r="H645">
        <v>54</v>
      </c>
      <c r="I645" t="s">
        <v>147</v>
      </c>
      <c r="J645" s="7">
        <f t="shared" si="90"/>
        <v>8</v>
      </c>
      <c r="K645" s="1">
        <v>45573</v>
      </c>
      <c r="L645" s="1">
        <f t="shared" si="91"/>
        <v>45573</v>
      </c>
      <c r="M645" t="s">
        <v>485</v>
      </c>
      <c r="N645" s="1">
        <f t="shared" si="92"/>
        <v>45620</v>
      </c>
      <c r="O645" t="s">
        <v>409</v>
      </c>
      <c r="P645" s="1">
        <f t="shared" si="93"/>
        <v>45370</v>
      </c>
      <c r="Q645" t="s">
        <v>2697</v>
      </c>
      <c r="R645">
        <v>92</v>
      </c>
      <c r="S645">
        <v>49</v>
      </c>
      <c r="T645" t="s">
        <v>51</v>
      </c>
      <c r="U645" s="8">
        <v>736</v>
      </c>
      <c r="V645" s="8">
        <f t="shared" si="94"/>
        <v>208</v>
      </c>
      <c r="W645" t="str">
        <f t="shared" si="95"/>
        <v>Reorder Required</v>
      </c>
      <c r="X645" s="9">
        <f t="shared" si="96"/>
        <v>45566</v>
      </c>
      <c r="Y645">
        <f t="shared" si="97"/>
        <v>-203</v>
      </c>
      <c r="Z645" t="str">
        <f t="shared" si="98"/>
        <v>Invalid Data</v>
      </c>
    </row>
    <row r="646" spans="1:26" x14ac:dyDescent="0.4">
      <c r="A646" t="s">
        <v>2698</v>
      </c>
      <c r="B646" t="s">
        <v>203</v>
      </c>
      <c r="C646" t="s">
        <v>77</v>
      </c>
      <c r="D646" t="s">
        <v>2699</v>
      </c>
      <c r="E646" t="s">
        <v>2700</v>
      </c>
      <c r="F646">
        <v>93</v>
      </c>
      <c r="G646">
        <v>68</v>
      </c>
      <c r="H646">
        <v>71</v>
      </c>
      <c r="I646" t="s">
        <v>206</v>
      </c>
      <c r="J646" s="7">
        <f t="shared" si="90"/>
        <v>0.8</v>
      </c>
      <c r="K646" s="1">
        <v>45902</v>
      </c>
      <c r="L646" s="1">
        <f t="shared" si="91"/>
        <v>45902</v>
      </c>
      <c r="M646" s="1">
        <v>45599</v>
      </c>
      <c r="N646" s="1">
        <f t="shared" si="92"/>
        <v>45599</v>
      </c>
      <c r="O646" t="s">
        <v>712</v>
      </c>
      <c r="P646" s="1">
        <f t="shared" si="93"/>
        <v>45552</v>
      </c>
      <c r="Q646" t="s">
        <v>2701</v>
      </c>
      <c r="R646">
        <v>30</v>
      </c>
      <c r="S646">
        <v>37</v>
      </c>
      <c r="T646" t="s">
        <v>26</v>
      </c>
      <c r="U646" s="8">
        <v>24</v>
      </c>
      <c r="V646" s="8">
        <f t="shared" si="94"/>
        <v>74.400000000000006</v>
      </c>
      <c r="W646" t="str">
        <f t="shared" si="95"/>
        <v>Sufficient Stock</v>
      </c>
      <c r="X646" s="9">
        <f t="shared" si="96"/>
        <v>45901</v>
      </c>
      <c r="Y646">
        <f t="shared" si="97"/>
        <v>-350</v>
      </c>
      <c r="Z646" t="str">
        <f t="shared" si="98"/>
        <v>Invalid Data</v>
      </c>
    </row>
    <row r="647" spans="1:26" x14ac:dyDescent="0.4">
      <c r="A647" t="s">
        <v>2702</v>
      </c>
      <c r="B647" t="s">
        <v>1470</v>
      </c>
      <c r="C647" t="s">
        <v>54</v>
      </c>
      <c r="D647" t="s">
        <v>2703</v>
      </c>
      <c r="E647" t="s">
        <v>46</v>
      </c>
      <c r="F647">
        <v>81</v>
      </c>
      <c r="G647">
        <v>16</v>
      </c>
      <c r="H647">
        <v>69</v>
      </c>
      <c r="I647" t="s">
        <v>750</v>
      </c>
      <c r="J647" s="7">
        <f t="shared" si="90"/>
        <v>4.3</v>
      </c>
      <c r="K647" s="1">
        <v>45809</v>
      </c>
      <c r="L647" s="1">
        <f t="shared" si="91"/>
        <v>45809</v>
      </c>
      <c r="M647" s="1">
        <v>45390</v>
      </c>
      <c r="N647" s="1">
        <f t="shared" si="92"/>
        <v>45390</v>
      </c>
      <c r="O647" t="s">
        <v>915</v>
      </c>
      <c r="P647" s="1">
        <f t="shared" si="93"/>
        <v>45498</v>
      </c>
      <c r="Q647" t="s">
        <v>2704</v>
      </c>
      <c r="R647">
        <v>23</v>
      </c>
      <c r="S647">
        <v>96</v>
      </c>
      <c r="T647" t="s">
        <v>42</v>
      </c>
      <c r="U647" s="8">
        <v>98.899999999999991</v>
      </c>
      <c r="V647" s="8">
        <f t="shared" si="94"/>
        <v>348.3</v>
      </c>
      <c r="W647" t="str">
        <f t="shared" si="95"/>
        <v>Sufficient Stock</v>
      </c>
      <c r="X647" s="9">
        <f t="shared" si="96"/>
        <v>45809</v>
      </c>
      <c r="Y647">
        <f t="shared" si="97"/>
        <v>-311</v>
      </c>
      <c r="Z647" t="str">
        <f t="shared" si="98"/>
        <v>Invalid Data</v>
      </c>
    </row>
    <row r="648" spans="1:26" x14ac:dyDescent="0.4">
      <c r="A648" t="s">
        <v>2705</v>
      </c>
      <c r="B648" t="s">
        <v>492</v>
      </c>
      <c r="C648" t="s">
        <v>77</v>
      </c>
      <c r="D648" t="s">
        <v>2706</v>
      </c>
      <c r="E648" t="s">
        <v>1531</v>
      </c>
      <c r="F648">
        <v>74</v>
      </c>
      <c r="G648">
        <v>60</v>
      </c>
      <c r="H648">
        <v>27</v>
      </c>
      <c r="I648" t="s">
        <v>57</v>
      </c>
      <c r="J648" s="7">
        <f t="shared" si="90"/>
        <v>4</v>
      </c>
      <c r="K648" t="s">
        <v>579</v>
      </c>
      <c r="L648" s="1">
        <f t="shared" si="91"/>
        <v>45460</v>
      </c>
      <c r="M648" t="s">
        <v>388</v>
      </c>
      <c r="N648" s="1">
        <f t="shared" si="92"/>
        <v>45434</v>
      </c>
      <c r="O648" t="s">
        <v>341</v>
      </c>
      <c r="P648" s="1">
        <f t="shared" si="93"/>
        <v>45613</v>
      </c>
      <c r="Q648" t="s">
        <v>2707</v>
      </c>
      <c r="R648">
        <v>99</v>
      </c>
      <c r="S648">
        <v>68</v>
      </c>
      <c r="T648" t="s">
        <v>42</v>
      </c>
      <c r="U648" s="8">
        <v>396</v>
      </c>
      <c r="V648" s="8">
        <f t="shared" si="94"/>
        <v>296</v>
      </c>
      <c r="W648" t="str">
        <f t="shared" si="95"/>
        <v>Sufficient Stock</v>
      </c>
      <c r="X648" s="9">
        <f t="shared" si="96"/>
        <v>45444</v>
      </c>
      <c r="Y648">
        <f t="shared" si="97"/>
        <v>153</v>
      </c>
      <c r="Z648" t="str">
        <f t="shared" si="98"/>
        <v>Medium Risk</v>
      </c>
    </row>
    <row r="649" spans="1:26" x14ac:dyDescent="0.4">
      <c r="A649" t="s">
        <v>2708</v>
      </c>
      <c r="B649" t="s">
        <v>431</v>
      </c>
      <c r="C649" t="s">
        <v>29</v>
      </c>
      <c r="D649" t="s">
        <v>2709</v>
      </c>
      <c r="E649" t="s">
        <v>163</v>
      </c>
      <c r="F649">
        <v>19</v>
      </c>
      <c r="G649">
        <v>78</v>
      </c>
      <c r="H649">
        <v>90</v>
      </c>
      <c r="I649" t="s">
        <v>220</v>
      </c>
      <c r="J649" s="7">
        <f t="shared" si="90"/>
        <v>5</v>
      </c>
      <c r="K649" t="s">
        <v>898</v>
      </c>
      <c r="L649" s="1">
        <f t="shared" si="91"/>
        <v>45650</v>
      </c>
      <c r="M649" t="s">
        <v>643</v>
      </c>
      <c r="N649" s="1">
        <f t="shared" si="92"/>
        <v>45397</v>
      </c>
      <c r="O649" t="s">
        <v>525</v>
      </c>
      <c r="P649" s="1">
        <f t="shared" si="93"/>
        <v>45502</v>
      </c>
      <c r="Q649" t="s">
        <v>2710</v>
      </c>
      <c r="R649">
        <v>72</v>
      </c>
      <c r="S649">
        <v>84</v>
      </c>
      <c r="T649" t="s">
        <v>26</v>
      </c>
      <c r="U649" s="8">
        <v>360</v>
      </c>
      <c r="V649" s="8">
        <f t="shared" si="94"/>
        <v>95</v>
      </c>
      <c r="W649" t="str">
        <f t="shared" si="95"/>
        <v>Reorder Required</v>
      </c>
      <c r="X649" s="9">
        <f t="shared" si="96"/>
        <v>45627</v>
      </c>
      <c r="Y649">
        <f t="shared" si="97"/>
        <v>-148</v>
      </c>
      <c r="Z649" t="str">
        <f t="shared" si="98"/>
        <v>Invalid Data</v>
      </c>
    </row>
    <row r="650" spans="1:26" x14ac:dyDescent="0.4">
      <c r="A650" t="s">
        <v>2711</v>
      </c>
      <c r="B650" t="s">
        <v>296</v>
      </c>
      <c r="C650" t="s">
        <v>18</v>
      </c>
      <c r="D650" t="s">
        <v>2712</v>
      </c>
      <c r="E650" t="s">
        <v>1136</v>
      </c>
      <c r="F650">
        <v>64</v>
      </c>
      <c r="G650">
        <v>97</v>
      </c>
      <c r="H650">
        <v>91</v>
      </c>
      <c r="I650" t="s">
        <v>85</v>
      </c>
      <c r="J650" s="7">
        <f t="shared" si="90"/>
        <v>3</v>
      </c>
      <c r="K650" t="s">
        <v>308</v>
      </c>
      <c r="L650" s="1">
        <f t="shared" si="91"/>
        <v>45621</v>
      </c>
      <c r="M650" t="s">
        <v>421</v>
      </c>
      <c r="N650" s="1">
        <f t="shared" si="92"/>
        <v>45524</v>
      </c>
      <c r="O650" s="1">
        <v>45330</v>
      </c>
      <c r="P650" s="1">
        <f t="shared" si="93"/>
        <v>45330</v>
      </c>
      <c r="Q650" t="s">
        <v>2713</v>
      </c>
      <c r="R650">
        <v>48</v>
      </c>
      <c r="S650">
        <v>100</v>
      </c>
      <c r="T650" t="s">
        <v>51</v>
      </c>
      <c r="U650" s="8">
        <v>144</v>
      </c>
      <c r="V650" s="8">
        <f t="shared" si="94"/>
        <v>192</v>
      </c>
      <c r="W650" t="str">
        <f t="shared" si="95"/>
        <v>Reorder Required</v>
      </c>
      <c r="X650" s="9">
        <f t="shared" si="96"/>
        <v>45597</v>
      </c>
      <c r="Y650">
        <f t="shared" si="97"/>
        <v>-291</v>
      </c>
      <c r="Z650" t="str">
        <f t="shared" si="98"/>
        <v>Invalid Data</v>
      </c>
    </row>
    <row r="651" spans="1:26" x14ac:dyDescent="0.4">
      <c r="A651" t="s">
        <v>2714</v>
      </c>
      <c r="B651" t="s">
        <v>498</v>
      </c>
      <c r="C651" t="s">
        <v>54</v>
      </c>
      <c r="D651" t="s">
        <v>2715</v>
      </c>
      <c r="E651" t="s">
        <v>1364</v>
      </c>
      <c r="F651">
        <v>49</v>
      </c>
      <c r="G651">
        <v>93</v>
      </c>
      <c r="H651">
        <v>15</v>
      </c>
      <c r="I651" t="s">
        <v>21</v>
      </c>
      <c r="J651" s="7">
        <f t="shared" si="90"/>
        <v>4.5</v>
      </c>
      <c r="K651" t="s">
        <v>786</v>
      </c>
      <c r="L651" s="1">
        <f t="shared" si="91"/>
        <v>45409</v>
      </c>
      <c r="M651" s="1">
        <v>45296</v>
      </c>
      <c r="N651" s="1">
        <f t="shared" si="92"/>
        <v>45296</v>
      </c>
      <c r="O651" t="s">
        <v>786</v>
      </c>
      <c r="P651" s="1">
        <f t="shared" si="93"/>
        <v>45409</v>
      </c>
      <c r="Q651" t="s">
        <v>2716</v>
      </c>
      <c r="R651">
        <v>52</v>
      </c>
      <c r="S651">
        <v>31</v>
      </c>
      <c r="T651" t="s">
        <v>42</v>
      </c>
      <c r="U651" s="8">
        <v>234</v>
      </c>
      <c r="V651" s="8">
        <f t="shared" si="94"/>
        <v>220.5</v>
      </c>
      <c r="W651" t="str">
        <f t="shared" si="95"/>
        <v>Reorder Required</v>
      </c>
      <c r="X651" s="9">
        <f t="shared" si="96"/>
        <v>45383</v>
      </c>
      <c r="Y651">
        <f t="shared" si="97"/>
        <v>0</v>
      </c>
      <c r="Z651" t="str">
        <f t="shared" si="98"/>
        <v>Critical</v>
      </c>
    </row>
    <row r="652" spans="1:26" x14ac:dyDescent="0.4">
      <c r="A652" t="s">
        <v>2717</v>
      </c>
      <c r="B652" t="s">
        <v>189</v>
      </c>
      <c r="C652" t="s">
        <v>77</v>
      </c>
      <c r="D652" t="s">
        <v>2718</v>
      </c>
      <c r="E652" t="s">
        <v>2159</v>
      </c>
      <c r="F652">
        <v>99</v>
      </c>
      <c r="G652">
        <v>10</v>
      </c>
      <c r="H652">
        <v>88</v>
      </c>
      <c r="I652" t="s">
        <v>172</v>
      </c>
      <c r="J652" s="7">
        <f t="shared" si="90"/>
        <v>12</v>
      </c>
      <c r="K652" t="s">
        <v>730</v>
      </c>
      <c r="L652" s="1">
        <f t="shared" si="91"/>
        <v>45487</v>
      </c>
      <c r="M652" s="1">
        <v>45424</v>
      </c>
      <c r="N652" s="1">
        <f t="shared" si="92"/>
        <v>45424</v>
      </c>
      <c r="O652" t="s">
        <v>1174</v>
      </c>
      <c r="P652" s="1">
        <f t="shared" si="93"/>
        <v>45677</v>
      </c>
      <c r="Q652" t="s">
        <v>2719</v>
      </c>
      <c r="R652">
        <v>69</v>
      </c>
      <c r="S652">
        <v>98</v>
      </c>
      <c r="T652" t="s">
        <v>51</v>
      </c>
      <c r="U652" s="8">
        <v>828</v>
      </c>
      <c r="V652" s="8">
        <f t="shared" si="94"/>
        <v>1188</v>
      </c>
      <c r="W652" t="str">
        <f t="shared" si="95"/>
        <v>Sufficient Stock</v>
      </c>
      <c r="X652" s="9">
        <f t="shared" si="96"/>
        <v>45474</v>
      </c>
      <c r="Y652">
        <f t="shared" si="97"/>
        <v>190</v>
      </c>
      <c r="Z652" t="str">
        <f t="shared" si="98"/>
        <v>Low Risk</v>
      </c>
    </row>
    <row r="653" spans="1:26" x14ac:dyDescent="0.4">
      <c r="A653" t="s">
        <v>2720</v>
      </c>
      <c r="B653" t="s">
        <v>820</v>
      </c>
      <c r="C653" t="s">
        <v>77</v>
      </c>
      <c r="D653" t="s">
        <v>2721</v>
      </c>
      <c r="E653" t="s">
        <v>1048</v>
      </c>
      <c r="F653">
        <v>60</v>
      </c>
      <c r="G653">
        <v>1</v>
      </c>
      <c r="H653">
        <v>42</v>
      </c>
      <c r="I653" t="s">
        <v>1593</v>
      </c>
      <c r="J653" s="7">
        <f t="shared" si="90"/>
        <v>2.4500000000000002</v>
      </c>
      <c r="K653" t="s">
        <v>141</v>
      </c>
      <c r="L653" s="1">
        <f t="shared" si="91"/>
        <v>45612</v>
      </c>
      <c r="M653" t="s">
        <v>422</v>
      </c>
      <c r="N653" s="1">
        <f t="shared" si="92"/>
        <v>45531</v>
      </c>
      <c r="O653" t="s">
        <v>1205</v>
      </c>
      <c r="P653" s="1">
        <f t="shared" si="93"/>
        <v>45580</v>
      </c>
      <c r="Q653" t="s">
        <v>2722</v>
      </c>
      <c r="R653">
        <v>42</v>
      </c>
      <c r="S653">
        <v>91</v>
      </c>
      <c r="T653" t="s">
        <v>51</v>
      </c>
      <c r="U653" s="8">
        <v>102.9</v>
      </c>
      <c r="V653" s="8">
        <f t="shared" si="94"/>
        <v>147</v>
      </c>
      <c r="W653" t="str">
        <f t="shared" si="95"/>
        <v>Sufficient Stock</v>
      </c>
      <c r="X653" s="9">
        <f t="shared" si="96"/>
        <v>45597</v>
      </c>
      <c r="Y653">
        <f t="shared" si="97"/>
        <v>-32</v>
      </c>
      <c r="Z653" t="str">
        <f t="shared" si="98"/>
        <v>Invalid Data</v>
      </c>
    </row>
    <row r="654" spans="1:26" x14ac:dyDescent="0.4">
      <c r="A654" t="s">
        <v>2723</v>
      </c>
      <c r="B654" t="s">
        <v>184</v>
      </c>
      <c r="C654" t="s">
        <v>54</v>
      </c>
      <c r="D654" t="s">
        <v>2724</v>
      </c>
      <c r="E654" t="s">
        <v>641</v>
      </c>
      <c r="F654">
        <v>90</v>
      </c>
      <c r="G654">
        <v>1</v>
      </c>
      <c r="H654">
        <v>40</v>
      </c>
      <c r="I654" t="s">
        <v>2281</v>
      </c>
      <c r="J654" s="7">
        <f t="shared" si="90"/>
        <v>0.9</v>
      </c>
      <c r="K654" t="s">
        <v>1035</v>
      </c>
      <c r="L654" s="1">
        <f t="shared" si="91"/>
        <v>45585</v>
      </c>
      <c r="M654" s="1">
        <v>45962</v>
      </c>
      <c r="N654" s="1">
        <f t="shared" si="92"/>
        <v>45962</v>
      </c>
      <c r="O654" t="s">
        <v>280</v>
      </c>
      <c r="P654" s="1">
        <f t="shared" si="93"/>
        <v>45704</v>
      </c>
      <c r="Q654" t="s">
        <v>2725</v>
      </c>
      <c r="R654">
        <v>52</v>
      </c>
      <c r="S654">
        <v>19</v>
      </c>
      <c r="T654" t="s">
        <v>26</v>
      </c>
      <c r="U654" s="8">
        <v>46.800000000000004</v>
      </c>
      <c r="V654" s="8">
        <f t="shared" si="94"/>
        <v>81</v>
      </c>
      <c r="W654" t="str">
        <f t="shared" si="95"/>
        <v>Sufficient Stock</v>
      </c>
      <c r="X654" s="9">
        <f t="shared" si="96"/>
        <v>45566</v>
      </c>
      <c r="Y654">
        <f t="shared" si="97"/>
        <v>119</v>
      </c>
      <c r="Z654" t="str">
        <f t="shared" si="98"/>
        <v>Medium Risk</v>
      </c>
    </row>
    <row r="655" spans="1:26" x14ac:dyDescent="0.4">
      <c r="A655" t="s">
        <v>2726</v>
      </c>
      <c r="B655" t="s">
        <v>263</v>
      </c>
      <c r="C655" t="s">
        <v>169</v>
      </c>
      <c r="D655" t="s">
        <v>2727</v>
      </c>
      <c r="E655" t="s">
        <v>298</v>
      </c>
      <c r="F655">
        <v>79</v>
      </c>
      <c r="G655">
        <v>53</v>
      </c>
      <c r="H655">
        <v>12</v>
      </c>
      <c r="I655" t="s">
        <v>266</v>
      </c>
      <c r="J655" s="7">
        <f t="shared" si="90"/>
        <v>9</v>
      </c>
      <c r="K655" t="s">
        <v>228</v>
      </c>
      <c r="L655" s="1">
        <f t="shared" si="91"/>
        <v>45522</v>
      </c>
      <c r="M655" t="s">
        <v>33</v>
      </c>
      <c r="N655" s="1">
        <f t="shared" si="92"/>
        <v>45441</v>
      </c>
      <c r="O655" s="1">
        <v>45931</v>
      </c>
      <c r="P655" s="1">
        <f t="shared" si="93"/>
        <v>45931</v>
      </c>
      <c r="Q655" t="s">
        <v>2728</v>
      </c>
      <c r="R655">
        <v>45</v>
      </c>
      <c r="S655">
        <v>95</v>
      </c>
      <c r="T655" t="s">
        <v>26</v>
      </c>
      <c r="U655" s="8">
        <v>405</v>
      </c>
      <c r="V655" s="8">
        <f t="shared" si="94"/>
        <v>711</v>
      </c>
      <c r="W655" t="str">
        <f t="shared" si="95"/>
        <v>Sufficient Stock</v>
      </c>
      <c r="X655" s="9">
        <f t="shared" si="96"/>
        <v>45505</v>
      </c>
      <c r="Y655">
        <f t="shared" si="97"/>
        <v>409</v>
      </c>
      <c r="Z655" t="str">
        <f t="shared" si="98"/>
        <v>Safe</v>
      </c>
    </row>
    <row r="656" spans="1:26" x14ac:dyDescent="0.4">
      <c r="A656" t="s">
        <v>2729</v>
      </c>
      <c r="B656" t="s">
        <v>2592</v>
      </c>
      <c r="C656" t="s">
        <v>77</v>
      </c>
      <c r="D656" t="s">
        <v>2730</v>
      </c>
      <c r="E656" t="s">
        <v>934</v>
      </c>
      <c r="F656">
        <v>22</v>
      </c>
      <c r="G656">
        <v>58</v>
      </c>
      <c r="H656">
        <v>2</v>
      </c>
      <c r="I656" t="s">
        <v>2595</v>
      </c>
      <c r="J656" s="7">
        <f t="shared" si="90"/>
        <v>0.2</v>
      </c>
      <c r="K656" s="1">
        <v>45840</v>
      </c>
      <c r="L656" s="1">
        <f t="shared" si="91"/>
        <v>45840</v>
      </c>
      <c r="M656" t="s">
        <v>252</v>
      </c>
      <c r="N656" s="1">
        <f t="shared" si="92"/>
        <v>45471</v>
      </c>
      <c r="O656" t="s">
        <v>93</v>
      </c>
      <c r="P656" s="1">
        <f t="shared" si="93"/>
        <v>45610</v>
      </c>
      <c r="Q656" t="s">
        <v>2731</v>
      </c>
      <c r="R656">
        <v>33</v>
      </c>
      <c r="S656">
        <v>68</v>
      </c>
      <c r="T656" t="s">
        <v>51</v>
      </c>
      <c r="U656" s="8">
        <v>6.6000000000000005</v>
      </c>
      <c r="V656" s="8">
        <f t="shared" si="94"/>
        <v>4.4000000000000004</v>
      </c>
      <c r="W656" t="str">
        <f t="shared" si="95"/>
        <v>Reorder Required</v>
      </c>
      <c r="X656" s="9">
        <f t="shared" si="96"/>
        <v>45839</v>
      </c>
      <c r="Y656">
        <f t="shared" si="97"/>
        <v>-230</v>
      </c>
      <c r="Z656" t="str">
        <f t="shared" si="98"/>
        <v>Invalid Data</v>
      </c>
    </row>
    <row r="657" spans="1:26" x14ac:dyDescent="0.4">
      <c r="A657" t="s">
        <v>2732</v>
      </c>
      <c r="B657" t="s">
        <v>1406</v>
      </c>
      <c r="C657" t="s">
        <v>18</v>
      </c>
      <c r="D657" t="s">
        <v>2733</v>
      </c>
      <c r="E657" t="s">
        <v>1373</v>
      </c>
      <c r="F657">
        <v>51</v>
      </c>
      <c r="G657">
        <v>47</v>
      </c>
      <c r="H657">
        <v>6</v>
      </c>
      <c r="I657" t="s">
        <v>71</v>
      </c>
      <c r="J657" s="7">
        <f t="shared" si="90"/>
        <v>2.5</v>
      </c>
      <c r="K657" t="s">
        <v>1418</v>
      </c>
      <c r="L657" s="1">
        <f t="shared" si="91"/>
        <v>45619</v>
      </c>
      <c r="M657" s="1">
        <v>45604</v>
      </c>
      <c r="N657" s="1">
        <f t="shared" si="92"/>
        <v>45604</v>
      </c>
      <c r="O657" t="s">
        <v>1463</v>
      </c>
      <c r="P657" s="1">
        <f t="shared" si="93"/>
        <v>45461</v>
      </c>
      <c r="Q657" t="s">
        <v>2734</v>
      </c>
      <c r="R657">
        <v>53</v>
      </c>
      <c r="S657">
        <v>4</v>
      </c>
      <c r="T657" t="s">
        <v>42</v>
      </c>
      <c r="U657" s="8">
        <v>132.5</v>
      </c>
      <c r="V657" s="8">
        <f t="shared" si="94"/>
        <v>127.5</v>
      </c>
      <c r="W657" t="str">
        <f t="shared" si="95"/>
        <v>Sufficient Stock</v>
      </c>
      <c r="X657" s="9">
        <f t="shared" si="96"/>
        <v>45597</v>
      </c>
      <c r="Y657">
        <f t="shared" si="97"/>
        <v>-158</v>
      </c>
      <c r="Z657" t="str">
        <f t="shared" si="98"/>
        <v>Invalid Data</v>
      </c>
    </row>
    <row r="658" spans="1:26" x14ac:dyDescent="0.4">
      <c r="A658" t="s">
        <v>2735</v>
      </c>
      <c r="B658" t="s">
        <v>28</v>
      </c>
      <c r="C658" t="s">
        <v>29</v>
      </c>
      <c r="D658" t="s">
        <v>2736</v>
      </c>
      <c r="E658" t="s">
        <v>920</v>
      </c>
      <c r="F658">
        <v>65</v>
      </c>
      <c r="G658">
        <v>63</v>
      </c>
      <c r="H658">
        <v>41</v>
      </c>
      <c r="I658" t="s">
        <v>32</v>
      </c>
      <c r="J658" s="7">
        <f t="shared" si="90"/>
        <v>20</v>
      </c>
      <c r="K658" s="1">
        <v>45326</v>
      </c>
      <c r="L658" s="1">
        <f t="shared" si="91"/>
        <v>45326</v>
      </c>
      <c r="M658" s="1">
        <v>45839</v>
      </c>
      <c r="N658" s="1">
        <f t="shared" si="92"/>
        <v>45839</v>
      </c>
      <c r="O658" t="s">
        <v>1209</v>
      </c>
      <c r="P658" s="1">
        <f t="shared" si="93"/>
        <v>45380</v>
      </c>
      <c r="Q658" t="s">
        <v>2737</v>
      </c>
      <c r="R658">
        <v>28</v>
      </c>
      <c r="S658">
        <v>26</v>
      </c>
      <c r="T658" t="s">
        <v>42</v>
      </c>
      <c r="U658" s="8">
        <v>560</v>
      </c>
      <c r="V658" s="8">
        <f t="shared" si="94"/>
        <v>1300</v>
      </c>
      <c r="W658" t="str">
        <f t="shared" si="95"/>
        <v>Sufficient Stock</v>
      </c>
      <c r="X658" s="9">
        <f t="shared" si="96"/>
        <v>45323</v>
      </c>
      <c r="Y658">
        <f t="shared" si="97"/>
        <v>54</v>
      </c>
      <c r="Z658" t="str">
        <f t="shared" si="98"/>
        <v>High Risk</v>
      </c>
    </row>
    <row r="659" spans="1:26" x14ac:dyDescent="0.4">
      <c r="A659" t="s">
        <v>2738</v>
      </c>
      <c r="B659" t="s">
        <v>663</v>
      </c>
      <c r="C659" t="s">
        <v>77</v>
      </c>
      <c r="D659" t="s">
        <v>2739</v>
      </c>
      <c r="E659" t="s">
        <v>1422</v>
      </c>
      <c r="F659">
        <v>55</v>
      </c>
      <c r="G659">
        <v>25</v>
      </c>
      <c r="H659">
        <v>87</v>
      </c>
      <c r="I659" t="s">
        <v>57</v>
      </c>
      <c r="J659" s="7">
        <f t="shared" si="90"/>
        <v>4</v>
      </c>
      <c r="K659" t="s">
        <v>725</v>
      </c>
      <c r="L659" s="1">
        <f t="shared" si="91"/>
        <v>45425</v>
      </c>
      <c r="M659" s="1">
        <v>45325</v>
      </c>
      <c r="N659" s="1">
        <f t="shared" si="92"/>
        <v>45325</v>
      </c>
      <c r="O659" t="s">
        <v>1664</v>
      </c>
      <c r="P659" s="1">
        <f t="shared" si="93"/>
        <v>45686</v>
      </c>
      <c r="Q659" t="s">
        <v>2740</v>
      </c>
      <c r="R659">
        <v>69</v>
      </c>
      <c r="S659">
        <v>48</v>
      </c>
      <c r="T659" t="s">
        <v>42</v>
      </c>
      <c r="U659" s="8">
        <v>276</v>
      </c>
      <c r="V659" s="8">
        <f t="shared" si="94"/>
        <v>220</v>
      </c>
      <c r="W659" t="str">
        <f t="shared" si="95"/>
        <v>Sufficient Stock</v>
      </c>
      <c r="X659" s="9">
        <f t="shared" si="96"/>
        <v>45413</v>
      </c>
      <c r="Y659">
        <f t="shared" si="97"/>
        <v>261</v>
      </c>
      <c r="Z659" t="str">
        <f t="shared" si="98"/>
        <v>Low Risk</v>
      </c>
    </row>
    <row r="660" spans="1:26" x14ac:dyDescent="0.4">
      <c r="A660" t="s">
        <v>2741</v>
      </c>
      <c r="B660" t="s">
        <v>774</v>
      </c>
      <c r="C660" t="s">
        <v>18</v>
      </c>
      <c r="D660" t="s">
        <v>2742</v>
      </c>
      <c r="E660" t="s">
        <v>1271</v>
      </c>
      <c r="F660">
        <v>18</v>
      </c>
      <c r="G660">
        <v>86</v>
      </c>
      <c r="H660">
        <v>20</v>
      </c>
      <c r="I660" t="s">
        <v>466</v>
      </c>
      <c r="J660" s="7">
        <f t="shared" si="90"/>
        <v>1.8</v>
      </c>
      <c r="K660" t="s">
        <v>268</v>
      </c>
      <c r="L660" s="1">
        <f t="shared" si="91"/>
        <v>45652</v>
      </c>
      <c r="M660" s="1">
        <v>45394</v>
      </c>
      <c r="N660" s="1">
        <f t="shared" si="92"/>
        <v>45394</v>
      </c>
      <c r="O660" t="s">
        <v>1188</v>
      </c>
      <c r="P660" s="1">
        <f t="shared" si="93"/>
        <v>45625</v>
      </c>
      <c r="Q660" t="s">
        <v>2743</v>
      </c>
      <c r="R660">
        <v>64</v>
      </c>
      <c r="S660">
        <v>34</v>
      </c>
      <c r="T660" t="s">
        <v>26</v>
      </c>
      <c r="U660" s="8">
        <v>115.2</v>
      </c>
      <c r="V660" s="8">
        <f t="shared" si="94"/>
        <v>32.4</v>
      </c>
      <c r="W660" t="str">
        <f t="shared" si="95"/>
        <v>Reorder Required</v>
      </c>
      <c r="X660" s="9">
        <f t="shared" si="96"/>
        <v>45627</v>
      </c>
      <c r="Y660">
        <f t="shared" si="97"/>
        <v>-27</v>
      </c>
      <c r="Z660" t="str">
        <f t="shared" si="98"/>
        <v>Invalid Data</v>
      </c>
    </row>
    <row r="661" spans="1:26" x14ac:dyDescent="0.4">
      <c r="A661" t="s">
        <v>2744</v>
      </c>
      <c r="B661" t="s">
        <v>189</v>
      </c>
      <c r="C661" t="s">
        <v>77</v>
      </c>
      <c r="D661" t="s">
        <v>2745</v>
      </c>
      <c r="E661" t="s">
        <v>891</v>
      </c>
      <c r="F661">
        <v>37</v>
      </c>
      <c r="G661">
        <v>3</v>
      </c>
      <c r="H661">
        <v>45</v>
      </c>
      <c r="I661" t="s">
        <v>172</v>
      </c>
      <c r="J661" s="7">
        <f t="shared" si="90"/>
        <v>12</v>
      </c>
      <c r="K661" t="s">
        <v>455</v>
      </c>
      <c r="L661" s="1">
        <f t="shared" si="91"/>
        <v>45590</v>
      </c>
      <c r="M661" t="s">
        <v>1884</v>
      </c>
      <c r="N661" s="1">
        <f t="shared" si="92"/>
        <v>45404</v>
      </c>
      <c r="O661" t="s">
        <v>1343</v>
      </c>
      <c r="P661" s="1">
        <f t="shared" si="93"/>
        <v>45617</v>
      </c>
      <c r="Q661" t="s">
        <v>2746</v>
      </c>
      <c r="R661">
        <v>39</v>
      </c>
      <c r="S661">
        <v>28</v>
      </c>
      <c r="T661" t="s">
        <v>26</v>
      </c>
      <c r="U661" s="8">
        <v>468</v>
      </c>
      <c r="V661" s="8">
        <f t="shared" si="94"/>
        <v>444</v>
      </c>
      <c r="W661" t="str">
        <f t="shared" si="95"/>
        <v>Sufficient Stock</v>
      </c>
      <c r="X661" s="9">
        <f t="shared" si="96"/>
        <v>45566</v>
      </c>
      <c r="Y661">
        <f t="shared" si="97"/>
        <v>27</v>
      </c>
      <c r="Z661" t="str">
        <f t="shared" si="98"/>
        <v>Critical</v>
      </c>
    </row>
    <row r="662" spans="1:26" x14ac:dyDescent="0.4">
      <c r="A662" t="s">
        <v>2747</v>
      </c>
      <c r="B662" t="s">
        <v>1761</v>
      </c>
      <c r="C662" t="s">
        <v>169</v>
      </c>
      <c r="D662" t="s">
        <v>2748</v>
      </c>
      <c r="E662" t="s">
        <v>1512</v>
      </c>
      <c r="F662">
        <v>88</v>
      </c>
      <c r="G662">
        <v>40</v>
      </c>
      <c r="H662">
        <v>29</v>
      </c>
      <c r="I662" t="s">
        <v>320</v>
      </c>
      <c r="J662" s="7">
        <f t="shared" si="90"/>
        <v>15</v>
      </c>
      <c r="K662" t="s">
        <v>214</v>
      </c>
      <c r="L662" s="1">
        <f t="shared" si="91"/>
        <v>45712</v>
      </c>
      <c r="M662" t="s">
        <v>213</v>
      </c>
      <c r="N662" s="1">
        <f t="shared" si="92"/>
        <v>45467</v>
      </c>
      <c r="O662" t="s">
        <v>656</v>
      </c>
      <c r="P662" s="1">
        <f t="shared" si="93"/>
        <v>45347</v>
      </c>
      <c r="Q662" t="s">
        <v>2749</v>
      </c>
      <c r="R662">
        <v>96</v>
      </c>
      <c r="S662">
        <v>87</v>
      </c>
      <c r="T662" t="s">
        <v>26</v>
      </c>
      <c r="U662" s="8">
        <v>1440</v>
      </c>
      <c r="V662" s="8">
        <f t="shared" si="94"/>
        <v>1320</v>
      </c>
      <c r="W662" t="str">
        <f t="shared" si="95"/>
        <v>Sufficient Stock</v>
      </c>
      <c r="X662" s="9">
        <f t="shared" si="96"/>
        <v>45689</v>
      </c>
      <c r="Y662">
        <f t="shared" si="97"/>
        <v>-365</v>
      </c>
      <c r="Z662" t="str">
        <f t="shared" si="98"/>
        <v>Invalid Data</v>
      </c>
    </row>
    <row r="663" spans="1:26" x14ac:dyDescent="0.4">
      <c r="A663" t="s">
        <v>2750</v>
      </c>
      <c r="B663" t="s">
        <v>239</v>
      </c>
      <c r="C663" t="s">
        <v>54</v>
      </c>
      <c r="D663" t="s">
        <v>2751</v>
      </c>
      <c r="E663" t="s">
        <v>235</v>
      </c>
      <c r="F663">
        <v>20</v>
      </c>
      <c r="G663">
        <v>51</v>
      </c>
      <c r="H663">
        <v>33</v>
      </c>
      <c r="I663" t="s">
        <v>242</v>
      </c>
      <c r="J663" s="7">
        <f t="shared" si="90"/>
        <v>3.5</v>
      </c>
      <c r="K663" s="1">
        <v>45355</v>
      </c>
      <c r="L663" s="1">
        <f t="shared" si="91"/>
        <v>45355</v>
      </c>
      <c r="M663" t="s">
        <v>336</v>
      </c>
      <c r="N663" s="1">
        <f t="shared" si="92"/>
        <v>45681</v>
      </c>
      <c r="O663" s="1">
        <v>45993</v>
      </c>
      <c r="P663" s="1">
        <f t="shared" si="93"/>
        <v>45993</v>
      </c>
      <c r="Q663" t="s">
        <v>2752</v>
      </c>
      <c r="R663">
        <v>80</v>
      </c>
      <c r="S663">
        <v>41</v>
      </c>
      <c r="T663" t="s">
        <v>51</v>
      </c>
      <c r="U663" s="8">
        <v>280</v>
      </c>
      <c r="V663" s="8">
        <f t="shared" si="94"/>
        <v>70</v>
      </c>
      <c r="W663" t="str">
        <f t="shared" si="95"/>
        <v>Reorder Required</v>
      </c>
      <c r="X663" s="9">
        <f t="shared" si="96"/>
        <v>45352</v>
      </c>
      <c r="Y663">
        <f t="shared" si="97"/>
        <v>638</v>
      </c>
      <c r="Z663" t="str">
        <f t="shared" si="98"/>
        <v>Safe</v>
      </c>
    </row>
    <row r="664" spans="1:26" x14ac:dyDescent="0.4">
      <c r="A664" t="s">
        <v>2753</v>
      </c>
      <c r="B664" t="s">
        <v>138</v>
      </c>
      <c r="C664" t="s">
        <v>18</v>
      </c>
      <c r="D664" t="s">
        <v>2754</v>
      </c>
      <c r="E664" t="s">
        <v>406</v>
      </c>
      <c r="F664">
        <v>99</v>
      </c>
      <c r="G664">
        <v>54</v>
      </c>
      <c r="H664">
        <v>71</v>
      </c>
      <c r="I664" t="s">
        <v>47</v>
      </c>
      <c r="J664" s="7">
        <f t="shared" si="90"/>
        <v>1.5</v>
      </c>
      <c r="K664" t="s">
        <v>548</v>
      </c>
      <c r="L664" s="1">
        <f t="shared" si="91"/>
        <v>45587</v>
      </c>
      <c r="M664" t="s">
        <v>882</v>
      </c>
      <c r="N664" s="1">
        <f t="shared" si="92"/>
        <v>45518</v>
      </c>
      <c r="O664" t="s">
        <v>1343</v>
      </c>
      <c r="P664" s="1">
        <f t="shared" si="93"/>
        <v>45617</v>
      </c>
      <c r="Q664" t="s">
        <v>2755</v>
      </c>
      <c r="R664">
        <v>80</v>
      </c>
      <c r="S664">
        <v>10</v>
      </c>
      <c r="T664" t="s">
        <v>26</v>
      </c>
      <c r="U664" s="8">
        <v>120</v>
      </c>
      <c r="V664" s="8">
        <f t="shared" si="94"/>
        <v>148.5</v>
      </c>
      <c r="W664" t="str">
        <f t="shared" si="95"/>
        <v>Sufficient Stock</v>
      </c>
      <c r="X664" s="9">
        <f t="shared" si="96"/>
        <v>45566</v>
      </c>
      <c r="Y664">
        <f t="shared" si="97"/>
        <v>30</v>
      </c>
      <c r="Z664" t="str">
        <f t="shared" si="98"/>
        <v>Critical</v>
      </c>
    </row>
    <row r="665" spans="1:26" x14ac:dyDescent="0.4">
      <c r="A665" t="s">
        <v>2756</v>
      </c>
      <c r="B665" t="s">
        <v>962</v>
      </c>
      <c r="C665" t="s">
        <v>54</v>
      </c>
      <c r="D665" t="s">
        <v>2757</v>
      </c>
      <c r="E665" t="s">
        <v>2758</v>
      </c>
      <c r="F665">
        <v>46</v>
      </c>
      <c r="G665">
        <v>88</v>
      </c>
      <c r="H665">
        <v>20</v>
      </c>
      <c r="I665" t="s">
        <v>978</v>
      </c>
      <c r="J665" s="7">
        <f t="shared" si="90"/>
        <v>4.8</v>
      </c>
      <c r="K665" s="1">
        <v>45514</v>
      </c>
      <c r="L665" s="1">
        <f t="shared" si="91"/>
        <v>45514</v>
      </c>
      <c r="M665" s="1">
        <v>45516</v>
      </c>
      <c r="N665" s="1">
        <f t="shared" si="92"/>
        <v>45516</v>
      </c>
      <c r="O665" s="1">
        <v>45295</v>
      </c>
      <c r="P665" s="1">
        <f t="shared" si="93"/>
        <v>45295</v>
      </c>
      <c r="Q665" t="s">
        <v>2759</v>
      </c>
      <c r="R665">
        <v>59</v>
      </c>
      <c r="S665">
        <v>79</v>
      </c>
      <c r="T665" t="s">
        <v>42</v>
      </c>
      <c r="U665" s="8">
        <v>283.2</v>
      </c>
      <c r="V665" s="8">
        <f t="shared" si="94"/>
        <v>220.79999999999998</v>
      </c>
      <c r="W665" t="str">
        <f t="shared" si="95"/>
        <v>Reorder Required</v>
      </c>
      <c r="X665" s="9">
        <f t="shared" si="96"/>
        <v>45505</v>
      </c>
      <c r="Y665">
        <f t="shared" si="97"/>
        <v>-219</v>
      </c>
      <c r="Z665" t="str">
        <f t="shared" si="98"/>
        <v>Invalid Data</v>
      </c>
    </row>
    <row r="666" spans="1:26" x14ac:dyDescent="0.4">
      <c r="A666" t="s">
        <v>2760</v>
      </c>
      <c r="B666" t="s">
        <v>1750</v>
      </c>
      <c r="C666" t="s">
        <v>18</v>
      </c>
      <c r="D666" t="s">
        <v>2761</v>
      </c>
      <c r="E666" t="s">
        <v>2377</v>
      </c>
      <c r="F666">
        <v>19</v>
      </c>
      <c r="G666">
        <v>77</v>
      </c>
      <c r="H666">
        <v>66</v>
      </c>
      <c r="I666" t="s">
        <v>591</v>
      </c>
      <c r="J666" s="7">
        <f t="shared" si="90"/>
        <v>10</v>
      </c>
      <c r="K666" s="1">
        <v>45484</v>
      </c>
      <c r="L666" s="1">
        <f t="shared" si="91"/>
        <v>45484</v>
      </c>
      <c r="M666" t="s">
        <v>280</v>
      </c>
      <c r="N666" s="1">
        <f t="shared" si="92"/>
        <v>45704</v>
      </c>
      <c r="O666" t="s">
        <v>1331</v>
      </c>
      <c r="P666" s="1">
        <f t="shared" si="93"/>
        <v>45529</v>
      </c>
      <c r="Q666" t="s">
        <v>2762</v>
      </c>
      <c r="R666">
        <v>62</v>
      </c>
      <c r="S666">
        <v>100</v>
      </c>
      <c r="T666" t="s">
        <v>51</v>
      </c>
      <c r="U666" s="8">
        <v>620</v>
      </c>
      <c r="V666" s="8">
        <f t="shared" si="94"/>
        <v>190</v>
      </c>
      <c r="W666" t="str">
        <f t="shared" si="95"/>
        <v>Reorder Required</v>
      </c>
      <c r="X666" s="9">
        <f t="shared" si="96"/>
        <v>45474</v>
      </c>
      <c r="Y666">
        <f t="shared" si="97"/>
        <v>45</v>
      </c>
      <c r="Z666" t="str">
        <f t="shared" si="98"/>
        <v>High Risk</v>
      </c>
    </row>
    <row r="667" spans="1:26" x14ac:dyDescent="0.4">
      <c r="A667" t="s">
        <v>2763</v>
      </c>
      <c r="B667" t="s">
        <v>1485</v>
      </c>
      <c r="C667" t="s">
        <v>77</v>
      </c>
      <c r="D667" t="s">
        <v>2764</v>
      </c>
      <c r="E667" t="s">
        <v>1799</v>
      </c>
      <c r="F667">
        <v>12</v>
      </c>
      <c r="G667">
        <v>83</v>
      </c>
      <c r="H667">
        <v>93</v>
      </c>
      <c r="I667" t="s">
        <v>63</v>
      </c>
      <c r="J667" s="7">
        <f t="shared" si="90"/>
        <v>1.75</v>
      </c>
      <c r="K667" t="s">
        <v>526</v>
      </c>
      <c r="L667" s="1">
        <f t="shared" si="91"/>
        <v>45592</v>
      </c>
      <c r="M667" t="s">
        <v>252</v>
      </c>
      <c r="N667" s="1">
        <f t="shared" si="92"/>
        <v>45471</v>
      </c>
      <c r="O667" t="s">
        <v>1049</v>
      </c>
      <c r="P667" s="1">
        <f t="shared" si="93"/>
        <v>45497</v>
      </c>
      <c r="Q667" t="s">
        <v>2765</v>
      </c>
      <c r="R667">
        <v>22</v>
      </c>
      <c r="S667">
        <v>9</v>
      </c>
      <c r="T667" t="s">
        <v>42</v>
      </c>
      <c r="U667" s="8">
        <v>38.5</v>
      </c>
      <c r="V667" s="8">
        <f t="shared" si="94"/>
        <v>21</v>
      </c>
      <c r="W667" t="str">
        <f t="shared" si="95"/>
        <v>Reorder Required</v>
      </c>
      <c r="X667" s="9">
        <f t="shared" si="96"/>
        <v>45566</v>
      </c>
      <c r="Y667">
        <f t="shared" si="97"/>
        <v>-95</v>
      </c>
      <c r="Z667" t="str">
        <f t="shared" si="98"/>
        <v>Invalid Data</v>
      </c>
    </row>
    <row r="668" spans="1:26" x14ac:dyDescent="0.4">
      <c r="A668" t="s">
        <v>2766</v>
      </c>
      <c r="B668" t="s">
        <v>820</v>
      </c>
      <c r="C668" t="s">
        <v>77</v>
      </c>
      <c r="D668" t="s">
        <v>2767</v>
      </c>
      <c r="E668" t="s">
        <v>2768</v>
      </c>
      <c r="F668">
        <v>69</v>
      </c>
      <c r="G668">
        <v>98</v>
      </c>
      <c r="H668">
        <v>89</v>
      </c>
      <c r="I668" t="s">
        <v>2337</v>
      </c>
      <c r="J668" s="7">
        <f t="shared" si="90"/>
        <v>2.5499999999999998</v>
      </c>
      <c r="K668" t="s">
        <v>654</v>
      </c>
      <c r="L668" s="1">
        <f t="shared" si="91"/>
        <v>45594</v>
      </c>
      <c r="M668" s="1">
        <v>45539</v>
      </c>
      <c r="N668" s="1">
        <f t="shared" si="92"/>
        <v>45539</v>
      </c>
      <c r="O668" s="1">
        <v>45297</v>
      </c>
      <c r="P668" s="1">
        <f t="shared" si="93"/>
        <v>45297</v>
      </c>
      <c r="Q668" t="s">
        <v>2769</v>
      </c>
      <c r="R668">
        <v>29</v>
      </c>
      <c r="S668">
        <v>34</v>
      </c>
      <c r="T668" t="s">
        <v>26</v>
      </c>
      <c r="U668" s="8">
        <v>73.949999999999989</v>
      </c>
      <c r="V668" s="8">
        <f t="shared" si="94"/>
        <v>175.95</v>
      </c>
      <c r="W668" t="str">
        <f t="shared" si="95"/>
        <v>Reorder Required</v>
      </c>
      <c r="X668" s="9">
        <f t="shared" si="96"/>
        <v>45566</v>
      </c>
      <c r="Y668">
        <f t="shared" si="97"/>
        <v>-297</v>
      </c>
      <c r="Z668" t="str">
        <f t="shared" si="98"/>
        <v>Invalid Data</v>
      </c>
    </row>
    <row r="669" spans="1:26" x14ac:dyDescent="0.4">
      <c r="A669" t="s">
        <v>2770</v>
      </c>
      <c r="B669" t="s">
        <v>88</v>
      </c>
      <c r="C669" t="s">
        <v>77</v>
      </c>
      <c r="D669" t="s">
        <v>2771</v>
      </c>
      <c r="E669" t="s">
        <v>357</v>
      </c>
      <c r="F669">
        <v>63</v>
      </c>
      <c r="G669">
        <v>38</v>
      </c>
      <c r="H669">
        <v>77</v>
      </c>
      <c r="I669" t="s">
        <v>91</v>
      </c>
      <c r="J669" s="7">
        <f t="shared" si="90"/>
        <v>1</v>
      </c>
      <c r="K669" t="s">
        <v>701</v>
      </c>
      <c r="L669" s="1">
        <f t="shared" si="91"/>
        <v>45649</v>
      </c>
      <c r="M669" s="1">
        <v>45993</v>
      </c>
      <c r="N669" s="1">
        <f t="shared" si="92"/>
        <v>45993</v>
      </c>
      <c r="O669" t="s">
        <v>307</v>
      </c>
      <c r="P669" s="1">
        <f t="shared" si="93"/>
        <v>45408</v>
      </c>
      <c r="Q669" t="s">
        <v>2772</v>
      </c>
      <c r="R669">
        <v>23</v>
      </c>
      <c r="S669">
        <v>18</v>
      </c>
      <c r="T669" t="s">
        <v>51</v>
      </c>
      <c r="U669" s="8">
        <v>23</v>
      </c>
      <c r="V669" s="8">
        <f t="shared" si="94"/>
        <v>63</v>
      </c>
      <c r="W669" t="str">
        <f t="shared" si="95"/>
        <v>Sufficient Stock</v>
      </c>
      <c r="X669" s="9">
        <f t="shared" si="96"/>
        <v>45627</v>
      </c>
      <c r="Y669">
        <f t="shared" si="97"/>
        <v>-241</v>
      </c>
      <c r="Z669" t="str">
        <f t="shared" si="98"/>
        <v>Invalid Data</v>
      </c>
    </row>
    <row r="670" spans="1:26" x14ac:dyDescent="0.4">
      <c r="A670" t="s">
        <v>2773</v>
      </c>
      <c r="B670" t="s">
        <v>962</v>
      </c>
      <c r="C670" t="s">
        <v>54</v>
      </c>
      <c r="D670" t="s">
        <v>2774</v>
      </c>
      <c r="E670" t="s">
        <v>2775</v>
      </c>
      <c r="F670">
        <v>78</v>
      </c>
      <c r="G670">
        <v>16</v>
      </c>
      <c r="H670">
        <v>37</v>
      </c>
      <c r="I670" t="s">
        <v>1663</v>
      </c>
      <c r="J670" s="7">
        <f t="shared" si="90"/>
        <v>4.7</v>
      </c>
      <c r="K670" s="1">
        <v>45636</v>
      </c>
      <c r="L670" s="1">
        <f t="shared" si="91"/>
        <v>45636</v>
      </c>
      <c r="M670" s="1">
        <v>45394</v>
      </c>
      <c r="N670" s="1">
        <f t="shared" si="92"/>
        <v>45394</v>
      </c>
      <c r="O670" s="1">
        <v>45297</v>
      </c>
      <c r="P670" s="1">
        <f t="shared" si="93"/>
        <v>45297</v>
      </c>
      <c r="Q670" t="s">
        <v>2776</v>
      </c>
      <c r="R670">
        <v>25</v>
      </c>
      <c r="S670">
        <v>96</v>
      </c>
      <c r="T670" t="s">
        <v>42</v>
      </c>
      <c r="U670" s="8">
        <v>117.5</v>
      </c>
      <c r="V670" s="8">
        <f t="shared" si="94"/>
        <v>366.6</v>
      </c>
      <c r="W670" t="str">
        <f t="shared" si="95"/>
        <v>Sufficient Stock</v>
      </c>
      <c r="X670" s="9">
        <f t="shared" si="96"/>
        <v>45627</v>
      </c>
      <c r="Y670">
        <f t="shared" si="97"/>
        <v>-339</v>
      </c>
      <c r="Z670" t="str">
        <f t="shared" si="98"/>
        <v>Invalid Data</v>
      </c>
    </row>
    <row r="671" spans="1:26" x14ac:dyDescent="0.4">
      <c r="A671" t="s">
        <v>2777</v>
      </c>
      <c r="B671" t="s">
        <v>386</v>
      </c>
      <c r="C671" t="s">
        <v>112</v>
      </c>
      <c r="D671" t="s">
        <v>2778</v>
      </c>
      <c r="E671" t="s">
        <v>152</v>
      </c>
      <c r="F671">
        <v>72</v>
      </c>
      <c r="G671">
        <v>20</v>
      </c>
      <c r="H671">
        <v>71</v>
      </c>
      <c r="I671" t="s">
        <v>71</v>
      </c>
      <c r="J671" s="7">
        <f t="shared" si="90"/>
        <v>2.5</v>
      </c>
      <c r="K671" t="s">
        <v>23</v>
      </c>
      <c r="L671" s="1">
        <f t="shared" si="91"/>
        <v>45472</v>
      </c>
      <c r="M671" t="s">
        <v>807</v>
      </c>
      <c r="N671" s="1">
        <f t="shared" si="92"/>
        <v>45429</v>
      </c>
      <c r="O671" t="s">
        <v>654</v>
      </c>
      <c r="P671" s="1">
        <f t="shared" si="93"/>
        <v>45594</v>
      </c>
      <c r="Q671" t="s">
        <v>2779</v>
      </c>
      <c r="R671">
        <v>87</v>
      </c>
      <c r="S671">
        <v>68</v>
      </c>
      <c r="T671" t="s">
        <v>26</v>
      </c>
      <c r="U671" s="8">
        <v>217.5</v>
      </c>
      <c r="V671" s="8">
        <f t="shared" si="94"/>
        <v>180</v>
      </c>
      <c r="W671" t="str">
        <f t="shared" si="95"/>
        <v>Sufficient Stock</v>
      </c>
      <c r="X671" s="9">
        <f t="shared" si="96"/>
        <v>45444</v>
      </c>
      <c r="Y671">
        <f t="shared" si="97"/>
        <v>122</v>
      </c>
      <c r="Z671" t="str">
        <f t="shared" si="98"/>
        <v>Medium Risk</v>
      </c>
    </row>
    <row r="672" spans="1:26" x14ac:dyDescent="0.4">
      <c r="A672" t="s">
        <v>2780</v>
      </c>
      <c r="B672" t="s">
        <v>1750</v>
      </c>
      <c r="C672" t="s">
        <v>18</v>
      </c>
      <c r="D672" t="s">
        <v>2781</v>
      </c>
      <c r="E672" t="s">
        <v>1094</v>
      </c>
      <c r="F672">
        <v>58</v>
      </c>
      <c r="G672">
        <v>24</v>
      </c>
      <c r="H672">
        <v>25</v>
      </c>
      <c r="I672" t="s">
        <v>591</v>
      </c>
      <c r="J672" s="7">
        <f t="shared" si="90"/>
        <v>10</v>
      </c>
      <c r="K672" t="s">
        <v>301</v>
      </c>
      <c r="L672" s="1">
        <f t="shared" si="91"/>
        <v>45528</v>
      </c>
      <c r="M672" t="s">
        <v>341</v>
      </c>
      <c r="N672" s="1">
        <f t="shared" si="92"/>
        <v>45613</v>
      </c>
      <c r="O672" t="s">
        <v>549</v>
      </c>
      <c r="P672" s="1">
        <f t="shared" si="93"/>
        <v>45372</v>
      </c>
      <c r="Q672" t="s">
        <v>2782</v>
      </c>
      <c r="R672">
        <v>75</v>
      </c>
      <c r="S672">
        <v>26</v>
      </c>
      <c r="T672" t="s">
        <v>51</v>
      </c>
      <c r="U672" s="8">
        <v>750</v>
      </c>
      <c r="V672" s="8">
        <f t="shared" si="94"/>
        <v>580</v>
      </c>
      <c r="W672" t="str">
        <f t="shared" si="95"/>
        <v>Sufficient Stock</v>
      </c>
      <c r="X672" s="9">
        <f t="shared" si="96"/>
        <v>45505</v>
      </c>
      <c r="Y672">
        <f t="shared" si="97"/>
        <v>-156</v>
      </c>
      <c r="Z672" t="str">
        <f t="shared" si="98"/>
        <v>Invalid Data</v>
      </c>
    </row>
    <row r="673" spans="1:26" x14ac:dyDescent="0.4">
      <c r="A673" t="s">
        <v>2783</v>
      </c>
      <c r="B673" t="s">
        <v>76</v>
      </c>
      <c r="C673" t="s">
        <v>77</v>
      </c>
      <c r="D673" t="s">
        <v>2784</v>
      </c>
      <c r="E673" t="s">
        <v>2785</v>
      </c>
      <c r="F673">
        <v>88</v>
      </c>
      <c r="G673">
        <v>22</v>
      </c>
      <c r="H673">
        <v>61</v>
      </c>
      <c r="I673" t="s">
        <v>71</v>
      </c>
      <c r="J673" s="7">
        <f t="shared" si="90"/>
        <v>2.5</v>
      </c>
      <c r="K673" s="1">
        <v>45748</v>
      </c>
      <c r="L673" s="1">
        <f t="shared" si="91"/>
        <v>45748</v>
      </c>
      <c r="M673" t="s">
        <v>842</v>
      </c>
      <c r="N673" s="1">
        <f t="shared" si="92"/>
        <v>45564</v>
      </c>
      <c r="O673" s="1">
        <v>45871</v>
      </c>
      <c r="P673" s="1">
        <f t="shared" si="93"/>
        <v>45871</v>
      </c>
      <c r="Q673" t="s">
        <v>2786</v>
      </c>
      <c r="R673">
        <v>54</v>
      </c>
      <c r="S673">
        <v>100</v>
      </c>
      <c r="T673" t="s">
        <v>26</v>
      </c>
      <c r="U673" s="8">
        <v>135</v>
      </c>
      <c r="V673" s="8">
        <f t="shared" si="94"/>
        <v>220</v>
      </c>
      <c r="W673" t="str">
        <f t="shared" si="95"/>
        <v>Sufficient Stock</v>
      </c>
      <c r="X673" s="9">
        <f t="shared" si="96"/>
        <v>45748</v>
      </c>
      <c r="Y673">
        <f t="shared" si="97"/>
        <v>123</v>
      </c>
      <c r="Z673" t="str">
        <f t="shared" si="98"/>
        <v>Medium Risk</v>
      </c>
    </row>
    <row r="674" spans="1:26" x14ac:dyDescent="0.4">
      <c r="A674" t="s">
        <v>2787</v>
      </c>
      <c r="B674" t="s">
        <v>774</v>
      </c>
      <c r="C674" t="s">
        <v>18</v>
      </c>
      <c r="D674" t="s">
        <v>2788</v>
      </c>
      <c r="E674" t="s">
        <v>1668</v>
      </c>
      <c r="F674">
        <v>54</v>
      </c>
      <c r="G674">
        <v>53</v>
      </c>
      <c r="H674">
        <v>33</v>
      </c>
      <c r="I674" t="s">
        <v>466</v>
      </c>
      <c r="J674" s="7">
        <f t="shared" si="90"/>
        <v>1.8</v>
      </c>
      <c r="K674" s="1">
        <v>45477</v>
      </c>
      <c r="L674" s="1">
        <f t="shared" si="91"/>
        <v>45477</v>
      </c>
      <c r="M674" t="s">
        <v>719</v>
      </c>
      <c r="N674" s="1">
        <f t="shared" si="92"/>
        <v>45674</v>
      </c>
      <c r="O674" s="1">
        <v>45419</v>
      </c>
      <c r="P674" s="1">
        <f t="shared" si="93"/>
        <v>45419</v>
      </c>
      <c r="Q674" t="s">
        <v>2789</v>
      </c>
      <c r="R674">
        <v>94</v>
      </c>
      <c r="S674">
        <v>82</v>
      </c>
      <c r="T674" t="s">
        <v>42</v>
      </c>
      <c r="U674" s="8">
        <v>169.20000000000002</v>
      </c>
      <c r="V674" s="8">
        <f t="shared" si="94"/>
        <v>97.2</v>
      </c>
      <c r="W674" t="str">
        <f t="shared" si="95"/>
        <v>Sufficient Stock</v>
      </c>
      <c r="X674" s="9">
        <f t="shared" si="96"/>
        <v>45474</v>
      </c>
      <c r="Y674">
        <f t="shared" si="97"/>
        <v>-58</v>
      </c>
      <c r="Z674" t="str">
        <f t="shared" si="98"/>
        <v>Invalid Data</v>
      </c>
    </row>
    <row r="675" spans="1:26" x14ac:dyDescent="0.4">
      <c r="A675" t="s">
        <v>2790</v>
      </c>
      <c r="B675" t="s">
        <v>885</v>
      </c>
      <c r="C675" t="s">
        <v>18</v>
      </c>
      <c r="D675" t="s">
        <v>2791</v>
      </c>
      <c r="E675" t="s">
        <v>2164</v>
      </c>
      <c r="F675">
        <v>64</v>
      </c>
      <c r="G675">
        <v>10</v>
      </c>
      <c r="H675">
        <v>100</v>
      </c>
      <c r="I675" t="s">
        <v>71</v>
      </c>
      <c r="J675" s="7">
        <f t="shared" si="90"/>
        <v>2.5</v>
      </c>
      <c r="K675" t="s">
        <v>108</v>
      </c>
      <c r="L675" s="1">
        <f t="shared" si="91"/>
        <v>45579</v>
      </c>
      <c r="M675" s="1">
        <v>45418</v>
      </c>
      <c r="N675" s="1">
        <f t="shared" si="92"/>
        <v>45418</v>
      </c>
      <c r="O675" t="s">
        <v>526</v>
      </c>
      <c r="P675" s="1">
        <f t="shared" si="93"/>
        <v>45592</v>
      </c>
      <c r="Q675" t="s">
        <v>2792</v>
      </c>
      <c r="R675">
        <v>97</v>
      </c>
      <c r="S675">
        <v>52</v>
      </c>
      <c r="T675" t="s">
        <v>51</v>
      </c>
      <c r="U675" s="8">
        <v>242.5</v>
      </c>
      <c r="V675" s="8">
        <f t="shared" si="94"/>
        <v>160</v>
      </c>
      <c r="W675" t="str">
        <f t="shared" si="95"/>
        <v>Sufficient Stock</v>
      </c>
      <c r="X675" s="9">
        <f t="shared" si="96"/>
        <v>45566</v>
      </c>
      <c r="Y675">
        <f t="shared" si="97"/>
        <v>13</v>
      </c>
      <c r="Z675" t="str">
        <f t="shared" si="98"/>
        <v>Critical</v>
      </c>
    </row>
    <row r="676" spans="1:26" x14ac:dyDescent="0.4">
      <c r="A676" t="s">
        <v>2793</v>
      </c>
      <c r="B676" t="s">
        <v>1354</v>
      </c>
      <c r="C676" t="s">
        <v>77</v>
      </c>
      <c r="D676" t="s">
        <v>2794</v>
      </c>
      <c r="E676" t="s">
        <v>1411</v>
      </c>
      <c r="F676">
        <v>12</v>
      </c>
      <c r="G676">
        <v>54</v>
      </c>
      <c r="H676">
        <v>48</v>
      </c>
      <c r="I676" t="s">
        <v>91</v>
      </c>
      <c r="J676" s="7">
        <f t="shared" si="90"/>
        <v>1</v>
      </c>
      <c r="K676" s="1">
        <v>45454</v>
      </c>
      <c r="L676" s="1">
        <f t="shared" si="91"/>
        <v>45454</v>
      </c>
      <c r="M676" t="s">
        <v>230</v>
      </c>
      <c r="N676" s="1">
        <f t="shared" si="92"/>
        <v>45646</v>
      </c>
      <c r="O676" t="s">
        <v>335</v>
      </c>
      <c r="P676" s="1">
        <f t="shared" si="93"/>
        <v>45403</v>
      </c>
      <c r="Q676" t="s">
        <v>2795</v>
      </c>
      <c r="R676">
        <v>31</v>
      </c>
      <c r="S676">
        <v>88</v>
      </c>
      <c r="T676" t="s">
        <v>42</v>
      </c>
      <c r="U676" s="8">
        <v>31</v>
      </c>
      <c r="V676" s="8">
        <f t="shared" si="94"/>
        <v>12</v>
      </c>
      <c r="W676" t="str">
        <f t="shared" si="95"/>
        <v>Reorder Required</v>
      </c>
      <c r="X676" s="9">
        <f t="shared" si="96"/>
        <v>45444</v>
      </c>
      <c r="Y676">
        <f t="shared" si="97"/>
        <v>-51</v>
      </c>
      <c r="Z676" t="str">
        <f t="shared" si="98"/>
        <v>Invalid Data</v>
      </c>
    </row>
    <row r="677" spans="1:26" x14ac:dyDescent="0.4">
      <c r="A677" t="s">
        <v>2796</v>
      </c>
      <c r="B677" t="s">
        <v>304</v>
      </c>
      <c r="C677" t="s">
        <v>54</v>
      </c>
      <c r="D677" t="s">
        <v>2797</v>
      </c>
      <c r="E677" t="s">
        <v>20</v>
      </c>
      <c r="F677">
        <v>61</v>
      </c>
      <c r="G677">
        <v>14</v>
      </c>
      <c r="H677">
        <v>49</v>
      </c>
      <c r="I677" t="s">
        <v>2798</v>
      </c>
      <c r="J677" s="7">
        <f t="shared" si="90"/>
        <v>5.2</v>
      </c>
      <c r="K677" s="1">
        <v>45571</v>
      </c>
      <c r="L677" s="1">
        <f t="shared" si="91"/>
        <v>45571</v>
      </c>
      <c r="M677" s="1">
        <v>45638</v>
      </c>
      <c r="N677" s="1">
        <f t="shared" si="92"/>
        <v>45638</v>
      </c>
      <c r="O677" t="s">
        <v>915</v>
      </c>
      <c r="P677" s="1">
        <f t="shared" si="93"/>
        <v>45498</v>
      </c>
      <c r="Q677" t="s">
        <v>2799</v>
      </c>
      <c r="R677">
        <v>74</v>
      </c>
      <c r="S677">
        <v>35</v>
      </c>
      <c r="T677" t="s">
        <v>26</v>
      </c>
      <c r="U677" s="8">
        <v>384.8</v>
      </c>
      <c r="V677" s="8">
        <f t="shared" si="94"/>
        <v>317.2</v>
      </c>
      <c r="W677" t="str">
        <f t="shared" si="95"/>
        <v>Sufficient Stock</v>
      </c>
      <c r="X677" s="9">
        <f t="shared" si="96"/>
        <v>45566</v>
      </c>
      <c r="Y677">
        <f t="shared" si="97"/>
        <v>-73</v>
      </c>
      <c r="Z677" t="str">
        <f t="shared" si="98"/>
        <v>Invalid Data</v>
      </c>
    </row>
    <row r="678" spans="1:26" x14ac:dyDescent="0.4">
      <c r="A678" t="s">
        <v>2800</v>
      </c>
      <c r="B678" t="s">
        <v>218</v>
      </c>
      <c r="C678" t="s">
        <v>112</v>
      </c>
      <c r="D678" t="s">
        <v>2801</v>
      </c>
      <c r="E678" t="s">
        <v>791</v>
      </c>
      <c r="F678">
        <v>28</v>
      </c>
      <c r="G678">
        <v>62</v>
      </c>
      <c r="H678">
        <v>81</v>
      </c>
      <c r="I678" t="s">
        <v>220</v>
      </c>
      <c r="J678" s="7">
        <f t="shared" si="90"/>
        <v>5</v>
      </c>
      <c r="K678" t="s">
        <v>909</v>
      </c>
      <c r="L678" s="1">
        <f t="shared" si="91"/>
        <v>45378</v>
      </c>
      <c r="M678" t="s">
        <v>1110</v>
      </c>
      <c r="N678" s="1">
        <f t="shared" si="92"/>
        <v>45468</v>
      </c>
      <c r="O678" s="1">
        <v>45483</v>
      </c>
      <c r="P678" s="1">
        <f t="shared" si="93"/>
        <v>45483</v>
      </c>
      <c r="Q678" t="s">
        <v>2802</v>
      </c>
      <c r="R678">
        <v>28</v>
      </c>
      <c r="S678">
        <v>30</v>
      </c>
      <c r="T678" t="s">
        <v>26</v>
      </c>
      <c r="U678" s="8">
        <v>140</v>
      </c>
      <c r="V678" s="8">
        <f t="shared" si="94"/>
        <v>140</v>
      </c>
      <c r="W678" t="str">
        <f t="shared" si="95"/>
        <v>Reorder Required</v>
      </c>
      <c r="X678" s="9">
        <f t="shared" si="96"/>
        <v>45352</v>
      </c>
      <c r="Y678">
        <f t="shared" si="97"/>
        <v>105</v>
      </c>
      <c r="Z678" t="str">
        <f t="shared" si="98"/>
        <v>Medium Risk</v>
      </c>
    </row>
    <row r="679" spans="1:26" x14ac:dyDescent="0.4">
      <c r="A679" t="s">
        <v>2803</v>
      </c>
      <c r="B679" t="s">
        <v>161</v>
      </c>
      <c r="C679" t="s">
        <v>54</v>
      </c>
      <c r="D679" t="s">
        <v>2804</v>
      </c>
      <c r="E679" t="s">
        <v>1520</v>
      </c>
      <c r="F679">
        <v>23</v>
      </c>
      <c r="G679">
        <v>6</v>
      </c>
      <c r="H679">
        <v>40</v>
      </c>
      <c r="I679" t="s">
        <v>71</v>
      </c>
      <c r="J679" s="7">
        <f t="shared" si="90"/>
        <v>2.5</v>
      </c>
      <c r="K679" t="s">
        <v>300</v>
      </c>
      <c r="L679" s="1">
        <f t="shared" si="91"/>
        <v>45371</v>
      </c>
      <c r="M679" t="s">
        <v>1057</v>
      </c>
      <c r="N679" s="1">
        <f t="shared" si="92"/>
        <v>45645</v>
      </c>
      <c r="O679" t="s">
        <v>792</v>
      </c>
      <c r="P679" s="1">
        <f t="shared" si="93"/>
        <v>45462</v>
      </c>
      <c r="Q679" t="s">
        <v>2805</v>
      </c>
      <c r="R679">
        <v>95</v>
      </c>
      <c r="S679">
        <v>24</v>
      </c>
      <c r="T679" t="s">
        <v>42</v>
      </c>
      <c r="U679" s="8">
        <v>237.5</v>
      </c>
      <c r="V679" s="8">
        <f t="shared" si="94"/>
        <v>57.5</v>
      </c>
      <c r="W679" t="str">
        <f t="shared" si="95"/>
        <v>Sufficient Stock</v>
      </c>
      <c r="X679" s="9">
        <f t="shared" si="96"/>
        <v>45352</v>
      </c>
      <c r="Y679">
        <f t="shared" si="97"/>
        <v>91</v>
      </c>
      <c r="Z679" t="str">
        <f t="shared" si="98"/>
        <v>Medium Risk</v>
      </c>
    </row>
    <row r="680" spans="1:26" x14ac:dyDescent="0.4">
      <c r="A680" t="s">
        <v>2806</v>
      </c>
      <c r="B680" t="s">
        <v>588</v>
      </c>
      <c r="C680" t="s">
        <v>54</v>
      </c>
      <c r="D680" t="s">
        <v>2807</v>
      </c>
      <c r="E680" t="s">
        <v>284</v>
      </c>
      <c r="F680">
        <v>87</v>
      </c>
      <c r="G680">
        <v>51</v>
      </c>
      <c r="H680">
        <v>67</v>
      </c>
      <c r="I680" t="s">
        <v>591</v>
      </c>
      <c r="J680" s="7">
        <f t="shared" si="90"/>
        <v>10</v>
      </c>
      <c r="K680" s="1">
        <v>45839</v>
      </c>
      <c r="L680" s="1">
        <f t="shared" si="91"/>
        <v>45839</v>
      </c>
      <c r="M680" s="1">
        <v>45418</v>
      </c>
      <c r="N680" s="1">
        <f t="shared" si="92"/>
        <v>45418</v>
      </c>
      <c r="O680" s="1">
        <v>45448</v>
      </c>
      <c r="P680" s="1">
        <f t="shared" si="93"/>
        <v>45448</v>
      </c>
      <c r="Q680" t="s">
        <v>2808</v>
      </c>
      <c r="R680">
        <v>55</v>
      </c>
      <c r="S680">
        <v>100</v>
      </c>
      <c r="T680" t="s">
        <v>42</v>
      </c>
      <c r="U680" s="8">
        <v>550</v>
      </c>
      <c r="V680" s="8">
        <f t="shared" si="94"/>
        <v>870</v>
      </c>
      <c r="W680" t="str">
        <f t="shared" si="95"/>
        <v>Sufficient Stock</v>
      </c>
      <c r="X680" s="9">
        <f t="shared" si="96"/>
        <v>45839</v>
      </c>
      <c r="Y680">
        <f t="shared" si="97"/>
        <v>-391</v>
      </c>
      <c r="Z680" t="str">
        <f t="shared" si="98"/>
        <v>Invalid Data</v>
      </c>
    </row>
    <row r="681" spans="1:26" x14ac:dyDescent="0.4">
      <c r="A681" t="s">
        <v>2809</v>
      </c>
      <c r="B681" t="s">
        <v>989</v>
      </c>
      <c r="C681" t="s">
        <v>29</v>
      </c>
      <c r="D681" t="s">
        <v>2810</v>
      </c>
      <c r="E681" t="s">
        <v>1714</v>
      </c>
      <c r="F681">
        <v>59</v>
      </c>
      <c r="G681">
        <v>31</v>
      </c>
      <c r="H681">
        <v>3</v>
      </c>
      <c r="I681" t="s">
        <v>591</v>
      </c>
      <c r="J681" s="7">
        <f t="shared" si="90"/>
        <v>10</v>
      </c>
      <c r="K681" t="s">
        <v>434</v>
      </c>
      <c r="L681" s="1">
        <f t="shared" si="91"/>
        <v>45550</v>
      </c>
      <c r="M681" t="s">
        <v>299</v>
      </c>
      <c r="N681" s="1">
        <f t="shared" si="92"/>
        <v>45678</v>
      </c>
      <c r="O681" t="s">
        <v>548</v>
      </c>
      <c r="P681" s="1">
        <f t="shared" si="93"/>
        <v>45587</v>
      </c>
      <c r="Q681" t="s">
        <v>2811</v>
      </c>
      <c r="R681">
        <v>48</v>
      </c>
      <c r="S681">
        <v>51</v>
      </c>
      <c r="T681" t="s">
        <v>51</v>
      </c>
      <c r="U681" s="8">
        <v>480</v>
      </c>
      <c r="V681" s="8">
        <f t="shared" si="94"/>
        <v>590</v>
      </c>
      <c r="W681" t="str">
        <f t="shared" si="95"/>
        <v>Sufficient Stock</v>
      </c>
      <c r="X681" s="9">
        <f t="shared" si="96"/>
        <v>45536</v>
      </c>
      <c r="Y681">
        <f t="shared" si="97"/>
        <v>37</v>
      </c>
      <c r="Z681" t="str">
        <f t="shared" si="98"/>
        <v>High Risk</v>
      </c>
    </row>
    <row r="682" spans="1:26" x14ac:dyDescent="0.4">
      <c r="A682" t="s">
        <v>2812</v>
      </c>
      <c r="B682" t="s">
        <v>994</v>
      </c>
      <c r="C682" t="s">
        <v>54</v>
      </c>
      <c r="D682" t="s">
        <v>2813</v>
      </c>
      <c r="E682" t="s">
        <v>62</v>
      </c>
      <c r="F682">
        <v>13</v>
      </c>
      <c r="G682">
        <v>88</v>
      </c>
      <c r="H682">
        <v>11</v>
      </c>
      <c r="I682" t="s">
        <v>85</v>
      </c>
      <c r="J682" s="7">
        <f t="shared" si="90"/>
        <v>3</v>
      </c>
      <c r="K682" t="s">
        <v>229</v>
      </c>
      <c r="L682" s="1">
        <f t="shared" si="91"/>
        <v>45615</v>
      </c>
      <c r="M682" s="1">
        <v>45417</v>
      </c>
      <c r="N682" s="1">
        <f t="shared" si="92"/>
        <v>45417</v>
      </c>
      <c r="O682" t="s">
        <v>524</v>
      </c>
      <c r="P682" s="1">
        <f t="shared" si="93"/>
        <v>45640</v>
      </c>
      <c r="Q682" t="s">
        <v>2814</v>
      </c>
      <c r="R682">
        <v>100</v>
      </c>
      <c r="S682">
        <v>52</v>
      </c>
      <c r="T682" t="s">
        <v>42</v>
      </c>
      <c r="U682" s="8">
        <v>300</v>
      </c>
      <c r="V682" s="8">
        <f t="shared" si="94"/>
        <v>39</v>
      </c>
      <c r="W682" t="str">
        <f t="shared" si="95"/>
        <v>Reorder Required</v>
      </c>
      <c r="X682" s="9">
        <f t="shared" si="96"/>
        <v>45597</v>
      </c>
      <c r="Y682">
        <f t="shared" si="97"/>
        <v>25</v>
      </c>
      <c r="Z682" t="str">
        <f t="shared" si="98"/>
        <v>Critical</v>
      </c>
    </row>
    <row r="683" spans="1:26" x14ac:dyDescent="0.4">
      <c r="A683" t="s">
        <v>2815</v>
      </c>
      <c r="B683" t="s">
        <v>722</v>
      </c>
      <c r="C683" t="s">
        <v>54</v>
      </c>
      <c r="D683" t="s">
        <v>2816</v>
      </c>
      <c r="E683" t="s">
        <v>560</v>
      </c>
      <c r="F683">
        <v>81</v>
      </c>
      <c r="G683">
        <v>87</v>
      </c>
      <c r="H683">
        <v>15</v>
      </c>
      <c r="I683" t="s">
        <v>39</v>
      </c>
      <c r="J683" s="7">
        <f t="shared" si="90"/>
        <v>6</v>
      </c>
      <c r="K683" s="1">
        <v>45870</v>
      </c>
      <c r="L683" s="1">
        <f t="shared" si="91"/>
        <v>45870</v>
      </c>
      <c r="M683" t="s">
        <v>286</v>
      </c>
      <c r="N683" s="1">
        <f t="shared" si="92"/>
        <v>45682</v>
      </c>
      <c r="O683" s="1">
        <v>45544</v>
      </c>
      <c r="P683" s="1">
        <f t="shared" si="93"/>
        <v>45544</v>
      </c>
      <c r="Q683" t="s">
        <v>2817</v>
      </c>
      <c r="R683">
        <v>94</v>
      </c>
      <c r="S683">
        <v>10</v>
      </c>
      <c r="T683" t="s">
        <v>42</v>
      </c>
      <c r="U683" s="8">
        <v>564</v>
      </c>
      <c r="V683" s="8">
        <f t="shared" si="94"/>
        <v>486</v>
      </c>
      <c r="W683" t="str">
        <f t="shared" si="95"/>
        <v>Reorder Required</v>
      </c>
      <c r="X683" s="9">
        <f t="shared" si="96"/>
        <v>45870</v>
      </c>
      <c r="Y683">
        <f t="shared" si="97"/>
        <v>-326</v>
      </c>
      <c r="Z683" t="str">
        <f t="shared" si="98"/>
        <v>Invalid Data</v>
      </c>
    </row>
    <row r="684" spans="1:26" x14ac:dyDescent="0.4">
      <c r="A684" t="s">
        <v>2818</v>
      </c>
      <c r="B684" t="s">
        <v>386</v>
      </c>
      <c r="C684" t="s">
        <v>112</v>
      </c>
      <c r="D684" t="s">
        <v>2819</v>
      </c>
      <c r="E684" t="s">
        <v>977</v>
      </c>
      <c r="F684">
        <v>61</v>
      </c>
      <c r="G684">
        <v>77</v>
      </c>
      <c r="H684">
        <v>45</v>
      </c>
      <c r="I684" t="s">
        <v>71</v>
      </c>
      <c r="J684" s="7">
        <f t="shared" si="90"/>
        <v>2.5</v>
      </c>
      <c r="K684" t="s">
        <v>549</v>
      </c>
      <c r="L684" s="1">
        <f t="shared" si="91"/>
        <v>45372</v>
      </c>
      <c r="M684" t="s">
        <v>462</v>
      </c>
      <c r="N684" s="1">
        <f t="shared" si="92"/>
        <v>45351</v>
      </c>
      <c r="O684" t="s">
        <v>165</v>
      </c>
      <c r="P684" s="1">
        <f t="shared" si="93"/>
        <v>45465</v>
      </c>
      <c r="Q684" t="s">
        <v>2820</v>
      </c>
      <c r="R684">
        <v>51</v>
      </c>
      <c r="S684">
        <v>48</v>
      </c>
      <c r="T684" t="s">
        <v>42</v>
      </c>
      <c r="U684" s="8">
        <v>127.5</v>
      </c>
      <c r="V684" s="8">
        <f t="shared" si="94"/>
        <v>152.5</v>
      </c>
      <c r="W684" t="str">
        <f t="shared" si="95"/>
        <v>Reorder Required</v>
      </c>
      <c r="X684" s="9">
        <f t="shared" si="96"/>
        <v>45352</v>
      </c>
      <c r="Y684">
        <f t="shared" si="97"/>
        <v>93</v>
      </c>
      <c r="Z684" t="str">
        <f t="shared" si="98"/>
        <v>Medium Risk</v>
      </c>
    </row>
    <row r="685" spans="1:26" x14ac:dyDescent="0.4">
      <c r="A685" t="s">
        <v>2821</v>
      </c>
      <c r="B685" t="s">
        <v>425</v>
      </c>
      <c r="C685" t="s">
        <v>54</v>
      </c>
      <c r="D685" t="s">
        <v>2822</v>
      </c>
      <c r="E685" t="s">
        <v>2115</v>
      </c>
      <c r="F685">
        <v>80</v>
      </c>
      <c r="G685">
        <v>91</v>
      </c>
      <c r="H685">
        <v>36</v>
      </c>
      <c r="I685" t="s">
        <v>47</v>
      </c>
      <c r="J685" s="7">
        <f t="shared" si="90"/>
        <v>1.5</v>
      </c>
      <c r="K685" t="s">
        <v>561</v>
      </c>
      <c r="L685" s="1">
        <f t="shared" si="91"/>
        <v>45375</v>
      </c>
      <c r="M685" s="1">
        <v>45511</v>
      </c>
      <c r="N685" s="1">
        <f t="shared" si="92"/>
        <v>45511</v>
      </c>
      <c r="O685" t="s">
        <v>1272</v>
      </c>
      <c r="P685" s="1">
        <f t="shared" si="93"/>
        <v>45591</v>
      </c>
      <c r="Q685" t="s">
        <v>2823</v>
      </c>
      <c r="R685">
        <v>81</v>
      </c>
      <c r="S685">
        <v>74</v>
      </c>
      <c r="T685" t="s">
        <v>51</v>
      </c>
      <c r="U685" s="8">
        <v>121.5</v>
      </c>
      <c r="V685" s="8">
        <f t="shared" si="94"/>
        <v>120</v>
      </c>
      <c r="W685" t="str">
        <f t="shared" si="95"/>
        <v>Reorder Required</v>
      </c>
      <c r="X685" s="9">
        <f t="shared" si="96"/>
        <v>45352</v>
      </c>
      <c r="Y685">
        <f t="shared" si="97"/>
        <v>216</v>
      </c>
      <c r="Z685" t="str">
        <f t="shared" si="98"/>
        <v>Low Risk</v>
      </c>
    </row>
    <row r="686" spans="1:26" x14ac:dyDescent="0.4">
      <c r="A686" t="s">
        <v>2824</v>
      </c>
      <c r="B686" t="s">
        <v>1406</v>
      </c>
      <c r="C686" t="s">
        <v>18</v>
      </c>
      <c r="D686" t="s">
        <v>2825</v>
      </c>
      <c r="E686" t="s">
        <v>2449</v>
      </c>
      <c r="F686">
        <v>39</v>
      </c>
      <c r="G686">
        <v>57</v>
      </c>
      <c r="H686">
        <v>54</v>
      </c>
      <c r="I686" t="s">
        <v>71</v>
      </c>
      <c r="J686" s="7">
        <f t="shared" si="90"/>
        <v>2.5</v>
      </c>
      <c r="K686" s="1">
        <v>45455</v>
      </c>
      <c r="L686" s="1">
        <f t="shared" si="91"/>
        <v>45455</v>
      </c>
      <c r="M686" s="1">
        <v>45446</v>
      </c>
      <c r="N686" s="1">
        <f t="shared" si="92"/>
        <v>45446</v>
      </c>
      <c r="O686" s="1">
        <v>45604</v>
      </c>
      <c r="P686" s="1">
        <f t="shared" si="93"/>
        <v>45604</v>
      </c>
      <c r="Q686" t="s">
        <v>2826</v>
      </c>
      <c r="R686">
        <v>77</v>
      </c>
      <c r="S686">
        <v>32</v>
      </c>
      <c r="T686" t="s">
        <v>51</v>
      </c>
      <c r="U686" s="8">
        <v>192.5</v>
      </c>
      <c r="V686" s="8">
        <f t="shared" si="94"/>
        <v>97.5</v>
      </c>
      <c r="W686" t="str">
        <f t="shared" si="95"/>
        <v>Reorder Required</v>
      </c>
      <c r="X686" s="9">
        <f t="shared" si="96"/>
        <v>45444</v>
      </c>
      <c r="Y686">
        <f t="shared" si="97"/>
        <v>149</v>
      </c>
      <c r="Z686" t="str">
        <f t="shared" si="98"/>
        <v>Medium Risk</v>
      </c>
    </row>
    <row r="687" spans="1:26" x14ac:dyDescent="0.4">
      <c r="A687" t="s">
        <v>2827</v>
      </c>
      <c r="B687" t="s">
        <v>184</v>
      </c>
      <c r="C687" t="s">
        <v>54</v>
      </c>
      <c r="D687" t="s">
        <v>2828</v>
      </c>
      <c r="E687" t="s">
        <v>729</v>
      </c>
      <c r="F687">
        <v>69</v>
      </c>
      <c r="G687">
        <v>21</v>
      </c>
      <c r="H687">
        <v>68</v>
      </c>
      <c r="I687" t="s">
        <v>2829</v>
      </c>
      <c r="J687" s="7">
        <f t="shared" si="90"/>
        <v>66.55</v>
      </c>
      <c r="K687" t="s">
        <v>701</v>
      </c>
      <c r="L687" s="1">
        <f t="shared" si="91"/>
        <v>45649</v>
      </c>
      <c r="M687" t="s">
        <v>402</v>
      </c>
      <c r="N687" s="1">
        <f t="shared" si="92"/>
        <v>45622</v>
      </c>
      <c r="O687" t="s">
        <v>121</v>
      </c>
      <c r="P687" s="1">
        <f t="shared" si="93"/>
        <v>45556</v>
      </c>
      <c r="Q687" t="s">
        <v>2830</v>
      </c>
      <c r="R687">
        <v>36</v>
      </c>
      <c r="S687">
        <v>35</v>
      </c>
      <c r="T687" t="s">
        <v>26</v>
      </c>
      <c r="U687" s="8">
        <v>2395.7999999999997</v>
      </c>
      <c r="V687" s="8">
        <f t="shared" si="94"/>
        <v>4591.95</v>
      </c>
      <c r="W687" t="str">
        <f t="shared" si="95"/>
        <v>Sufficient Stock</v>
      </c>
      <c r="X687" s="9">
        <f t="shared" si="96"/>
        <v>45627</v>
      </c>
      <c r="Y687">
        <f t="shared" si="97"/>
        <v>-93</v>
      </c>
      <c r="Z687" t="str">
        <f t="shared" si="98"/>
        <v>Invalid Data</v>
      </c>
    </row>
    <row r="688" spans="1:26" x14ac:dyDescent="0.4">
      <c r="A688" t="s">
        <v>2831</v>
      </c>
      <c r="B688" t="s">
        <v>76</v>
      </c>
      <c r="C688" t="s">
        <v>77</v>
      </c>
      <c r="D688" t="s">
        <v>2832</v>
      </c>
      <c r="E688" t="s">
        <v>2833</v>
      </c>
      <c r="F688">
        <v>60</v>
      </c>
      <c r="G688">
        <v>43</v>
      </c>
      <c r="H688">
        <v>32</v>
      </c>
      <c r="I688" t="s">
        <v>71</v>
      </c>
      <c r="J688" s="7">
        <f t="shared" si="90"/>
        <v>2.5</v>
      </c>
      <c r="K688" s="1">
        <v>45419</v>
      </c>
      <c r="L688" s="1">
        <f t="shared" si="91"/>
        <v>45419</v>
      </c>
      <c r="M688" s="1">
        <v>45392</v>
      </c>
      <c r="N688" s="1">
        <f t="shared" si="92"/>
        <v>45392</v>
      </c>
      <c r="O688" s="1">
        <v>45542</v>
      </c>
      <c r="P688" s="1">
        <f t="shared" si="93"/>
        <v>45542</v>
      </c>
      <c r="Q688" t="s">
        <v>2834</v>
      </c>
      <c r="R688">
        <v>77</v>
      </c>
      <c r="S688">
        <v>60</v>
      </c>
      <c r="T688" t="s">
        <v>51</v>
      </c>
      <c r="U688" s="8">
        <v>192.5</v>
      </c>
      <c r="V688" s="8">
        <f t="shared" si="94"/>
        <v>150</v>
      </c>
      <c r="W688" t="str">
        <f t="shared" si="95"/>
        <v>Sufficient Stock</v>
      </c>
      <c r="X688" s="9">
        <f t="shared" si="96"/>
        <v>45413</v>
      </c>
      <c r="Y688">
        <f t="shared" si="97"/>
        <v>123</v>
      </c>
      <c r="Z688" t="str">
        <f t="shared" si="98"/>
        <v>Medium Risk</v>
      </c>
    </row>
    <row r="689" spans="1:26" x14ac:dyDescent="0.4">
      <c r="A689" t="s">
        <v>2835</v>
      </c>
      <c r="B689" t="s">
        <v>839</v>
      </c>
      <c r="C689" t="s">
        <v>77</v>
      </c>
      <c r="D689" t="s">
        <v>2836</v>
      </c>
      <c r="E689" t="s">
        <v>2837</v>
      </c>
      <c r="F689">
        <v>22</v>
      </c>
      <c r="G689">
        <v>43</v>
      </c>
      <c r="H689">
        <v>3</v>
      </c>
      <c r="I689" t="s">
        <v>2081</v>
      </c>
      <c r="J689" s="7">
        <f t="shared" si="90"/>
        <v>4.0999999999999996</v>
      </c>
      <c r="K689" s="1">
        <v>45659</v>
      </c>
      <c r="L689" s="1">
        <f t="shared" si="91"/>
        <v>45659</v>
      </c>
      <c r="M689" t="s">
        <v>955</v>
      </c>
      <c r="N689" s="1">
        <f t="shared" si="92"/>
        <v>45499</v>
      </c>
      <c r="O689" s="1">
        <v>45514</v>
      </c>
      <c r="P689" s="1">
        <f t="shared" si="93"/>
        <v>45514</v>
      </c>
      <c r="Q689" t="s">
        <v>2838</v>
      </c>
      <c r="R689">
        <v>45</v>
      </c>
      <c r="S689">
        <v>87</v>
      </c>
      <c r="T689" t="s">
        <v>42</v>
      </c>
      <c r="U689" s="8">
        <v>184.49999999999997</v>
      </c>
      <c r="V689" s="8">
        <f t="shared" si="94"/>
        <v>90.199999999999989</v>
      </c>
      <c r="W689" t="str">
        <f t="shared" si="95"/>
        <v>Reorder Required</v>
      </c>
      <c r="X689" s="9">
        <f t="shared" si="96"/>
        <v>45658</v>
      </c>
      <c r="Y689">
        <f t="shared" si="97"/>
        <v>-145</v>
      </c>
      <c r="Z689" t="str">
        <f t="shared" si="98"/>
        <v>Invalid Data</v>
      </c>
    </row>
    <row r="690" spans="1:26" x14ac:dyDescent="0.4">
      <c r="A690" t="s">
        <v>2839</v>
      </c>
      <c r="B690" t="s">
        <v>669</v>
      </c>
      <c r="C690" t="s">
        <v>18</v>
      </c>
      <c r="D690" t="s">
        <v>2840</v>
      </c>
      <c r="E690" t="s">
        <v>2841</v>
      </c>
      <c r="F690">
        <v>79</v>
      </c>
      <c r="G690">
        <v>47</v>
      </c>
      <c r="H690">
        <v>51</v>
      </c>
      <c r="I690" t="s">
        <v>671</v>
      </c>
      <c r="J690" s="7">
        <f t="shared" si="90"/>
        <v>9.5</v>
      </c>
      <c r="K690" t="s">
        <v>1357</v>
      </c>
      <c r="L690" s="1">
        <f t="shared" si="91"/>
        <v>45492</v>
      </c>
      <c r="M690" t="s">
        <v>280</v>
      </c>
      <c r="N690" s="1">
        <f t="shared" si="92"/>
        <v>45704</v>
      </c>
      <c r="O690" t="s">
        <v>366</v>
      </c>
      <c r="P690" s="1">
        <f t="shared" si="93"/>
        <v>45685</v>
      </c>
      <c r="Q690" t="s">
        <v>2842</v>
      </c>
      <c r="R690">
        <v>83</v>
      </c>
      <c r="S690">
        <v>69</v>
      </c>
      <c r="T690" t="s">
        <v>26</v>
      </c>
      <c r="U690" s="8">
        <v>788.5</v>
      </c>
      <c r="V690" s="8">
        <f t="shared" si="94"/>
        <v>750.5</v>
      </c>
      <c r="W690" t="str">
        <f t="shared" si="95"/>
        <v>Sufficient Stock</v>
      </c>
      <c r="X690" s="9">
        <f t="shared" si="96"/>
        <v>45474</v>
      </c>
      <c r="Y690">
        <f t="shared" si="97"/>
        <v>193</v>
      </c>
      <c r="Z690" t="str">
        <f t="shared" si="98"/>
        <v>Low Risk</v>
      </c>
    </row>
    <row r="691" spans="1:26" x14ac:dyDescent="0.4">
      <c r="A691" t="s">
        <v>2843</v>
      </c>
      <c r="B691" t="s">
        <v>476</v>
      </c>
      <c r="C691" t="s">
        <v>54</v>
      </c>
      <c r="D691" t="s">
        <v>2844</v>
      </c>
      <c r="E691" t="s">
        <v>2341</v>
      </c>
      <c r="F691">
        <v>47</v>
      </c>
      <c r="G691">
        <v>63</v>
      </c>
      <c r="H691">
        <v>86</v>
      </c>
      <c r="I691" t="s">
        <v>57</v>
      </c>
      <c r="J691" s="7">
        <f t="shared" si="90"/>
        <v>4</v>
      </c>
      <c r="K691" t="s">
        <v>148</v>
      </c>
      <c r="L691" s="1">
        <f t="shared" si="91"/>
        <v>45431</v>
      </c>
      <c r="M691" t="s">
        <v>827</v>
      </c>
      <c r="N691" s="1">
        <f t="shared" si="92"/>
        <v>45701</v>
      </c>
      <c r="O691" s="1">
        <v>45478</v>
      </c>
      <c r="P691" s="1">
        <f t="shared" si="93"/>
        <v>45478</v>
      </c>
      <c r="Q691" t="s">
        <v>2845</v>
      </c>
      <c r="R691">
        <v>76</v>
      </c>
      <c r="S691">
        <v>29</v>
      </c>
      <c r="T691" t="s">
        <v>51</v>
      </c>
      <c r="U691" s="8">
        <v>304</v>
      </c>
      <c r="V691" s="8">
        <f t="shared" si="94"/>
        <v>188</v>
      </c>
      <c r="W691" t="str">
        <f t="shared" si="95"/>
        <v>Reorder Required</v>
      </c>
      <c r="X691" s="9">
        <f t="shared" si="96"/>
        <v>45413</v>
      </c>
      <c r="Y691">
        <f t="shared" si="97"/>
        <v>47</v>
      </c>
      <c r="Z691" t="str">
        <f t="shared" si="98"/>
        <v>High Risk</v>
      </c>
    </row>
    <row r="692" spans="1:26" x14ac:dyDescent="0.4">
      <c r="A692" t="s">
        <v>2846</v>
      </c>
      <c r="B692" t="s">
        <v>621</v>
      </c>
      <c r="C692" t="s">
        <v>18</v>
      </c>
      <c r="D692" t="s">
        <v>2847</v>
      </c>
      <c r="E692" t="s">
        <v>2572</v>
      </c>
      <c r="F692">
        <v>20</v>
      </c>
      <c r="G692">
        <v>25</v>
      </c>
      <c r="H692">
        <v>73</v>
      </c>
      <c r="I692" t="s">
        <v>624</v>
      </c>
      <c r="J692" s="7">
        <f t="shared" si="90"/>
        <v>4.75</v>
      </c>
      <c r="K692" s="1">
        <v>45514</v>
      </c>
      <c r="L692" s="1">
        <f t="shared" si="91"/>
        <v>45514</v>
      </c>
      <c r="M692" s="1">
        <v>45329</v>
      </c>
      <c r="N692" s="1">
        <f t="shared" si="92"/>
        <v>45329</v>
      </c>
      <c r="O692" t="s">
        <v>935</v>
      </c>
      <c r="P692" s="1">
        <f t="shared" si="93"/>
        <v>45560</v>
      </c>
      <c r="Q692" t="s">
        <v>2848</v>
      </c>
      <c r="R692">
        <v>78</v>
      </c>
      <c r="S692">
        <v>1</v>
      </c>
      <c r="T692" t="s">
        <v>26</v>
      </c>
      <c r="U692" s="8">
        <v>370.5</v>
      </c>
      <c r="V692" s="8">
        <f t="shared" si="94"/>
        <v>95</v>
      </c>
      <c r="W692" t="str">
        <f t="shared" si="95"/>
        <v>Reorder Required</v>
      </c>
      <c r="X692" s="9">
        <f t="shared" si="96"/>
        <v>45505</v>
      </c>
      <c r="Y692">
        <f t="shared" si="97"/>
        <v>46</v>
      </c>
      <c r="Z692" t="str">
        <f t="shared" si="98"/>
        <v>High Risk</v>
      </c>
    </row>
    <row r="693" spans="1:26" x14ac:dyDescent="0.4">
      <c r="A693" t="s">
        <v>2849</v>
      </c>
      <c r="B693" t="s">
        <v>799</v>
      </c>
      <c r="C693" t="s">
        <v>77</v>
      </c>
      <c r="D693" t="s">
        <v>2850</v>
      </c>
      <c r="E693" t="s">
        <v>178</v>
      </c>
      <c r="F693">
        <v>41</v>
      </c>
      <c r="G693">
        <v>22</v>
      </c>
      <c r="H693">
        <v>11</v>
      </c>
      <c r="I693" t="s">
        <v>134</v>
      </c>
      <c r="J693" s="7">
        <f t="shared" si="90"/>
        <v>7</v>
      </c>
      <c r="K693" t="s">
        <v>792</v>
      </c>
      <c r="L693" s="1">
        <f t="shared" si="91"/>
        <v>45462</v>
      </c>
      <c r="M693" t="s">
        <v>956</v>
      </c>
      <c r="N693" s="1">
        <f t="shared" si="92"/>
        <v>45405</v>
      </c>
      <c r="O693" t="s">
        <v>49</v>
      </c>
      <c r="P693" s="1">
        <f t="shared" si="93"/>
        <v>45399</v>
      </c>
      <c r="Q693" t="s">
        <v>2851</v>
      </c>
      <c r="R693">
        <v>86</v>
      </c>
      <c r="S693">
        <v>30</v>
      </c>
      <c r="T693" t="s">
        <v>51</v>
      </c>
      <c r="U693" s="8">
        <v>602</v>
      </c>
      <c r="V693" s="8">
        <f t="shared" si="94"/>
        <v>287</v>
      </c>
      <c r="W693" t="str">
        <f t="shared" si="95"/>
        <v>Sufficient Stock</v>
      </c>
      <c r="X693" s="9">
        <f t="shared" si="96"/>
        <v>45444</v>
      </c>
      <c r="Y693">
        <f t="shared" si="97"/>
        <v>-63</v>
      </c>
      <c r="Z693" t="str">
        <f t="shared" si="98"/>
        <v>Invalid Data</v>
      </c>
    </row>
    <row r="694" spans="1:26" x14ac:dyDescent="0.4">
      <c r="A694" t="s">
        <v>2852</v>
      </c>
      <c r="B694" t="s">
        <v>677</v>
      </c>
      <c r="C694" t="s">
        <v>169</v>
      </c>
      <c r="D694" t="s">
        <v>2853</v>
      </c>
      <c r="E694" t="s">
        <v>1880</v>
      </c>
      <c r="F694">
        <v>46</v>
      </c>
      <c r="G694">
        <v>80</v>
      </c>
      <c r="H694">
        <v>88</v>
      </c>
      <c r="I694" t="s">
        <v>134</v>
      </c>
      <c r="J694" s="7">
        <f t="shared" si="90"/>
        <v>7</v>
      </c>
      <c r="K694" t="s">
        <v>24</v>
      </c>
      <c r="L694" s="1">
        <f t="shared" si="91"/>
        <v>45554</v>
      </c>
      <c r="M694" s="1">
        <v>45479</v>
      </c>
      <c r="N694" s="1">
        <f t="shared" si="92"/>
        <v>45479</v>
      </c>
      <c r="O694" t="s">
        <v>579</v>
      </c>
      <c r="P694" s="1">
        <f t="shared" si="93"/>
        <v>45460</v>
      </c>
      <c r="Q694" t="s">
        <v>2854</v>
      </c>
      <c r="R694">
        <v>62</v>
      </c>
      <c r="S694">
        <v>22</v>
      </c>
      <c r="T694" t="s">
        <v>26</v>
      </c>
      <c r="U694" s="8">
        <v>434</v>
      </c>
      <c r="V694" s="8">
        <f t="shared" si="94"/>
        <v>322</v>
      </c>
      <c r="W694" t="str">
        <f t="shared" si="95"/>
        <v>Reorder Required</v>
      </c>
      <c r="X694" s="9">
        <f t="shared" si="96"/>
        <v>45536</v>
      </c>
      <c r="Y694">
        <f t="shared" si="97"/>
        <v>-94</v>
      </c>
      <c r="Z694" t="str">
        <f t="shared" si="98"/>
        <v>Invalid Data</v>
      </c>
    </row>
    <row r="695" spans="1:26" x14ac:dyDescent="0.4">
      <c r="A695" t="s">
        <v>2855</v>
      </c>
      <c r="B695" t="s">
        <v>607</v>
      </c>
      <c r="C695" t="s">
        <v>68</v>
      </c>
      <c r="D695" t="s">
        <v>2856</v>
      </c>
      <c r="E695" t="s">
        <v>460</v>
      </c>
      <c r="F695">
        <v>67</v>
      </c>
      <c r="G695">
        <v>57</v>
      </c>
      <c r="H695">
        <v>36</v>
      </c>
      <c r="I695" t="s">
        <v>466</v>
      </c>
      <c r="J695" s="7">
        <f t="shared" si="90"/>
        <v>1.8</v>
      </c>
      <c r="K695" s="1">
        <v>45330</v>
      </c>
      <c r="L695" s="1">
        <f t="shared" si="91"/>
        <v>45330</v>
      </c>
      <c r="M695" s="1">
        <v>45569</v>
      </c>
      <c r="N695" s="1">
        <f t="shared" si="92"/>
        <v>45569</v>
      </c>
      <c r="O695" t="s">
        <v>1129</v>
      </c>
      <c r="P695" s="1">
        <f t="shared" si="93"/>
        <v>45439</v>
      </c>
      <c r="Q695" t="s">
        <v>2857</v>
      </c>
      <c r="R695">
        <v>78</v>
      </c>
      <c r="S695">
        <v>60</v>
      </c>
      <c r="T695" t="s">
        <v>51</v>
      </c>
      <c r="U695" s="8">
        <v>140.4</v>
      </c>
      <c r="V695" s="8">
        <f t="shared" si="94"/>
        <v>120.60000000000001</v>
      </c>
      <c r="W695" t="str">
        <f t="shared" si="95"/>
        <v>Sufficient Stock</v>
      </c>
      <c r="X695" s="9">
        <f t="shared" si="96"/>
        <v>45323</v>
      </c>
      <c r="Y695">
        <f t="shared" si="97"/>
        <v>109</v>
      </c>
      <c r="Z695" t="str">
        <f t="shared" si="98"/>
        <v>Medium Risk</v>
      </c>
    </row>
    <row r="696" spans="1:26" x14ac:dyDescent="0.4">
      <c r="A696" t="s">
        <v>2858</v>
      </c>
      <c r="B696" t="s">
        <v>517</v>
      </c>
      <c r="C696" t="s">
        <v>18</v>
      </c>
      <c r="D696" t="s">
        <v>2859</v>
      </c>
      <c r="E696" t="s">
        <v>2860</v>
      </c>
      <c r="F696">
        <v>51</v>
      </c>
      <c r="G696">
        <v>19</v>
      </c>
      <c r="H696">
        <v>96</v>
      </c>
      <c r="I696" t="s">
        <v>21</v>
      </c>
      <c r="J696" s="7">
        <f t="shared" si="90"/>
        <v>4.5</v>
      </c>
      <c r="K696" t="s">
        <v>1418</v>
      </c>
      <c r="L696" s="1">
        <f t="shared" si="91"/>
        <v>45619</v>
      </c>
      <c r="M696" s="1">
        <v>45902</v>
      </c>
      <c r="N696" s="1">
        <f t="shared" si="92"/>
        <v>45902</v>
      </c>
      <c r="O696" t="s">
        <v>207</v>
      </c>
      <c r="P696" s="1">
        <f t="shared" si="93"/>
        <v>45469</v>
      </c>
      <c r="Q696" t="s">
        <v>2861</v>
      </c>
      <c r="R696">
        <v>73</v>
      </c>
      <c r="S696">
        <v>42</v>
      </c>
      <c r="T696" t="s">
        <v>51</v>
      </c>
      <c r="U696" s="8">
        <v>328.5</v>
      </c>
      <c r="V696" s="8">
        <f t="shared" si="94"/>
        <v>229.5</v>
      </c>
      <c r="W696" t="str">
        <f t="shared" si="95"/>
        <v>Sufficient Stock</v>
      </c>
      <c r="X696" s="9">
        <f t="shared" si="96"/>
        <v>45597</v>
      </c>
      <c r="Y696">
        <f t="shared" si="97"/>
        <v>-150</v>
      </c>
      <c r="Z696" t="str">
        <f t="shared" si="98"/>
        <v>Invalid Data</v>
      </c>
    </row>
    <row r="697" spans="1:26" x14ac:dyDescent="0.4">
      <c r="A697" t="s">
        <v>2862</v>
      </c>
      <c r="B697" t="s">
        <v>103</v>
      </c>
      <c r="C697" t="s">
        <v>18</v>
      </c>
      <c r="D697" t="s">
        <v>2863</v>
      </c>
      <c r="E697" t="s">
        <v>1000</v>
      </c>
      <c r="F697">
        <v>42</v>
      </c>
      <c r="G697">
        <v>12</v>
      </c>
      <c r="H697">
        <v>28</v>
      </c>
      <c r="I697" t="s">
        <v>106</v>
      </c>
      <c r="J697" s="7">
        <f t="shared" si="90"/>
        <v>2</v>
      </c>
      <c r="K697" s="1">
        <v>45568</v>
      </c>
      <c r="L697" s="1">
        <f t="shared" si="91"/>
        <v>45568</v>
      </c>
      <c r="M697" s="1">
        <v>45295</v>
      </c>
      <c r="N697" s="1">
        <f t="shared" si="92"/>
        <v>45295</v>
      </c>
      <c r="O697" s="1">
        <v>45570</v>
      </c>
      <c r="P697" s="1">
        <f t="shared" si="93"/>
        <v>45570</v>
      </c>
      <c r="Q697" t="s">
        <v>2864</v>
      </c>
      <c r="R697">
        <v>80</v>
      </c>
      <c r="S697">
        <v>8</v>
      </c>
      <c r="T697" t="s">
        <v>26</v>
      </c>
      <c r="U697" s="8">
        <v>160</v>
      </c>
      <c r="V697" s="8">
        <f t="shared" si="94"/>
        <v>84</v>
      </c>
      <c r="W697" t="str">
        <f t="shared" si="95"/>
        <v>Sufficient Stock</v>
      </c>
      <c r="X697" s="9">
        <f t="shared" si="96"/>
        <v>45566</v>
      </c>
      <c r="Y697">
        <f t="shared" si="97"/>
        <v>2</v>
      </c>
      <c r="Z697" t="str">
        <f t="shared" si="98"/>
        <v>Critical</v>
      </c>
    </row>
    <row r="698" spans="1:26" x14ac:dyDescent="0.4">
      <c r="A698" t="s">
        <v>2865</v>
      </c>
      <c r="B698" t="s">
        <v>943</v>
      </c>
      <c r="C698" t="s">
        <v>68</v>
      </c>
      <c r="D698" t="s">
        <v>2866</v>
      </c>
      <c r="E698" t="s">
        <v>2867</v>
      </c>
      <c r="F698">
        <v>85</v>
      </c>
      <c r="G698">
        <v>86</v>
      </c>
      <c r="H698">
        <v>21</v>
      </c>
      <c r="I698" t="s">
        <v>945</v>
      </c>
      <c r="J698" s="7">
        <f t="shared" si="90"/>
        <v>6.5</v>
      </c>
      <c r="K698" t="s">
        <v>127</v>
      </c>
      <c r="L698" s="1">
        <f t="shared" si="91"/>
        <v>45473</v>
      </c>
      <c r="M698" t="s">
        <v>1049</v>
      </c>
      <c r="N698" s="1">
        <f t="shared" si="92"/>
        <v>45497</v>
      </c>
      <c r="O698" t="s">
        <v>116</v>
      </c>
      <c r="P698" s="1">
        <f t="shared" si="93"/>
        <v>45491</v>
      </c>
      <c r="Q698" t="s">
        <v>2868</v>
      </c>
      <c r="R698">
        <v>78</v>
      </c>
      <c r="S698">
        <v>53</v>
      </c>
      <c r="T698" t="s">
        <v>42</v>
      </c>
      <c r="U698" s="8">
        <v>507</v>
      </c>
      <c r="V698" s="8">
        <f t="shared" si="94"/>
        <v>552.5</v>
      </c>
      <c r="W698" t="str">
        <f t="shared" si="95"/>
        <v>Reorder Required</v>
      </c>
      <c r="X698" s="9">
        <f t="shared" si="96"/>
        <v>45444</v>
      </c>
      <c r="Y698">
        <f t="shared" si="97"/>
        <v>18</v>
      </c>
      <c r="Z698" t="str">
        <f t="shared" si="98"/>
        <v>Critical</v>
      </c>
    </row>
    <row r="699" spans="1:26" x14ac:dyDescent="0.4">
      <c r="A699" t="s">
        <v>2869</v>
      </c>
      <c r="B699" t="s">
        <v>1086</v>
      </c>
      <c r="C699" t="s">
        <v>68</v>
      </c>
      <c r="D699" t="s">
        <v>2870</v>
      </c>
      <c r="E699" t="s">
        <v>968</v>
      </c>
      <c r="F699">
        <v>23</v>
      </c>
      <c r="G699">
        <v>43</v>
      </c>
      <c r="H699">
        <v>75</v>
      </c>
      <c r="I699" t="s">
        <v>71</v>
      </c>
      <c r="J699" s="7">
        <f t="shared" si="90"/>
        <v>2.5</v>
      </c>
      <c r="K699" s="1">
        <v>45515</v>
      </c>
      <c r="L699" s="1">
        <f t="shared" si="91"/>
        <v>45515</v>
      </c>
      <c r="M699" t="s">
        <v>969</v>
      </c>
      <c r="N699" s="1">
        <f t="shared" si="92"/>
        <v>45596</v>
      </c>
      <c r="O699" s="1">
        <v>45355</v>
      </c>
      <c r="P699" s="1">
        <f t="shared" si="93"/>
        <v>45355</v>
      </c>
      <c r="Q699" t="s">
        <v>2871</v>
      </c>
      <c r="R699">
        <v>91</v>
      </c>
      <c r="S699">
        <v>86</v>
      </c>
      <c r="T699" t="s">
        <v>26</v>
      </c>
      <c r="U699" s="8">
        <v>227.5</v>
      </c>
      <c r="V699" s="8">
        <f t="shared" si="94"/>
        <v>57.5</v>
      </c>
      <c r="W699" t="str">
        <f t="shared" si="95"/>
        <v>Reorder Required</v>
      </c>
      <c r="X699" s="9">
        <f t="shared" si="96"/>
        <v>45505</v>
      </c>
      <c r="Y699">
        <f t="shared" si="97"/>
        <v>-160</v>
      </c>
      <c r="Z699" t="str">
        <f t="shared" si="98"/>
        <v>Invalid Data</v>
      </c>
    </row>
    <row r="700" spans="1:26" x14ac:dyDescent="0.4">
      <c r="A700" t="s">
        <v>2872</v>
      </c>
      <c r="B700" t="s">
        <v>498</v>
      </c>
      <c r="C700" t="s">
        <v>54</v>
      </c>
      <c r="D700" t="s">
        <v>2873</v>
      </c>
      <c r="E700" t="s">
        <v>2064</v>
      </c>
      <c r="F700">
        <v>84</v>
      </c>
      <c r="G700">
        <v>26</v>
      </c>
      <c r="H700">
        <v>37</v>
      </c>
      <c r="I700" t="s">
        <v>21</v>
      </c>
      <c r="J700" s="7">
        <f t="shared" si="90"/>
        <v>4.5</v>
      </c>
      <c r="K700" t="s">
        <v>643</v>
      </c>
      <c r="L700" s="1">
        <f t="shared" si="91"/>
        <v>45397</v>
      </c>
      <c r="M700" t="s">
        <v>135</v>
      </c>
      <c r="N700" s="1">
        <f t="shared" si="92"/>
        <v>45349</v>
      </c>
      <c r="O700" t="s">
        <v>336</v>
      </c>
      <c r="P700" s="1">
        <f t="shared" si="93"/>
        <v>45681</v>
      </c>
      <c r="Q700" t="s">
        <v>2874</v>
      </c>
      <c r="R700">
        <v>46</v>
      </c>
      <c r="S700">
        <v>67</v>
      </c>
      <c r="T700" t="s">
        <v>42</v>
      </c>
      <c r="U700" s="8">
        <v>207</v>
      </c>
      <c r="V700" s="8">
        <f t="shared" si="94"/>
        <v>378</v>
      </c>
      <c r="W700" t="str">
        <f t="shared" si="95"/>
        <v>Sufficient Stock</v>
      </c>
      <c r="X700" s="9">
        <f t="shared" si="96"/>
        <v>45383</v>
      </c>
      <c r="Y700">
        <f t="shared" si="97"/>
        <v>284</v>
      </c>
      <c r="Z700" t="str">
        <f t="shared" si="98"/>
        <v>Low Risk</v>
      </c>
    </row>
    <row r="701" spans="1:26" x14ac:dyDescent="0.4">
      <c r="A701" t="s">
        <v>2875</v>
      </c>
      <c r="B701" t="s">
        <v>82</v>
      </c>
      <c r="C701" t="s">
        <v>54</v>
      </c>
      <c r="D701" t="s">
        <v>2876</v>
      </c>
      <c r="E701" t="s">
        <v>2877</v>
      </c>
      <c r="F701">
        <v>28</v>
      </c>
      <c r="G701">
        <v>38</v>
      </c>
      <c r="H701">
        <v>23</v>
      </c>
      <c r="I701" t="s">
        <v>2878</v>
      </c>
      <c r="J701" s="7">
        <f t="shared" si="90"/>
        <v>42.58</v>
      </c>
      <c r="K701" t="s">
        <v>267</v>
      </c>
      <c r="L701" s="1">
        <f t="shared" si="91"/>
        <v>45593</v>
      </c>
      <c r="M701" t="s">
        <v>1179</v>
      </c>
      <c r="N701" s="1">
        <f t="shared" si="92"/>
        <v>45641</v>
      </c>
      <c r="O701" s="1">
        <v>45512</v>
      </c>
      <c r="P701" s="1">
        <f t="shared" si="93"/>
        <v>45512</v>
      </c>
      <c r="Q701" t="s">
        <v>2879</v>
      </c>
      <c r="R701">
        <v>48</v>
      </c>
      <c r="S701">
        <v>56</v>
      </c>
      <c r="T701" t="s">
        <v>42</v>
      </c>
      <c r="U701" s="8">
        <v>2043.84</v>
      </c>
      <c r="V701" s="8">
        <f t="shared" si="94"/>
        <v>1192.24</v>
      </c>
      <c r="W701" t="str">
        <f t="shared" si="95"/>
        <v>Reorder Required</v>
      </c>
      <c r="X701" s="9">
        <f t="shared" si="96"/>
        <v>45566</v>
      </c>
      <c r="Y701">
        <f t="shared" si="97"/>
        <v>-81</v>
      </c>
      <c r="Z701" t="str">
        <f t="shared" si="98"/>
        <v>Invalid Data</v>
      </c>
    </row>
    <row r="702" spans="1:26" x14ac:dyDescent="0.4">
      <c r="A702" t="s">
        <v>2880</v>
      </c>
      <c r="B702" t="s">
        <v>386</v>
      </c>
      <c r="C702" t="s">
        <v>112</v>
      </c>
      <c r="D702" t="s">
        <v>2881</v>
      </c>
      <c r="E702" t="s">
        <v>1553</v>
      </c>
      <c r="F702">
        <v>62</v>
      </c>
      <c r="G702">
        <v>49</v>
      </c>
      <c r="H702">
        <v>38</v>
      </c>
      <c r="I702" t="s">
        <v>71</v>
      </c>
      <c r="J702" s="7">
        <f t="shared" si="90"/>
        <v>2.5</v>
      </c>
      <c r="K702" t="s">
        <v>1311</v>
      </c>
      <c r="L702" s="1">
        <f t="shared" si="91"/>
        <v>45642</v>
      </c>
      <c r="M702" t="s">
        <v>33</v>
      </c>
      <c r="N702" s="1">
        <f t="shared" si="92"/>
        <v>45441</v>
      </c>
      <c r="O702" s="1">
        <v>45545</v>
      </c>
      <c r="P702" s="1">
        <f t="shared" si="93"/>
        <v>45545</v>
      </c>
      <c r="Q702" t="s">
        <v>2882</v>
      </c>
      <c r="R702">
        <v>42</v>
      </c>
      <c r="S702">
        <v>44</v>
      </c>
      <c r="T702" t="s">
        <v>26</v>
      </c>
      <c r="U702" s="8">
        <v>105</v>
      </c>
      <c r="V702" s="8">
        <f t="shared" si="94"/>
        <v>155</v>
      </c>
      <c r="W702" t="str">
        <f t="shared" si="95"/>
        <v>Sufficient Stock</v>
      </c>
      <c r="X702" s="9">
        <f t="shared" si="96"/>
        <v>45627</v>
      </c>
      <c r="Y702">
        <f t="shared" si="97"/>
        <v>-97</v>
      </c>
      <c r="Z702" t="str">
        <f t="shared" si="98"/>
        <v>Invalid Data</v>
      </c>
    </row>
    <row r="703" spans="1:26" x14ac:dyDescent="0.4">
      <c r="A703" t="s">
        <v>2883</v>
      </c>
      <c r="B703" t="s">
        <v>76</v>
      </c>
      <c r="C703" t="s">
        <v>77</v>
      </c>
      <c r="D703" t="s">
        <v>2884</v>
      </c>
      <c r="E703" t="s">
        <v>1492</v>
      </c>
      <c r="F703">
        <v>65</v>
      </c>
      <c r="G703">
        <v>94</v>
      </c>
      <c r="H703">
        <v>4</v>
      </c>
      <c r="I703" t="s">
        <v>71</v>
      </c>
      <c r="J703" s="7">
        <f t="shared" si="90"/>
        <v>2.5</v>
      </c>
      <c r="K703" t="s">
        <v>609</v>
      </c>
      <c r="L703" s="1">
        <f t="shared" si="91"/>
        <v>45504</v>
      </c>
      <c r="M703" t="s">
        <v>585</v>
      </c>
      <c r="N703" s="1">
        <f t="shared" si="92"/>
        <v>45687</v>
      </c>
      <c r="O703" t="s">
        <v>158</v>
      </c>
      <c r="P703" s="1">
        <f t="shared" si="93"/>
        <v>45654</v>
      </c>
      <c r="Q703" t="s">
        <v>2885</v>
      </c>
      <c r="R703">
        <v>66</v>
      </c>
      <c r="S703">
        <v>36</v>
      </c>
      <c r="T703" t="s">
        <v>42</v>
      </c>
      <c r="U703" s="8">
        <v>165</v>
      </c>
      <c r="V703" s="8">
        <f t="shared" si="94"/>
        <v>162.5</v>
      </c>
      <c r="W703" t="str">
        <f t="shared" si="95"/>
        <v>Reorder Required</v>
      </c>
      <c r="X703" s="9">
        <f t="shared" si="96"/>
        <v>45474</v>
      </c>
      <c r="Y703">
        <f t="shared" si="97"/>
        <v>150</v>
      </c>
      <c r="Z703" t="str">
        <f t="shared" si="98"/>
        <v>Medium Risk</v>
      </c>
    </row>
    <row r="704" spans="1:26" x14ac:dyDescent="0.4">
      <c r="A704" t="s">
        <v>2886</v>
      </c>
      <c r="B704" t="s">
        <v>1104</v>
      </c>
      <c r="C704" t="s">
        <v>54</v>
      </c>
      <c r="D704" t="s">
        <v>2887</v>
      </c>
      <c r="E704" t="s">
        <v>2888</v>
      </c>
      <c r="F704">
        <v>18</v>
      </c>
      <c r="G704">
        <v>8</v>
      </c>
      <c r="H704">
        <v>68</v>
      </c>
      <c r="I704" t="s">
        <v>106</v>
      </c>
      <c r="J704" s="7">
        <f t="shared" si="90"/>
        <v>2</v>
      </c>
      <c r="K704" s="1">
        <v>45328</v>
      </c>
      <c r="L704" s="1">
        <f t="shared" si="91"/>
        <v>45328</v>
      </c>
      <c r="M704" s="1">
        <v>45361</v>
      </c>
      <c r="N704" s="1">
        <f t="shared" si="92"/>
        <v>45361</v>
      </c>
      <c r="O704" t="s">
        <v>637</v>
      </c>
      <c r="P704" s="1">
        <f t="shared" si="93"/>
        <v>45401</v>
      </c>
      <c r="Q704" t="s">
        <v>2889</v>
      </c>
      <c r="R704">
        <v>54</v>
      </c>
      <c r="S704">
        <v>45</v>
      </c>
      <c r="T704" t="s">
        <v>42</v>
      </c>
      <c r="U704" s="8">
        <v>108</v>
      </c>
      <c r="V704" s="8">
        <f t="shared" si="94"/>
        <v>36</v>
      </c>
      <c r="W704" t="str">
        <f t="shared" si="95"/>
        <v>Sufficient Stock</v>
      </c>
      <c r="X704" s="9">
        <f t="shared" si="96"/>
        <v>45323</v>
      </c>
      <c r="Y704">
        <f t="shared" si="97"/>
        <v>73</v>
      </c>
      <c r="Z704" t="str">
        <f t="shared" si="98"/>
        <v>High Risk</v>
      </c>
    </row>
    <row r="705" spans="1:26" x14ac:dyDescent="0.4">
      <c r="A705" t="s">
        <v>2890</v>
      </c>
      <c r="B705" t="s">
        <v>2592</v>
      </c>
      <c r="C705" t="s">
        <v>77</v>
      </c>
      <c r="D705" t="s">
        <v>2891</v>
      </c>
      <c r="E705" t="s">
        <v>2892</v>
      </c>
      <c r="F705">
        <v>70</v>
      </c>
      <c r="G705">
        <v>29</v>
      </c>
      <c r="H705">
        <v>24</v>
      </c>
      <c r="I705" t="s">
        <v>2595</v>
      </c>
      <c r="J705" s="7">
        <f t="shared" si="90"/>
        <v>0.2</v>
      </c>
      <c r="K705" t="s">
        <v>1125</v>
      </c>
      <c r="L705" s="1">
        <f t="shared" si="91"/>
        <v>45382</v>
      </c>
      <c r="M705" t="s">
        <v>1272</v>
      </c>
      <c r="N705" s="1">
        <f t="shared" si="92"/>
        <v>45591</v>
      </c>
      <c r="O705" t="s">
        <v>712</v>
      </c>
      <c r="P705" s="1">
        <f t="shared" si="93"/>
        <v>45552</v>
      </c>
      <c r="Q705" t="s">
        <v>2893</v>
      </c>
      <c r="R705">
        <v>62</v>
      </c>
      <c r="S705">
        <v>55</v>
      </c>
      <c r="T705" t="s">
        <v>42</v>
      </c>
      <c r="U705" s="8">
        <v>12.4</v>
      </c>
      <c r="V705" s="8">
        <f t="shared" si="94"/>
        <v>14</v>
      </c>
      <c r="W705" t="str">
        <f t="shared" si="95"/>
        <v>Sufficient Stock</v>
      </c>
      <c r="X705" s="9">
        <f t="shared" si="96"/>
        <v>45352</v>
      </c>
      <c r="Y705">
        <f t="shared" si="97"/>
        <v>170</v>
      </c>
      <c r="Z705" t="str">
        <f t="shared" si="98"/>
        <v>Medium Risk</v>
      </c>
    </row>
    <row r="706" spans="1:26" x14ac:dyDescent="0.4">
      <c r="A706" t="s">
        <v>2894</v>
      </c>
      <c r="B706" t="s">
        <v>912</v>
      </c>
      <c r="C706" t="s">
        <v>68</v>
      </c>
      <c r="D706" t="s">
        <v>2895</v>
      </c>
      <c r="E706" t="s">
        <v>1258</v>
      </c>
      <c r="F706">
        <v>23</v>
      </c>
      <c r="G706">
        <v>71</v>
      </c>
      <c r="H706">
        <v>32</v>
      </c>
      <c r="I706" t="s">
        <v>106</v>
      </c>
      <c r="J706" s="7">
        <f t="shared" si="90"/>
        <v>2</v>
      </c>
      <c r="K706" t="s">
        <v>1482</v>
      </c>
      <c r="L706" s="1">
        <f t="shared" si="91"/>
        <v>45396</v>
      </c>
      <c r="M706" t="s">
        <v>467</v>
      </c>
      <c r="N706" s="1">
        <f t="shared" si="92"/>
        <v>45673</v>
      </c>
      <c r="O706" t="s">
        <v>228</v>
      </c>
      <c r="P706" s="1">
        <f t="shared" si="93"/>
        <v>45522</v>
      </c>
      <c r="Q706" t="s">
        <v>2896</v>
      </c>
      <c r="R706">
        <v>63</v>
      </c>
      <c r="S706">
        <v>23</v>
      </c>
      <c r="T706" t="s">
        <v>26</v>
      </c>
      <c r="U706" s="8">
        <v>126</v>
      </c>
      <c r="V706" s="8">
        <f t="shared" si="94"/>
        <v>46</v>
      </c>
      <c r="W706" t="str">
        <f t="shared" si="95"/>
        <v>Reorder Required</v>
      </c>
      <c r="X706" s="9">
        <f t="shared" si="96"/>
        <v>45383</v>
      </c>
      <c r="Y706">
        <f t="shared" si="97"/>
        <v>126</v>
      </c>
      <c r="Z706" t="str">
        <f t="shared" si="98"/>
        <v>Medium Risk</v>
      </c>
    </row>
    <row r="707" spans="1:26" x14ac:dyDescent="0.4">
      <c r="A707" t="s">
        <v>2897</v>
      </c>
      <c r="B707" t="s">
        <v>621</v>
      </c>
      <c r="C707" t="s">
        <v>18</v>
      </c>
      <c r="D707" t="s">
        <v>2898</v>
      </c>
      <c r="E707" t="s">
        <v>1271</v>
      </c>
      <c r="F707">
        <v>26</v>
      </c>
      <c r="G707">
        <v>83</v>
      </c>
      <c r="H707">
        <v>24</v>
      </c>
      <c r="I707" t="s">
        <v>624</v>
      </c>
      <c r="J707" s="7">
        <f t="shared" ref="J707:J770" si="99">VALUE(SUBSTITUTE(I707,"$",""))</f>
        <v>4.75</v>
      </c>
      <c r="K707" s="1">
        <v>45840</v>
      </c>
      <c r="L707" s="1">
        <f t="shared" ref="L707:L770" si="100">IF(
ISNUMBER(K707),
K707,
DATE(
RIGHT(K707,4),
LEFT(K707,FIND("/",K707)-1),
MID(K707,FIND("/",K707)+1,FIND("/",K707,FIND("/",K707)+1)-FIND("/",K707)-1)
)
)</f>
        <v>45840</v>
      </c>
      <c r="M707" t="s">
        <v>654</v>
      </c>
      <c r="N707" s="1">
        <f t="shared" ref="N707:N770" si="101">IF(
ISNUMBER(M707),
M707,
DATE(
RIGHT(M707,4),
LEFT(M707,FIND("/",M707)-1),
MID(M707,FIND("/",M707)+1,FIND("/",M707,FIND("/",M707)+1)-FIND("/",M707)-1)
)
)</f>
        <v>45594</v>
      </c>
      <c r="O707" t="s">
        <v>807</v>
      </c>
      <c r="P707" s="1">
        <f t="shared" ref="P707:P770" si="102">IF(
ISNUMBER(O707),
O707,
DATE(
RIGHT(O707,4),
LEFT(O707,FIND("/",O707)-1),
MID(O707,FIND("/",O707)+1,FIND("/",O707,FIND("/",O707)+1)-FIND("/",O707)-1)
)
)</f>
        <v>45429</v>
      </c>
      <c r="Q707" t="s">
        <v>2899</v>
      </c>
      <c r="R707">
        <v>75</v>
      </c>
      <c r="S707">
        <v>12</v>
      </c>
      <c r="T707" t="s">
        <v>42</v>
      </c>
      <c r="U707" s="8">
        <v>356.25</v>
      </c>
      <c r="V707" s="8">
        <f t="shared" ref="V707:V770" si="103">F707*J707</f>
        <v>123.5</v>
      </c>
      <c r="W707" t="str">
        <f t="shared" ref="W707:W770" si="104">IF(F707&lt;=G707,"Reorder Required","Sufficient Stock")</f>
        <v>Reorder Required</v>
      </c>
      <c r="X707" s="9">
        <f t="shared" ref="X707:X770" si="105">DATE(YEAR(L707),MONTH(L707),1)</f>
        <v>45839</v>
      </c>
      <c r="Y707">
        <f t="shared" ref="Y707:Y770" si="106">P707-L707</f>
        <v>-411</v>
      </c>
      <c r="Z707" t="str">
        <f t="shared" ref="Z707:Z770" si="107">IF(Y707&lt;0,"Invalid Data",
IF(Y707&lt;=30,"Critical",
IF(Y707&lt;=90,"High Risk",
IF(Y707&lt;=180,"Medium Risk",
IF(Y707&lt;=365,"Low Risk",
"Safe")))))</f>
        <v>Invalid Data</v>
      </c>
    </row>
    <row r="708" spans="1:26" x14ac:dyDescent="0.4">
      <c r="A708" t="s">
        <v>2900</v>
      </c>
      <c r="B708" t="s">
        <v>989</v>
      </c>
      <c r="C708" t="s">
        <v>29</v>
      </c>
      <c r="D708" t="s">
        <v>2901</v>
      </c>
      <c r="E708" t="s">
        <v>2212</v>
      </c>
      <c r="F708">
        <v>20</v>
      </c>
      <c r="G708">
        <v>42</v>
      </c>
      <c r="H708">
        <v>45</v>
      </c>
      <c r="I708" t="s">
        <v>591</v>
      </c>
      <c r="J708" s="7">
        <f t="shared" si="99"/>
        <v>10</v>
      </c>
      <c r="K708" t="s">
        <v>1683</v>
      </c>
      <c r="L708" s="1">
        <f t="shared" si="100"/>
        <v>45373</v>
      </c>
      <c r="M708" t="s">
        <v>1110</v>
      </c>
      <c r="N708" s="1">
        <f t="shared" si="101"/>
        <v>45468</v>
      </c>
      <c r="O708" t="s">
        <v>40</v>
      </c>
      <c r="P708" s="1">
        <f t="shared" si="102"/>
        <v>45557</v>
      </c>
      <c r="Q708" t="s">
        <v>2902</v>
      </c>
      <c r="R708">
        <v>72</v>
      </c>
      <c r="S708">
        <v>28</v>
      </c>
      <c r="T708" t="s">
        <v>26</v>
      </c>
      <c r="U708" s="8">
        <v>720</v>
      </c>
      <c r="V708" s="8">
        <f t="shared" si="103"/>
        <v>200</v>
      </c>
      <c r="W708" t="str">
        <f t="shared" si="104"/>
        <v>Reorder Required</v>
      </c>
      <c r="X708" s="9">
        <f t="shared" si="105"/>
        <v>45352</v>
      </c>
      <c r="Y708">
        <f t="shared" si="106"/>
        <v>184</v>
      </c>
      <c r="Z708" t="str">
        <f t="shared" si="107"/>
        <v>Low Risk</v>
      </c>
    </row>
    <row r="709" spans="1:26" x14ac:dyDescent="0.4">
      <c r="A709" t="s">
        <v>2903</v>
      </c>
      <c r="B709" t="s">
        <v>470</v>
      </c>
      <c r="C709" t="s">
        <v>77</v>
      </c>
      <c r="D709" t="s">
        <v>2904</v>
      </c>
      <c r="E709" t="s">
        <v>2905</v>
      </c>
      <c r="F709">
        <v>55</v>
      </c>
      <c r="G709">
        <v>58</v>
      </c>
      <c r="H709">
        <v>6</v>
      </c>
      <c r="I709" t="s">
        <v>1200</v>
      </c>
      <c r="J709" s="7">
        <f t="shared" si="99"/>
        <v>7.2</v>
      </c>
      <c r="K709" t="s">
        <v>719</v>
      </c>
      <c r="L709" s="1">
        <f t="shared" si="100"/>
        <v>45674</v>
      </c>
      <c r="M709" s="1">
        <v>45633</v>
      </c>
      <c r="N709" s="1">
        <f t="shared" si="101"/>
        <v>45633</v>
      </c>
      <c r="O709" t="s">
        <v>435</v>
      </c>
      <c r="P709" s="1">
        <f t="shared" si="102"/>
        <v>45558</v>
      </c>
      <c r="Q709" t="s">
        <v>2906</v>
      </c>
      <c r="R709">
        <v>48</v>
      </c>
      <c r="S709">
        <v>17</v>
      </c>
      <c r="T709" t="s">
        <v>26</v>
      </c>
      <c r="U709" s="8">
        <v>345.6</v>
      </c>
      <c r="V709" s="8">
        <f t="shared" si="103"/>
        <v>396</v>
      </c>
      <c r="W709" t="str">
        <f t="shared" si="104"/>
        <v>Reorder Required</v>
      </c>
      <c r="X709" s="9">
        <f t="shared" si="105"/>
        <v>45658</v>
      </c>
      <c r="Y709">
        <f t="shared" si="106"/>
        <v>-116</v>
      </c>
      <c r="Z709" t="str">
        <f t="shared" si="107"/>
        <v>Invalid Data</v>
      </c>
    </row>
    <row r="710" spans="1:26" x14ac:dyDescent="0.4">
      <c r="A710" t="s">
        <v>2907</v>
      </c>
      <c r="B710" t="s">
        <v>984</v>
      </c>
      <c r="C710" t="s">
        <v>18</v>
      </c>
      <c r="D710" t="s">
        <v>2908</v>
      </c>
      <c r="E710" t="s">
        <v>2909</v>
      </c>
      <c r="F710">
        <v>82</v>
      </c>
      <c r="G710">
        <v>67</v>
      </c>
      <c r="H710">
        <v>67</v>
      </c>
      <c r="I710" t="s">
        <v>986</v>
      </c>
      <c r="J710" s="7">
        <f t="shared" si="99"/>
        <v>2.75</v>
      </c>
      <c r="K710" t="s">
        <v>718</v>
      </c>
      <c r="L710" s="1">
        <f t="shared" si="100"/>
        <v>45376</v>
      </c>
      <c r="M710" s="1">
        <v>45480</v>
      </c>
      <c r="N710" s="1">
        <f t="shared" si="101"/>
        <v>45480</v>
      </c>
      <c r="O710" t="s">
        <v>107</v>
      </c>
      <c r="P710" s="1">
        <f t="shared" si="102"/>
        <v>45584</v>
      </c>
      <c r="Q710" t="s">
        <v>2910</v>
      </c>
      <c r="R710">
        <v>26</v>
      </c>
      <c r="S710">
        <v>1</v>
      </c>
      <c r="T710" t="s">
        <v>42</v>
      </c>
      <c r="U710" s="8">
        <v>71.5</v>
      </c>
      <c r="V710" s="8">
        <f t="shared" si="103"/>
        <v>225.5</v>
      </c>
      <c r="W710" t="str">
        <f t="shared" si="104"/>
        <v>Sufficient Stock</v>
      </c>
      <c r="X710" s="9">
        <f t="shared" si="105"/>
        <v>45352</v>
      </c>
      <c r="Y710">
        <f t="shared" si="106"/>
        <v>208</v>
      </c>
      <c r="Z710" t="str">
        <f t="shared" si="107"/>
        <v>Low Risk</v>
      </c>
    </row>
    <row r="711" spans="1:26" x14ac:dyDescent="0.4">
      <c r="A711" t="s">
        <v>2911</v>
      </c>
      <c r="B711" t="s">
        <v>1761</v>
      </c>
      <c r="C711" t="s">
        <v>169</v>
      </c>
      <c r="D711" t="s">
        <v>2912</v>
      </c>
      <c r="E711" t="s">
        <v>2913</v>
      </c>
      <c r="F711">
        <v>73</v>
      </c>
      <c r="G711">
        <v>12</v>
      </c>
      <c r="H711">
        <v>28</v>
      </c>
      <c r="I711" t="s">
        <v>320</v>
      </c>
      <c r="J711" s="7">
        <f t="shared" si="99"/>
        <v>15</v>
      </c>
      <c r="K711" t="s">
        <v>434</v>
      </c>
      <c r="L711" s="1">
        <f t="shared" si="100"/>
        <v>45550</v>
      </c>
      <c r="M711" s="1">
        <v>45510</v>
      </c>
      <c r="N711" s="1">
        <f t="shared" si="101"/>
        <v>45510</v>
      </c>
      <c r="O711" t="s">
        <v>1188</v>
      </c>
      <c r="P711" s="1">
        <f t="shared" si="102"/>
        <v>45625</v>
      </c>
      <c r="Q711" t="s">
        <v>2914</v>
      </c>
      <c r="R711">
        <v>89</v>
      </c>
      <c r="S711">
        <v>92</v>
      </c>
      <c r="T711" t="s">
        <v>51</v>
      </c>
      <c r="U711" s="8">
        <v>1335</v>
      </c>
      <c r="V711" s="8">
        <f t="shared" si="103"/>
        <v>1095</v>
      </c>
      <c r="W711" t="str">
        <f t="shared" si="104"/>
        <v>Sufficient Stock</v>
      </c>
      <c r="X711" s="9">
        <f t="shared" si="105"/>
        <v>45536</v>
      </c>
      <c r="Y711">
        <f t="shared" si="106"/>
        <v>75</v>
      </c>
      <c r="Z711" t="str">
        <f t="shared" si="107"/>
        <v>High Risk</v>
      </c>
    </row>
    <row r="712" spans="1:26" x14ac:dyDescent="0.4">
      <c r="A712" t="s">
        <v>2915</v>
      </c>
      <c r="B712" t="s">
        <v>458</v>
      </c>
      <c r="C712" t="s">
        <v>29</v>
      </c>
      <c r="D712" t="s">
        <v>2916</v>
      </c>
      <c r="E712" t="s">
        <v>2917</v>
      </c>
      <c r="F712">
        <v>81</v>
      </c>
      <c r="G712">
        <v>83</v>
      </c>
      <c r="H712">
        <v>36</v>
      </c>
      <c r="I712" t="s">
        <v>461</v>
      </c>
      <c r="J712" s="7">
        <f t="shared" si="99"/>
        <v>25</v>
      </c>
      <c r="K712" t="s">
        <v>1272</v>
      </c>
      <c r="L712" s="1">
        <f t="shared" si="100"/>
        <v>45591</v>
      </c>
      <c r="M712" s="1">
        <v>45839</v>
      </c>
      <c r="N712" s="1">
        <f t="shared" si="101"/>
        <v>45839</v>
      </c>
      <c r="O712" t="s">
        <v>2918</v>
      </c>
      <c r="P712" s="1">
        <f t="shared" si="102"/>
        <v>45581</v>
      </c>
      <c r="Q712" t="s">
        <v>2919</v>
      </c>
      <c r="R712">
        <v>74</v>
      </c>
      <c r="S712">
        <v>86</v>
      </c>
      <c r="T712" t="s">
        <v>42</v>
      </c>
      <c r="U712" s="8">
        <v>1850</v>
      </c>
      <c r="V712" s="8">
        <f t="shared" si="103"/>
        <v>2025</v>
      </c>
      <c r="W712" t="str">
        <f t="shared" si="104"/>
        <v>Reorder Required</v>
      </c>
      <c r="X712" s="9">
        <f t="shared" si="105"/>
        <v>45566</v>
      </c>
      <c r="Y712">
        <f t="shared" si="106"/>
        <v>-10</v>
      </c>
      <c r="Z712" t="str">
        <f t="shared" si="107"/>
        <v>Invalid Data</v>
      </c>
    </row>
    <row r="713" spans="1:26" x14ac:dyDescent="0.4">
      <c r="A713" t="s">
        <v>2920</v>
      </c>
      <c r="B713" t="s">
        <v>271</v>
      </c>
      <c r="C713" t="s">
        <v>54</v>
      </c>
      <c r="D713" t="s">
        <v>2921</v>
      </c>
      <c r="E713" t="s">
        <v>1145</v>
      </c>
      <c r="F713">
        <v>20</v>
      </c>
      <c r="G713">
        <v>65</v>
      </c>
      <c r="H713">
        <v>61</v>
      </c>
      <c r="I713" t="s">
        <v>106</v>
      </c>
      <c r="J713" s="7">
        <f t="shared" si="99"/>
        <v>2</v>
      </c>
      <c r="K713" s="1">
        <v>45389</v>
      </c>
      <c r="L713" s="1">
        <f t="shared" si="100"/>
        <v>45389</v>
      </c>
      <c r="M713" s="1">
        <v>45572</v>
      </c>
      <c r="N713" s="1">
        <f t="shared" si="101"/>
        <v>45572</v>
      </c>
      <c r="O713" t="s">
        <v>1205</v>
      </c>
      <c r="P713" s="1">
        <f t="shared" si="102"/>
        <v>45580</v>
      </c>
      <c r="Q713" t="s">
        <v>2922</v>
      </c>
      <c r="R713">
        <v>51</v>
      </c>
      <c r="S713">
        <v>78</v>
      </c>
      <c r="T713" t="s">
        <v>51</v>
      </c>
      <c r="U713" s="8">
        <v>102</v>
      </c>
      <c r="V713" s="8">
        <f t="shared" si="103"/>
        <v>40</v>
      </c>
      <c r="W713" t="str">
        <f t="shared" si="104"/>
        <v>Reorder Required</v>
      </c>
      <c r="X713" s="9">
        <f t="shared" si="105"/>
        <v>45383</v>
      </c>
      <c r="Y713">
        <f t="shared" si="106"/>
        <v>191</v>
      </c>
      <c r="Z713" t="str">
        <f t="shared" si="107"/>
        <v>Low Risk</v>
      </c>
    </row>
    <row r="714" spans="1:26" x14ac:dyDescent="0.4">
      <c r="A714" t="s">
        <v>2923</v>
      </c>
      <c r="B714" t="s">
        <v>318</v>
      </c>
      <c r="C714" t="s">
        <v>29</v>
      </c>
      <c r="D714" t="s">
        <v>2924</v>
      </c>
      <c r="E714" t="s">
        <v>1926</v>
      </c>
      <c r="F714">
        <v>78</v>
      </c>
      <c r="G714">
        <v>38</v>
      </c>
      <c r="H714">
        <v>27</v>
      </c>
      <c r="I714" t="s">
        <v>320</v>
      </c>
      <c r="J714" s="7">
        <f t="shared" si="99"/>
        <v>15</v>
      </c>
      <c r="K714" s="1">
        <v>45447</v>
      </c>
      <c r="L714" s="1">
        <f t="shared" si="100"/>
        <v>45447</v>
      </c>
      <c r="M714" s="1">
        <v>45542</v>
      </c>
      <c r="N714" s="1">
        <f t="shared" si="101"/>
        <v>45542</v>
      </c>
      <c r="O714" s="1">
        <v>45635</v>
      </c>
      <c r="P714" s="1">
        <f t="shared" si="102"/>
        <v>45635</v>
      </c>
      <c r="Q714" t="s">
        <v>2925</v>
      </c>
      <c r="R714">
        <v>54</v>
      </c>
      <c r="S714">
        <v>42</v>
      </c>
      <c r="T714" t="s">
        <v>51</v>
      </c>
      <c r="U714" s="8">
        <v>810</v>
      </c>
      <c r="V714" s="8">
        <f t="shared" si="103"/>
        <v>1170</v>
      </c>
      <c r="W714" t="str">
        <f t="shared" si="104"/>
        <v>Sufficient Stock</v>
      </c>
      <c r="X714" s="9">
        <f t="shared" si="105"/>
        <v>45444</v>
      </c>
      <c r="Y714">
        <f t="shared" si="106"/>
        <v>188</v>
      </c>
      <c r="Z714" t="str">
        <f t="shared" si="107"/>
        <v>Low Risk</v>
      </c>
    </row>
    <row r="715" spans="1:26" x14ac:dyDescent="0.4">
      <c r="A715" t="s">
        <v>2926</v>
      </c>
      <c r="B715" t="s">
        <v>533</v>
      </c>
      <c r="C715" t="s">
        <v>112</v>
      </c>
      <c r="D715" t="s">
        <v>2927</v>
      </c>
      <c r="E715" t="s">
        <v>2928</v>
      </c>
      <c r="F715">
        <v>84</v>
      </c>
      <c r="G715">
        <v>58</v>
      </c>
      <c r="H715">
        <v>28</v>
      </c>
      <c r="I715" t="s">
        <v>39</v>
      </c>
      <c r="J715" s="7">
        <f t="shared" si="99"/>
        <v>6</v>
      </c>
      <c r="K715" t="s">
        <v>49</v>
      </c>
      <c r="L715" s="1">
        <f t="shared" si="100"/>
        <v>45399</v>
      </c>
      <c r="M715" s="1">
        <v>45749</v>
      </c>
      <c r="N715" s="1">
        <f t="shared" si="101"/>
        <v>45749</v>
      </c>
      <c r="O715" t="s">
        <v>916</v>
      </c>
      <c r="P715" s="1">
        <f t="shared" si="102"/>
        <v>45437</v>
      </c>
      <c r="Q715" t="s">
        <v>2929</v>
      </c>
      <c r="R715">
        <v>51</v>
      </c>
      <c r="S715">
        <v>12</v>
      </c>
      <c r="T715" t="s">
        <v>51</v>
      </c>
      <c r="U715" s="8">
        <v>306</v>
      </c>
      <c r="V715" s="8">
        <f t="shared" si="103"/>
        <v>504</v>
      </c>
      <c r="W715" t="str">
        <f t="shared" si="104"/>
        <v>Sufficient Stock</v>
      </c>
      <c r="X715" s="9">
        <f t="shared" si="105"/>
        <v>45383</v>
      </c>
      <c r="Y715">
        <f t="shared" si="106"/>
        <v>38</v>
      </c>
      <c r="Z715" t="str">
        <f t="shared" si="107"/>
        <v>High Risk</v>
      </c>
    </row>
    <row r="716" spans="1:26" x14ac:dyDescent="0.4">
      <c r="A716" t="s">
        <v>2930</v>
      </c>
      <c r="B716" t="s">
        <v>67</v>
      </c>
      <c r="C716" t="s">
        <v>68</v>
      </c>
      <c r="D716" t="s">
        <v>2931</v>
      </c>
      <c r="E716" t="s">
        <v>227</v>
      </c>
      <c r="F716">
        <v>32</v>
      </c>
      <c r="G716">
        <v>38</v>
      </c>
      <c r="H716">
        <v>23</v>
      </c>
      <c r="I716" t="s">
        <v>71</v>
      </c>
      <c r="J716" s="7">
        <f t="shared" si="99"/>
        <v>2.5</v>
      </c>
      <c r="K716" t="s">
        <v>688</v>
      </c>
      <c r="L716" s="1">
        <f t="shared" si="100"/>
        <v>45459</v>
      </c>
      <c r="M716" t="s">
        <v>33</v>
      </c>
      <c r="N716" s="1">
        <f t="shared" si="101"/>
        <v>45441</v>
      </c>
      <c r="O716" s="1">
        <v>45690</v>
      </c>
      <c r="P716" s="1">
        <f t="shared" si="102"/>
        <v>45690</v>
      </c>
      <c r="Q716" t="s">
        <v>2932</v>
      </c>
      <c r="R716">
        <v>52</v>
      </c>
      <c r="S716">
        <v>11</v>
      </c>
      <c r="T716" t="s">
        <v>26</v>
      </c>
      <c r="U716" s="8">
        <v>130</v>
      </c>
      <c r="V716" s="8">
        <f t="shared" si="103"/>
        <v>80</v>
      </c>
      <c r="W716" t="str">
        <f t="shared" si="104"/>
        <v>Reorder Required</v>
      </c>
      <c r="X716" s="9">
        <f t="shared" si="105"/>
        <v>45444</v>
      </c>
      <c r="Y716">
        <f t="shared" si="106"/>
        <v>231</v>
      </c>
      <c r="Z716" t="str">
        <f t="shared" si="107"/>
        <v>Low Risk</v>
      </c>
    </row>
    <row r="717" spans="1:26" x14ac:dyDescent="0.4">
      <c r="A717" t="s">
        <v>2933</v>
      </c>
      <c r="B717" t="s">
        <v>1821</v>
      </c>
      <c r="C717" t="s">
        <v>68</v>
      </c>
      <c r="D717" t="s">
        <v>2934</v>
      </c>
      <c r="E717" t="s">
        <v>2928</v>
      </c>
      <c r="F717">
        <v>90</v>
      </c>
      <c r="G717">
        <v>75</v>
      </c>
      <c r="H717">
        <v>6</v>
      </c>
      <c r="I717" t="s">
        <v>220</v>
      </c>
      <c r="J717" s="7">
        <f t="shared" si="99"/>
        <v>5</v>
      </c>
      <c r="K717" s="1">
        <v>45450</v>
      </c>
      <c r="L717" s="1">
        <f t="shared" si="100"/>
        <v>45450</v>
      </c>
      <c r="M717" s="1">
        <v>45658</v>
      </c>
      <c r="N717" s="1">
        <f t="shared" si="101"/>
        <v>45658</v>
      </c>
      <c r="O717" t="s">
        <v>826</v>
      </c>
      <c r="P717" s="1">
        <f t="shared" si="102"/>
        <v>45535</v>
      </c>
      <c r="Q717" t="s">
        <v>2935</v>
      </c>
      <c r="R717">
        <v>55</v>
      </c>
      <c r="S717">
        <v>64</v>
      </c>
      <c r="T717" t="s">
        <v>51</v>
      </c>
      <c r="U717" s="8">
        <v>275</v>
      </c>
      <c r="V717" s="8">
        <f t="shared" si="103"/>
        <v>450</v>
      </c>
      <c r="W717" t="str">
        <f t="shared" si="104"/>
        <v>Sufficient Stock</v>
      </c>
      <c r="X717" s="9">
        <f t="shared" si="105"/>
        <v>45444</v>
      </c>
      <c r="Y717">
        <f t="shared" si="106"/>
        <v>85</v>
      </c>
      <c r="Z717" t="str">
        <f t="shared" si="107"/>
        <v>High Risk</v>
      </c>
    </row>
    <row r="718" spans="1:26" x14ac:dyDescent="0.4">
      <c r="A718" t="s">
        <v>2936</v>
      </c>
      <c r="B718" t="s">
        <v>1455</v>
      </c>
      <c r="C718" t="s">
        <v>77</v>
      </c>
      <c r="D718" t="s">
        <v>2937</v>
      </c>
      <c r="E718" t="s">
        <v>1487</v>
      </c>
      <c r="F718">
        <v>70</v>
      </c>
      <c r="G718">
        <v>81</v>
      </c>
      <c r="H718">
        <v>75</v>
      </c>
      <c r="I718" t="s">
        <v>106</v>
      </c>
      <c r="J718" s="7">
        <f t="shared" si="99"/>
        <v>2</v>
      </c>
      <c r="K718" s="1">
        <v>45513</v>
      </c>
      <c r="L718" s="1">
        <f t="shared" si="100"/>
        <v>45513</v>
      </c>
      <c r="M718" t="s">
        <v>135</v>
      </c>
      <c r="N718" s="1">
        <f t="shared" si="101"/>
        <v>45349</v>
      </c>
      <c r="O718" t="s">
        <v>462</v>
      </c>
      <c r="P718" s="1">
        <f t="shared" si="102"/>
        <v>45351</v>
      </c>
      <c r="Q718" t="s">
        <v>2938</v>
      </c>
      <c r="R718">
        <v>24</v>
      </c>
      <c r="S718">
        <v>54</v>
      </c>
      <c r="T718" t="s">
        <v>42</v>
      </c>
      <c r="U718" s="8">
        <v>48</v>
      </c>
      <c r="V718" s="8">
        <f t="shared" si="103"/>
        <v>140</v>
      </c>
      <c r="W718" t="str">
        <f t="shared" si="104"/>
        <v>Reorder Required</v>
      </c>
      <c r="X718" s="9">
        <f t="shared" si="105"/>
        <v>45505</v>
      </c>
      <c r="Y718">
        <f t="shared" si="106"/>
        <v>-162</v>
      </c>
      <c r="Z718" t="str">
        <f t="shared" si="107"/>
        <v>Invalid Data</v>
      </c>
    </row>
    <row r="719" spans="1:26" x14ac:dyDescent="0.4">
      <c r="A719" t="s">
        <v>2939</v>
      </c>
      <c r="B719" t="s">
        <v>498</v>
      </c>
      <c r="C719" t="s">
        <v>54</v>
      </c>
      <c r="D719" t="s">
        <v>2940</v>
      </c>
      <c r="E719" t="s">
        <v>2941</v>
      </c>
      <c r="F719">
        <v>90</v>
      </c>
      <c r="G719">
        <v>22</v>
      </c>
      <c r="H719">
        <v>20</v>
      </c>
      <c r="I719" t="s">
        <v>21</v>
      </c>
      <c r="J719" s="7">
        <f t="shared" si="99"/>
        <v>4.5</v>
      </c>
      <c r="K719" t="s">
        <v>127</v>
      </c>
      <c r="L719" s="1">
        <f t="shared" si="100"/>
        <v>45473</v>
      </c>
      <c r="M719" t="s">
        <v>199</v>
      </c>
      <c r="N719" s="1">
        <f t="shared" si="101"/>
        <v>45710</v>
      </c>
      <c r="O719" t="s">
        <v>193</v>
      </c>
      <c r="P719" s="1">
        <f t="shared" si="102"/>
        <v>45670</v>
      </c>
      <c r="Q719" t="s">
        <v>2942</v>
      </c>
      <c r="R719">
        <v>81</v>
      </c>
      <c r="S719">
        <v>88</v>
      </c>
      <c r="T719" t="s">
        <v>42</v>
      </c>
      <c r="U719" s="8">
        <v>364.5</v>
      </c>
      <c r="V719" s="8">
        <f t="shared" si="103"/>
        <v>405</v>
      </c>
      <c r="W719" t="str">
        <f t="shared" si="104"/>
        <v>Sufficient Stock</v>
      </c>
      <c r="X719" s="9">
        <f t="shared" si="105"/>
        <v>45444</v>
      </c>
      <c r="Y719">
        <f t="shared" si="106"/>
        <v>197</v>
      </c>
      <c r="Z719" t="str">
        <f t="shared" si="107"/>
        <v>Low Risk</v>
      </c>
    </row>
    <row r="720" spans="1:26" x14ac:dyDescent="0.4">
      <c r="A720" t="s">
        <v>2943</v>
      </c>
      <c r="B720" t="s">
        <v>681</v>
      </c>
      <c r="C720" t="s">
        <v>54</v>
      </c>
      <c r="D720" t="s">
        <v>2944</v>
      </c>
      <c r="E720" t="s">
        <v>816</v>
      </c>
      <c r="F720">
        <v>100</v>
      </c>
      <c r="G720">
        <v>7</v>
      </c>
      <c r="H720">
        <v>14</v>
      </c>
      <c r="I720" t="s">
        <v>106</v>
      </c>
      <c r="J720" s="7">
        <f t="shared" si="99"/>
        <v>2</v>
      </c>
      <c r="K720" t="s">
        <v>1311</v>
      </c>
      <c r="L720" s="1">
        <f t="shared" si="100"/>
        <v>45642</v>
      </c>
      <c r="M720" s="1">
        <v>45446</v>
      </c>
      <c r="N720" s="1">
        <f t="shared" si="101"/>
        <v>45446</v>
      </c>
      <c r="O720" t="s">
        <v>915</v>
      </c>
      <c r="P720" s="1">
        <f t="shared" si="102"/>
        <v>45498</v>
      </c>
      <c r="Q720" t="s">
        <v>2945</v>
      </c>
      <c r="R720">
        <v>26</v>
      </c>
      <c r="S720">
        <v>33</v>
      </c>
      <c r="T720" t="s">
        <v>42</v>
      </c>
      <c r="U720" s="8">
        <v>52</v>
      </c>
      <c r="V720" s="8">
        <f t="shared" si="103"/>
        <v>200</v>
      </c>
      <c r="W720" t="str">
        <f t="shared" si="104"/>
        <v>Sufficient Stock</v>
      </c>
      <c r="X720" s="9">
        <f t="shared" si="105"/>
        <v>45627</v>
      </c>
      <c r="Y720">
        <f t="shared" si="106"/>
        <v>-144</v>
      </c>
      <c r="Z720" t="str">
        <f t="shared" si="107"/>
        <v>Invalid Data</v>
      </c>
    </row>
    <row r="721" spans="1:26" x14ac:dyDescent="0.4">
      <c r="A721" t="s">
        <v>2946</v>
      </c>
      <c r="B721" t="s">
        <v>1406</v>
      </c>
      <c r="C721" t="s">
        <v>18</v>
      </c>
      <c r="D721" t="s">
        <v>2947</v>
      </c>
      <c r="E721" t="s">
        <v>1865</v>
      </c>
      <c r="F721">
        <v>89</v>
      </c>
      <c r="G721">
        <v>54</v>
      </c>
      <c r="H721">
        <v>15</v>
      </c>
      <c r="I721" t="s">
        <v>71</v>
      </c>
      <c r="J721" s="7">
        <f t="shared" si="99"/>
        <v>2.5</v>
      </c>
      <c r="K721" s="1">
        <v>45545</v>
      </c>
      <c r="L721" s="1">
        <f t="shared" si="100"/>
        <v>45545</v>
      </c>
      <c r="M721" s="1">
        <v>45299</v>
      </c>
      <c r="N721" s="1">
        <f t="shared" si="101"/>
        <v>45299</v>
      </c>
      <c r="O721" s="1">
        <v>45356</v>
      </c>
      <c r="P721" s="1">
        <f t="shared" si="102"/>
        <v>45356</v>
      </c>
      <c r="Q721" t="s">
        <v>2948</v>
      </c>
      <c r="R721">
        <v>64</v>
      </c>
      <c r="S721">
        <v>63</v>
      </c>
      <c r="T721" t="s">
        <v>51</v>
      </c>
      <c r="U721" s="8">
        <v>160</v>
      </c>
      <c r="V721" s="8">
        <f t="shared" si="103"/>
        <v>222.5</v>
      </c>
      <c r="W721" t="str">
        <f t="shared" si="104"/>
        <v>Sufficient Stock</v>
      </c>
      <c r="X721" s="9">
        <f t="shared" si="105"/>
        <v>45536</v>
      </c>
      <c r="Y721">
        <f t="shared" si="106"/>
        <v>-189</v>
      </c>
      <c r="Z721" t="str">
        <f t="shared" si="107"/>
        <v>Invalid Data</v>
      </c>
    </row>
    <row r="722" spans="1:26" x14ac:dyDescent="0.4">
      <c r="A722" t="s">
        <v>2949</v>
      </c>
      <c r="B722" t="s">
        <v>984</v>
      </c>
      <c r="C722" t="s">
        <v>18</v>
      </c>
      <c r="D722" t="s">
        <v>2950</v>
      </c>
      <c r="E722" t="s">
        <v>62</v>
      </c>
      <c r="F722">
        <v>38</v>
      </c>
      <c r="G722">
        <v>43</v>
      </c>
      <c r="H722">
        <v>28</v>
      </c>
      <c r="I722" t="s">
        <v>2951</v>
      </c>
      <c r="J722" s="7">
        <f t="shared" si="99"/>
        <v>2.7</v>
      </c>
      <c r="K722" s="1">
        <v>45301</v>
      </c>
      <c r="L722" s="1">
        <f t="shared" si="100"/>
        <v>45301</v>
      </c>
      <c r="M722" t="s">
        <v>955</v>
      </c>
      <c r="N722" s="1">
        <f t="shared" si="101"/>
        <v>45499</v>
      </c>
      <c r="O722" t="s">
        <v>434</v>
      </c>
      <c r="P722" s="1">
        <f t="shared" si="102"/>
        <v>45550</v>
      </c>
      <c r="Q722" t="s">
        <v>2952</v>
      </c>
      <c r="R722">
        <v>34</v>
      </c>
      <c r="S722">
        <v>54</v>
      </c>
      <c r="T722" t="s">
        <v>42</v>
      </c>
      <c r="U722" s="8">
        <v>91.800000000000011</v>
      </c>
      <c r="V722" s="8">
        <f t="shared" si="103"/>
        <v>102.60000000000001</v>
      </c>
      <c r="W722" t="str">
        <f t="shared" si="104"/>
        <v>Reorder Required</v>
      </c>
      <c r="X722" s="9">
        <f t="shared" si="105"/>
        <v>45292</v>
      </c>
      <c r="Y722">
        <f t="shared" si="106"/>
        <v>249</v>
      </c>
      <c r="Z722" t="str">
        <f t="shared" si="107"/>
        <v>Low Risk</v>
      </c>
    </row>
    <row r="723" spans="1:26" x14ac:dyDescent="0.4">
      <c r="A723" t="s">
        <v>2953</v>
      </c>
      <c r="B723" t="s">
        <v>111</v>
      </c>
      <c r="C723" t="s">
        <v>112</v>
      </c>
      <c r="D723" t="s">
        <v>2954</v>
      </c>
      <c r="E723" t="s">
        <v>2955</v>
      </c>
      <c r="F723">
        <v>61</v>
      </c>
      <c r="G723">
        <v>20</v>
      </c>
      <c r="H723">
        <v>29</v>
      </c>
      <c r="I723" t="s">
        <v>85</v>
      </c>
      <c r="J723" s="7">
        <f t="shared" si="99"/>
        <v>3</v>
      </c>
      <c r="K723" t="s">
        <v>637</v>
      </c>
      <c r="L723" s="1">
        <f t="shared" si="100"/>
        <v>45401</v>
      </c>
      <c r="M723" t="s">
        <v>1629</v>
      </c>
      <c r="N723" s="1">
        <f t="shared" si="101"/>
        <v>45364</v>
      </c>
      <c r="O723" s="1">
        <v>45635</v>
      </c>
      <c r="P723" s="1">
        <f t="shared" si="102"/>
        <v>45635</v>
      </c>
      <c r="Q723" t="s">
        <v>2956</v>
      </c>
      <c r="R723">
        <v>71</v>
      </c>
      <c r="S723">
        <v>97</v>
      </c>
      <c r="T723" t="s">
        <v>42</v>
      </c>
      <c r="U723" s="8">
        <v>213</v>
      </c>
      <c r="V723" s="8">
        <f t="shared" si="103"/>
        <v>183</v>
      </c>
      <c r="W723" t="str">
        <f t="shared" si="104"/>
        <v>Sufficient Stock</v>
      </c>
      <c r="X723" s="9">
        <f t="shared" si="105"/>
        <v>45383</v>
      </c>
      <c r="Y723">
        <f t="shared" si="106"/>
        <v>234</v>
      </c>
      <c r="Z723" t="str">
        <f t="shared" si="107"/>
        <v>Low Risk</v>
      </c>
    </row>
    <row r="724" spans="1:26" x14ac:dyDescent="0.4">
      <c r="A724" t="s">
        <v>2957</v>
      </c>
      <c r="B724" t="s">
        <v>375</v>
      </c>
      <c r="C724" t="s">
        <v>54</v>
      </c>
      <c r="D724" t="s">
        <v>2958</v>
      </c>
      <c r="E724" t="s">
        <v>1492</v>
      </c>
      <c r="F724">
        <v>75</v>
      </c>
      <c r="G724">
        <v>48</v>
      </c>
      <c r="H724">
        <v>25</v>
      </c>
      <c r="I724" t="s">
        <v>85</v>
      </c>
      <c r="J724" s="7">
        <f t="shared" si="99"/>
        <v>3</v>
      </c>
      <c r="K724" s="1">
        <v>45608</v>
      </c>
      <c r="L724" s="1">
        <f t="shared" si="100"/>
        <v>45608</v>
      </c>
      <c r="M724" t="s">
        <v>173</v>
      </c>
      <c r="N724" s="1">
        <f t="shared" si="101"/>
        <v>45521</v>
      </c>
      <c r="O724" t="s">
        <v>802</v>
      </c>
      <c r="P724" s="1">
        <f t="shared" si="102"/>
        <v>45533</v>
      </c>
      <c r="Q724" t="s">
        <v>2959</v>
      </c>
      <c r="R724">
        <v>96</v>
      </c>
      <c r="S724">
        <v>65</v>
      </c>
      <c r="T724" t="s">
        <v>42</v>
      </c>
      <c r="U724" s="8">
        <v>288</v>
      </c>
      <c r="V724" s="8">
        <f t="shared" si="103"/>
        <v>225</v>
      </c>
      <c r="W724" t="str">
        <f t="shared" si="104"/>
        <v>Sufficient Stock</v>
      </c>
      <c r="X724" s="9">
        <f t="shared" si="105"/>
        <v>45597</v>
      </c>
      <c r="Y724">
        <f t="shared" si="106"/>
        <v>-75</v>
      </c>
      <c r="Z724" t="str">
        <f t="shared" si="107"/>
        <v>Invalid Data</v>
      </c>
    </row>
    <row r="725" spans="1:26" x14ac:dyDescent="0.4">
      <c r="A725" t="s">
        <v>2960</v>
      </c>
      <c r="B725" t="s">
        <v>332</v>
      </c>
      <c r="C725" t="s">
        <v>112</v>
      </c>
      <c r="D725" t="s">
        <v>2961</v>
      </c>
      <c r="E725" t="s">
        <v>2962</v>
      </c>
      <c r="F725">
        <v>87</v>
      </c>
      <c r="G725">
        <v>70</v>
      </c>
      <c r="H725">
        <v>77</v>
      </c>
      <c r="I725" t="s">
        <v>642</v>
      </c>
      <c r="J725" s="7">
        <f t="shared" si="99"/>
        <v>3.2</v>
      </c>
      <c r="K725" s="1">
        <v>45509</v>
      </c>
      <c r="L725" s="1">
        <f t="shared" si="100"/>
        <v>45509</v>
      </c>
      <c r="M725" t="s">
        <v>135</v>
      </c>
      <c r="N725" s="1">
        <f t="shared" si="101"/>
        <v>45349</v>
      </c>
      <c r="O725" s="1">
        <v>45690</v>
      </c>
      <c r="P725" s="1">
        <f t="shared" si="102"/>
        <v>45690</v>
      </c>
      <c r="Q725" t="s">
        <v>2963</v>
      </c>
      <c r="R725">
        <v>73</v>
      </c>
      <c r="S725">
        <v>44</v>
      </c>
      <c r="T725" t="s">
        <v>51</v>
      </c>
      <c r="U725" s="8">
        <v>233.60000000000002</v>
      </c>
      <c r="V725" s="8">
        <f t="shared" si="103"/>
        <v>278.40000000000003</v>
      </c>
      <c r="W725" t="str">
        <f t="shared" si="104"/>
        <v>Sufficient Stock</v>
      </c>
      <c r="X725" s="9">
        <f t="shared" si="105"/>
        <v>45505</v>
      </c>
      <c r="Y725">
        <f t="shared" si="106"/>
        <v>181</v>
      </c>
      <c r="Z725" t="str">
        <f t="shared" si="107"/>
        <v>Low Risk</v>
      </c>
    </row>
    <row r="726" spans="1:26" x14ac:dyDescent="0.4">
      <c r="A726" t="s">
        <v>2964</v>
      </c>
      <c r="B726" t="s">
        <v>138</v>
      </c>
      <c r="C726" t="s">
        <v>18</v>
      </c>
      <c r="D726" t="s">
        <v>2965</v>
      </c>
      <c r="E726" t="s">
        <v>2966</v>
      </c>
      <c r="F726">
        <v>71</v>
      </c>
      <c r="G726">
        <v>77</v>
      </c>
      <c r="H726">
        <v>30</v>
      </c>
      <c r="I726" t="s">
        <v>47</v>
      </c>
      <c r="J726" s="7">
        <f t="shared" si="99"/>
        <v>1.5</v>
      </c>
      <c r="K726" t="s">
        <v>1151</v>
      </c>
      <c r="L726" s="1">
        <f t="shared" si="100"/>
        <v>45490</v>
      </c>
      <c r="M726" s="1">
        <v>45546</v>
      </c>
      <c r="N726" s="1">
        <f t="shared" si="101"/>
        <v>45546</v>
      </c>
      <c r="O726" t="s">
        <v>1174</v>
      </c>
      <c r="P726" s="1">
        <f t="shared" si="102"/>
        <v>45677</v>
      </c>
      <c r="Q726" t="s">
        <v>2967</v>
      </c>
      <c r="R726">
        <v>34</v>
      </c>
      <c r="S726">
        <v>57</v>
      </c>
      <c r="T726" t="s">
        <v>42</v>
      </c>
      <c r="U726" s="8">
        <v>51</v>
      </c>
      <c r="V726" s="8">
        <f t="shared" si="103"/>
        <v>106.5</v>
      </c>
      <c r="W726" t="str">
        <f t="shared" si="104"/>
        <v>Reorder Required</v>
      </c>
      <c r="X726" s="9">
        <f t="shared" si="105"/>
        <v>45474</v>
      </c>
      <c r="Y726">
        <f t="shared" si="106"/>
        <v>187</v>
      </c>
      <c r="Z726" t="str">
        <f t="shared" si="107"/>
        <v>Low Risk</v>
      </c>
    </row>
    <row r="727" spans="1:26" x14ac:dyDescent="0.4">
      <c r="A727" t="s">
        <v>2968</v>
      </c>
      <c r="B727" t="s">
        <v>263</v>
      </c>
      <c r="C727" t="s">
        <v>169</v>
      </c>
      <c r="D727" t="s">
        <v>2969</v>
      </c>
      <c r="E727" t="s">
        <v>2970</v>
      </c>
      <c r="F727">
        <v>98</v>
      </c>
      <c r="G727">
        <v>100</v>
      </c>
      <c r="H727">
        <v>34</v>
      </c>
      <c r="I727" t="s">
        <v>266</v>
      </c>
      <c r="J727" s="7">
        <f t="shared" si="99"/>
        <v>9</v>
      </c>
      <c r="K727" t="s">
        <v>244</v>
      </c>
      <c r="L727" s="1">
        <f t="shared" si="100"/>
        <v>45578</v>
      </c>
      <c r="M727" t="s">
        <v>592</v>
      </c>
      <c r="N727" s="1">
        <f t="shared" si="101"/>
        <v>45350</v>
      </c>
      <c r="O727" t="s">
        <v>422</v>
      </c>
      <c r="P727" s="1">
        <f t="shared" si="102"/>
        <v>45531</v>
      </c>
      <c r="Q727" t="s">
        <v>2971</v>
      </c>
      <c r="R727">
        <v>53</v>
      </c>
      <c r="S727">
        <v>20</v>
      </c>
      <c r="T727" t="s">
        <v>51</v>
      </c>
      <c r="U727" s="8">
        <v>477</v>
      </c>
      <c r="V727" s="8">
        <f t="shared" si="103"/>
        <v>882</v>
      </c>
      <c r="W727" t="str">
        <f t="shared" si="104"/>
        <v>Reorder Required</v>
      </c>
      <c r="X727" s="9">
        <f t="shared" si="105"/>
        <v>45566</v>
      </c>
      <c r="Y727">
        <f t="shared" si="106"/>
        <v>-47</v>
      </c>
      <c r="Z727" t="str">
        <f t="shared" si="107"/>
        <v>Invalid Data</v>
      </c>
    </row>
    <row r="728" spans="1:26" x14ac:dyDescent="0.4">
      <c r="A728" t="s">
        <v>2972</v>
      </c>
      <c r="B728" t="s">
        <v>176</v>
      </c>
      <c r="C728" t="s">
        <v>54</v>
      </c>
      <c r="D728" t="s">
        <v>2973</v>
      </c>
      <c r="E728" t="s">
        <v>1230</v>
      </c>
      <c r="F728">
        <v>19</v>
      </c>
      <c r="G728">
        <v>92</v>
      </c>
      <c r="H728">
        <v>41</v>
      </c>
      <c r="I728" t="s">
        <v>106</v>
      </c>
      <c r="J728" s="7">
        <f t="shared" si="99"/>
        <v>2</v>
      </c>
      <c r="K728" s="1">
        <v>45778</v>
      </c>
      <c r="L728" s="1">
        <f t="shared" si="100"/>
        <v>45778</v>
      </c>
      <c r="M728" s="1">
        <v>45962</v>
      </c>
      <c r="N728" s="1">
        <f t="shared" si="101"/>
        <v>45962</v>
      </c>
      <c r="O728" t="s">
        <v>244</v>
      </c>
      <c r="P728" s="1">
        <f t="shared" si="102"/>
        <v>45578</v>
      </c>
      <c r="Q728" t="s">
        <v>2974</v>
      </c>
      <c r="R728">
        <v>51</v>
      </c>
      <c r="S728">
        <v>79</v>
      </c>
      <c r="T728" t="s">
        <v>51</v>
      </c>
      <c r="U728" s="8">
        <v>102</v>
      </c>
      <c r="V728" s="8">
        <f t="shared" si="103"/>
        <v>38</v>
      </c>
      <c r="W728" t="str">
        <f t="shared" si="104"/>
        <v>Reorder Required</v>
      </c>
      <c r="X728" s="9">
        <f t="shared" si="105"/>
        <v>45778</v>
      </c>
      <c r="Y728">
        <f t="shared" si="106"/>
        <v>-200</v>
      </c>
      <c r="Z728" t="str">
        <f t="shared" si="107"/>
        <v>Invalid Data</v>
      </c>
    </row>
    <row r="729" spans="1:26" x14ac:dyDescent="0.4">
      <c r="A729" t="s">
        <v>2975</v>
      </c>
      <c r="B729" t="s">
        <v>698</v>
      </c>
      <c r="C729" t="s">
        <v>54</v>
      </c>
      <c r="D729" t="s">
        <v>2976</v>
      </c>
      <c r="E729" t="s">
        <v>2977</v>
      </c>
      <c r="F729">
        <v>85</v>
      </c>
      <c r="G729">
        <v>90</v>
      </c>
      <c r="H729">
        <v>16</v>
      </c>
      <c r="I729" t="s">
        <v>220</v>
      </c>
      <c r="J729" s="7">
        <f t="shared" si="99"/>
        <v>5</v>
      </c>
      <c r="K729" t="s">
        <v>916</v>
      </c>
      <c r="L729" s="1">
        <f t="shared" si="100"/>
        <v>45437</v>
      </c>
      <c r="M729" s="1">
        <v>45357</v>
      </c>
      <c r="N729" s="1">
        <f t="shared" si="101"/>
        <v>45357</v>
      </c>
      <c r="O729" t="s">
        <v>1387</v>
      </c>
      <c r="P729" s="1">
        <f t="shared" si="102"/>
        <v>45503</v>
      </c>
      <c r="Q729" t="s">
        <v>2978</v>
      </c>
      <c r="R729">
        <v>61</v>
      </c>
      <c r="S729">
        <v>80</v>
      </c>
      <c r="T729" t="s">
        <v>42</v>
      </c>
      <c r="U729" s="8">
        <v>305</v>
      </c>
      <c r="V729" s="8">
        <f t="shared" si="103"/>
        <v>425</v>
      </c>
      <c r="W729" t="str">
        <f t="shared" si="104"/>
        <v>Reorder Required</v>
      </c>
      <c r="X729" s="9">
        <f t="shared" si="105"/>
        <v>45413</v>
      </c>
      <c r="Y729">
        <f t="shared" si="106"/>
        <v>66</v>
      </c>
      <c r="Z729" t="str">
        <f t="shared" si="107"/>
        <v>High Risk</v>
      </c>
    </row>
    <row r="730" spans="1:26" x14ac:dyDescent="0.4">
      <c r="A730" t="s">
        <v>2979</v>
      </c>
      <c r="B730" t="s">
        <v>1503</v>
      </c>
      <c r="C730" t="s">
        <v>54</v>
      </c>
      <c r="D730" t="s">
        <v>2980</v>
      </c>
      <c r="E730" t="s">
        <v>1192</v>
      </c>
      <c r="F730">
        <v>71</v>
      </c>
      <c r="G730">
        <v>36</v>
      </c>
      <c r="H730">
        <v>45</v>
      </c>
      <c r="I730" t="s">
        <v>242</v>
      </c>
      <c r="J730" s="7">
        <f t="shared" si="99"/>
        <v>3.5</v>
      </c>
      <c r="K730" t="s">
        <v>1664</v>
      </c>
      <c r="L730" s="1">
        <f t="shared" si="100"/>
        <v>45686</v>
      </c>
      <c r="M730" t="s">
        <v>341</v>
      </c>
      <c r="N730" s="1">
        <f t="shared" si="101"/>
        <v>45613</v>
      </c>
      <c r="O730" s="1">
        <v>45689</v>
      </c>
      <c r="P730" s="1">
        <f t="shared" si="102"/>
        <v>45689</v>
      </c>
      <c r="Q730" t="s">
        <v>2981</v>
      </c>
      <c r="R730">
        <v>87</v>
      </c>
      <c r="S730">
        <v>2</v>
      </c>
      <c r="T730" t="s">
        <v>42</v>
      </c>
      <c r="U730" s="8">
        <v>304.5</v>
      </c>
      <c r="V730" s="8">
        <f t="shared" si="103"/>
        <v>248.5</v>
      </c>
      <c r="W730" t="str">
        <f t="shared" si="104"/>
        <v>Sufficient Stock</v>
      </c>
      <c r="X730" s="9">
        <f t="shared" si="105"/>
        <v>45658</v>
      </c>
      <c r="Y730">
        <f t="shared" si="106"/>
        <v>3</v>
      </c>
      <c r="Z730" t="str">
        <f t="shared" si="107"/>
        <v>Critical</v>
      </c>
    </row>
    <row r="731" spans="1:26" x14ac:dyDescent="0.4">
      <c r="A731" t="s">
        <v>2982</v>
      </c>
      <c r="B731" t="s">
        <v>1406</v>
      </c>
      <c r="C731" t="s">
        <v>18</v>
      </c>
      <c r="D731" t="s">
        <v>2983</v>
      </c>
      <c r="E731" t="s">
        <v>357</v>
      </c>
      <c r="F731">
        <v>44</v>
      </c>
      <c r="G731">
        <v>48</v>
      </c>
      <c r="H731">
        <v>77</v>
      </c>
      <c r="I731" t="s">
        <v>71</v>
      </c>
      <c r="J731" s="7">
        <f t="shared" si="99"/>
        <v>2.5</v>
      </c>
      <c r="K731" t="s">
        <v>243</v>
      </c>
      <c r="L731" s="1">
        <f t="shared" si="100"/>
        <v>45527</v>
      </c>
      <c r="M731" t="s">
        <v>712</v>
      </c>
      <c r="N731" s="1">
        <f t="shared" si="101"/>
        <v>45552</v>
      </c>
      <c r="O731" t="s">
        <v>444</v>
      </c>
      <c r="P731" s="1">
        <f t="shared" si="102"/>
        <v>45680</v>
      </c>
      <c r="Q731" t="s">
        <v>2984</v>
      </c>
      <c r="R731">
        <v>67</v>
      </c>
      <c r="S731">
        <v>79</v>
      </c>
      <c r="T731" t="s">
        <v>26</v>
      </c>
      <c r="U731" s="8">
        <v>167.5</v>
      </c>
      <c r="V731" s="8">
        <f t="shared" si="103"/>
        <v>110</v>
      </c>
      <c r="W731" t="str">
        <f t="shared" si="104"/>
        <v>Reorder Required</v>
      </c>
      <c r="X731" s="9">
        <f t="shared" si="105"/>
        <v>45505</v>
      </c>
      <c r="Y731">
        <f t="shared" si="106"/>
        <v>153</v>
      </c>
      <c r="Z731" t="str">
        <f t="shared" si="107"/>
        <v>Medium Risk</v>
      </c>
    </row>
    <row r="732" spans="1:26" x14ac:dyDescent="0.4">
      <c r="A732" t="s">
        <v>2985</v>
      </c>
      <c r="B732" t="s">
        <v>627</v>
      </c>
      <c r="C732" t="s">
        <v>18</v>
      </c>
      <c r="D732" t="s">
        <v>2986</v>
      </c>
      <c r="E732" t="s">
        <v>634</v>
      </c>
      <c r="F732">
        <v>25</v>
      </c>
      <c r="G732">
        <v>95</v>
      </c>
      <c r="H732">
        <v>71</v>
      </c>
      <c r="I732" t="s">
        <v>106</v>
      </c>
      <c r="J732" s="7">
        <f t="shared" si="99"/>
        <v>2</v>
      </c>
      <c r="K732" t="s">
        <v>1110</v>
      </c>
      <c r="L732" s="1">
        <f t="shared" si="100"/>
        <v>45468</v>
      </c>
      <c r="M732" s="1">
        <v>45542</v>
      </c>
      <c r="N732" s="1">
        <f t="shared" si="101"/>
        <v>45542</v>
      </c>
      <c r="O732" t="s">
        <v>1217</v>
      </c>
      <c r="P732" s="1">
        <f t="shared" si="102"/>
        <v>45671</v>
      </c>
      <c r="Q732" t="s">
        <v>2987</v>
      </c>
      <c r="R732">
        <v>24</v>
      </c>
      <c r="S732">
        <v>76</v>
      </c>
      <c r="T732" t="s">
        <v>42</v>
      </c>
      <c r="U732" s="8">
        <v>48</v>
      </c>
      <c r="V732" s="8">
        <f t="shared" si="103"/>
        <v>50</v>
      </c>
      <c r="W732" t="str">
        <f t="shared" si="104"/>
        <v>Reorder Required</v>
      </c>
      <c r="X732" s="9">
        <f t="shared" si="105"/>
        <v>45444</v>
      </c>
      <c r="Y732">
        <f t="shared" si="106"/>
        <v>203</v>
      </c>
      <c r="Z732" t="str">
        <f t="shared" si="107"/>
        <v>Low Risk</v>
      </c>
    </row>
    <row r="733" spans="1:26" x14ac:dyDescent="0.4">
      <c r="A733" t="s">
        <v>2988</v>
      </c>
      <c r="B733" t="s">
        <v>582</v>
      </c>
      <c r="C733" t="s">
        <v>68</v>
      </c>
      <c r="D733" t="s">
        <v>2989</v>
      </c>
      <c r="E733" t="s">
        <v>1891</v>
      </c>
      <c r="F733">
        <v>24</v>
      </c>
      <c r="G733">
        <v>14</v>
      </c>
      <c r="H733">
        <v>5</v>
      </c>
      <c r="I733" t="s">
        <v>57</v>
      </c>
      <c r="J733" s="7">
        <f t="shared" si="99"/>
        <v>4</v>
      </c>
      <c r="K733" t="s">
        <v>73</v>
      </c>
      <c r="L733" s="1">
        <f t="shared" si="100"/>
        <v>45463</v>
      </c>
      <c r="M733" t="s">
        <v>666</v>
      </c>
      <c r="N733" s="1">
        <f t="shared" si="101"/>
        <v>45381</v>
      </c>
      <c r="O733" t="s">
        <v>579</v>
      </c>
      <c r="P733" s="1">
        <f t="shared" si="102"/>
        <v>45460</v>
      </c>
      <c r="Q733" t="s">
        <v>2990</v>
      </c>
      <c r="R733">
        <v>98</v>
      </c>
      <c r="S733">
        <v>9</v>
      </c>
      <c r="T733" t="s">
        <v>51</v>
      </c>
      <c r="U733" s="8">
        <v>392</v>
      </c>
      <c r="V733" s="8">
        <f t="shared" si="103"/>
        <v>96</v>
      </c>
      <c r="W733" t="str">
        <f t="shared" si="104"/>
        <v>Sufficient Stock</v>
      </c>
      <c r="X733" s="9">
        <f t="shared" si="105"/>
        <v>45444</v>
      </c>
      <c r="Y733">
        <f t="shared" si="106"/>
        <v>-3</v>
      </c>
      <c r="Z733" t="str">
        <f t="shared" si="107"/>
        <v>Invalid Data</v>
      </c>
    </row>
    <row r="734" spans="1:26" x14ac:dyDescent="0.4">
      <c r="A734" t="s">
        <v>2991</v>
      </c>
      <c r="B734" t="s">
        <v>1017</v>
      </c>
      <c r="C734" t="s">
        <v>169</v>
      </c>
      <c r="D734" t="s">
        <v>2992</v>
      </c>
      <c r="E734" t="s">
        <v>357</v>
      </c>
      <c r="F734">
        <v>44</v>
      </c>
      <c r="G734">
        <v>97</v>
      </c>
      <c r="H734">
        <v>76</v>
      </c>
      <c r="I734" t="s">
        <v>591</v>
      </c>
      <c r="J734" s="7">
        <f t="shared" si="99"/>
        <v>10</v>
      </c>
      <c r="K734" t="s">
        <v>1129</v>
      </c>
      <c r="L734" s="1">
        <f t="shared" si="100"/>
        <v>45439</v>
      </c>
      <c r="M734" s="1">
        <v>45569</v>
      </c>
      <c r="N734" s="1">
        <f t="shared" si="101"/>
        <v>45569</v>
      </c>
      <c r="O734" t="s">
        <v>1179</v>
      </c>
      <c r="P734" s="1">
        <f t="shared" si="102"/>
        <v>45641</v>
      </c>
      <c r="Q734" t="s">
        <v>2993</v>
      </c>
      <c r="R734">
        <v>80</v>
      </c>
      <c r="S734">
        <v>33</v>
      </c>
      <c r="T734" t="s">
        <v>26</v>
      </c>
      <c r="U734" s="8">
        <v>800</v>
      </c>
      <c r="V734" s="8">
        <f t="shared" si="103"/>
        <v>440</v>
      </c>
      <c r="W734" t="str">
        <f t="shared" si="104"/>
        <v>Reorder Required</v>
      </c>
      <c r="X734" s="9">
        <f t="shared" si="105"/>
        <v>45413</v>
      </c>
      <c r="Y734">
        <f t="shared" si="106"/>
        <v>202</v>
      </c>
      <c r="Z734" t="str">
        <f t="shared" si="107"/>
        <v>Low Risk</v>
      </c>
    </row>
    <row r="735" spans="1:26" x14ac:dyDescent="0.4">
      <c r="A735" t="s">
        <v>2994</v>
      </c>
      <c r="B735" t="s">
        <v>885</v>
      </c>
      <c r="C735" t="s">
        <v>18</v>
      </c>
      <c r="D735" t="s">
        <v>2995</v>
      </c>
      <c r="E735" t="s">
        <v>1553</v>
      </c>
      <c r="F735">
        <v>63</v>
      </c>
      <c r="G735">
        <v>4</v>
      </c>
      <c r="H735">
        <v>46</v>
      </c>
      <c r="I735" t="s">
        <v>71</v>
      </c>
      <c r="J735" s="7">
        <f t="shared" si="99"/>
        <v>2.5</v>
      </c>
      <c r="K735" t="s">
        <v>173</v>
      </c>
      <c r="L735" s="1">
        <f t="shared" si="100"/>
        <v>45521</v>
      </c>
      <c r="M735" t="s">
        <v>549</v>
      </c>
      <c r="N735" s="1">
        <f t="shared" si="101"/>
        <v>45372</v>
      </c>
      <c r="O735" s="1">
        <v>45538</v>
      </c>
      <c r="P735" s="1">
        <f t="shared" si="102"/>
        <v>45538</v>
      </c>
      <c r="Q735" t="s">
        <v>2996</v>
      </c>
      <c r="R735">
        <v>40</v>
      </c>
      <c r="S735">
        <v>69</v>
      </c>
      <c r="T735" t="s">
        <v>26</v>
      </c>
      <c r="U735" s="8">
        <v>100</v>
      </c>
      <c r="V735" s="8">
        <f t="shared" si="103"/>
        <v>157.5</v>
      </c>
      <c r="W735" t="str">
        <f t="shared" si="104"/>
        <v>Sufficient Stock</v>
      </c>
      <c r="X735" s="9">
        <f t="shared" si="105"/>
        <v>45505</v>
      </c>
      <c r="Y735">
        <f t="shared" si="106"/>
        <v>17</v>
      </c>
      <c r="Z735" t="str">
        <f t="shared" si="107"/>
        <v>Critical</v>
      </c>
    </row>
    <row r="736" spans="1:26" x14ac:dyDescent="0.4">
      <c r="A736" t="s">
        <v>2997</v>
      </c>
      <c r="B736" t="s">
        <v>607</v>
      </c>
      <c r="C736" t="s">
        <v>68</v>
      </c>
      <c r="D736" t="s">
        <v>2998</v>
      </c>
      <c r="E736" t="s">
        <v>724</v>
      </c>
      <c r="F736">
        <v>69</v>
      </c>
      <c r="G736">
        <v>59</v>
      </c>
      <c r="H736">
        <v>29</v>
      </c>
      <c r="I736" t="s">
        <v>466</v>
      </c>
      <c r="J736" s="7">
        <f t="shared" si="99"/>
        <v>1.8</v>
      </c>
      <c r="K736" t="s">
        <v>287</v>
      </c>
      <c r="L736" s="1">
        <f t="shared" si="100"/>
        <v>45595</v>
      </c>
      <c r="M736" t="s">
        <v>811</v>
      </c>
      <c r="N736" s="1">
        <f t="shared" si="101"/>
        <v>45435</v>
      </c>
      <c r="O736" t="s">
        <v>388</v>
      </c>
      <c r="P736" s="1">
        <f t="shared" si="102"/>
        <v>45434</v>
      </c>
      <c r="Q736" t="s">
        <v>2999</v>
      </c>
      <c r="R736">
        <v>63</v>
      </c>
      <c r="S736">
        <v>91</v>
      </c>
      <c r="T736" t="s">
        <v>51</v>
      </c>
      <c r="U736" s="8">
        <v>113.4</v>
      </c>
      <c r="V736" s="8">
        <f t="shared" si="103"/>
        <v>124.2</v>
      </c>
      <c r="W736" t="str">
        <f t="shared" si="104"/>
        <v>Sufficient Stock</v>
      </c>
      <c r="X736" s="9">
        <f t="shared" si="105"/>
        <v>45566</v>
      </c>
      <c r="Y736">
        <f t="shared" si="106"/>
        <v>-161</v>
      </c>
      <c r="Z736" t="str">
        <f t="shared" si="107"/>
        <v>Invalid Data</v>
      </c>
    </row>
    <row r="737" spans="1:26" x14ac:dyDescent="0.4">
      <c r="A737" t="s">
        <v>3000</v>
      </c>
      <c r="B737" t="s">
        <v>814</v>
      </c>
      <c r="C737" t="s">
        <v>169</v>
      </c>
      <c r="D737" t="s">
        <v>3001</v>
      </c>
      <c r="E737" t="s">
        <v>2280</v>
      </c>
      <c r="F737">
        <v>88</v>
      </c>
      <c r="G737">
        <v>71</v>
      </c>
      <c r="H737">
        <v>9</v>
      </c>
      <c r="I737" t="s">
        <v>817</v>
      </c>
      <c r="J737" s="7">
        <f t="shared" si="99"/>
        <v>18</v>
      </c>
      <c r="K737" t="s">
        <v>1238</v>
      </c>
      <c r="L737" s="1">
        <f t="shared" si="100"/>
        <v>45365</v>
      </c>
      <c r="M737" t="s">
        <v>158</v>
      </c>
      <c r="N737" s="1">
        <f t="shared" si="101"/>
        <v>45654</v>
      </c>
      <c r="O737" t="s">
        <v>495</v>
      </c>
      <c r="P737" s="1">
        <f t="shared" si="102"/>
        <v>45367</v>
      </c>
      <c r="Q737" t="s">
        <v>3002</v>
      </c>
      <c r="R737">
        <v>28</v>
      </c>
      <c r="S737">
        <v>14</v>
      </c>
      <c r="T737" t="s">
        <v>42</v>
      </c>
      <c r="U737" s="8">
        <v>504</v>
      </c>
      <c r="V737" s="8">
        <f t="shared" si="103"/>
        <v>1584</v>
      </c>
      <c r="W737" t="str">
        <f t="shared" si="104"/>
        <v>Sufficient Stock</v>
      </c>
      <c r="X737" s="9">
        <f t="shared" si="105"/>
        <v>45352</v>
      </c>
      <c r="Y737">
        <f t="shared" si="106"/>
        <v>2</v>
      </c>
      <c r="Z737" t="str">
        <f t="shared" si="107"/>
        <v>Critical</v>
      </c>
    </row>
    <row r="738" spans="1:26" x14ac:dyDescent="0.4">
      <c r="A738" t="s">
        <v>3003</v>
      </c>
      <c r="B738" t="s">
        <v>989</v>
      </c>
      <c r="C738" t="s">
        <v>29</v>
      </c>
      <c r="D738" t="s">
        <v>3004</v>
      </c>
      <c r="E738" t="s">
        <v>3005</v>
      </c>
      <c r="F738">
        <v>74</v>
      </c>
      <c r="G738">
        <v>2</v>
      </c>
      <c r="H738">
        <v>45</v>
      </c>
      <c r="I738" t="s">
        <v>591</v>
      </c>
      <c r="J738" s="7">
        <f t="shared" si="99"/>
        <v>10</v>
      </c>
      <c r="K738" t="s">
        <v>462</v>
      </c>
      <c r="L738" s="1">
        <f t="shared" si="100"/>
        <v>45351</v>
      </c>
      <c r="M738" s="1">
        <v>45718</v>
      </c>
      <c r="N738" s="1">
        <f t="shared" si="101"/>
        <v>45718</v>
      </c>
      <c r="O738" s="1">
        <v>45447</v>
      </c>
      <c r="P738" s="1">
        <f t="shared" si="102"/>
        <v>45447</v>
      </c>
      <c r="Q738" t="s">
        <v>3006</v>
      </c>
      <c r="R738">
        <v>37</v>
      </c>
      <c r="S738">
        <v>99</v>
      </c>
      <c r="T738" t="s">
        <v>51</v>
      </c>
      <c r="U738" s="8">
        <v>370</v>
      </c>
      <c r="V738" s="8">
        <f t="shared" si="103"/>
        <v>740</v>
      </c>
      <c r="W738" t="str">
        <f t="shared" si="104"/>
        <v>Sufficient Stock</v>
      </c>
      <c r="X738" s="9">
        <f t="shared" si="105"/>
        <v>45323</v>
      </c>
      <c r="Y738">
        <f t="shared" si="106"/>
        <v>96</v>
      </c>
      <c r="Z738" t="str">
        <f t="shared" si="107"/>
        <v>Medium Risk</v>
      </c>
    </row>
    <row r="739" spans="1:26" x14ac:dyDescent="0.4">
      <c r="A739" t="s">
        <v>3007</v>
      </c>
      <c r="B739" t="s">
        <v>498</v>
      </c>
      <c r="C739" t="s">
        <v>54</v>
      </c>
      <c r="D739" t="s">
        <v>3008</v>
      </c>
      <c r="E739" t="s">
        <v>3009</v>
      </c>
      <c r="F739">
        <v>98</v>
      </c>
      <c r="G739">
        <v>43</v>
      </c>
      <c r="H739">
        <v>9</v>
      </c>
      <c r="I739" t="s">
        <v>21</v>
      </c>
      <c r="J739" s="7">
        <f t="shared" si="99"/>
        <v>4.5</v>
      </c>
      <c r="K739" t="s">
        <v>1110</v>
      </c>
      <c r="L739" s="1">
        <f t="shared" si="100"/>
        <v>45468</v>
      </c>
      <c r="M739" s="1">
        <v>45446</v>
      </c>
      <c r="N739" s="1">
        <f t="shared" si="101"/>
        <v>45446</v>
      </c>
      <c r="O739" t="s">
        <v>655</v>
      </c>
      <c r="P739" s="1">
        <f t="shared" si="102"/>
        <v>45655</v>
      </c>
      <c r="Q739" t="s">
        <v>3010</v>
      </c>
      <c r="R739">
        <v>86</v>
      </c>
      <c r="S739">
        <v>62</v>
      </c>
      <c r="T739" t="s">
        <v>42</v>
      </c>
      <c r="U739" s="8">
        <v>387</v>
      </c>
      <c r="V739" s="8">
        <f t="shared" si="103"/>
        <v>441</v>
      </c>
      <c r="W739" t="str">
        <f t="shared" si="104"/>
        <v>Sufficient Stock</v>
      </c>
      <c r="X739" s="9">
        <f t="shared" si="105"/>
        <v>45444</v>
      </c>
      <c r="Y739">
        <f t="shared" si="106"/>
        <v>187</v>
      </c>
      <c r="Z739" t="str">
        <f t="shared" si="107"/>
        <v>Low Risk</v>
      </c>
    </row>
    <row r="740" spans="1:26" x14ac:dyDescent="0.4">
      <c r="A740" t="s">
        <v>3011</v>
      </c>
      <c r="B740" t="s">
        <v>2592</v>
      </c>
      <c r="C740" t="s">
        <v>77</v>
      </c>
      <c r="D740" t="s">
        <v>3012</v>
      </c>
      <c r="E740" t="s">
        <v>1339</v>
      </c>
      <c r="F740">
        <v>22</v>
      </c>
      <c r="G740">
        <v>19</v>
      </c>
      <c r="H740">
        <v>4</v>
      </c>
      <c r="I740" t="s">
        <v>2595</v>
      </c>
      <c r="J740" s="7">
        <f t="shared" si="99"/>
        <v>0.2</v>
      </c>
      <c r="K740" t="s">
        <v>946</v>
      </c>
      <c r="L740" s="1">
        <f t="shared" si="100"/>
        <v>45400</v>
      </c>
      <c r="M740" t="s">
        <v>215</v>
      </c>
      <c r="N740" s="1">
        <f t="shared" si="101"/>
        <v>45368</v>
      </c>
      <c r="O740" t="s">
        <v>712</v>
      </c>
      <c r="P740" s="1">
        <f t="shared" si="102"/>
        <v>45552</v>
      </c>
      <c r="Q740" t="s">
        <v>3013</v>
      </c>
      <c r="R740">
        <v>88</v>
      </c>
      <c r="S740">
        <v>24</v>
      </c>
      <c r="T740" t="s">
        <v>26</v>
      </c>
      <c r="U740" s="8">
        <v>17.600000000000001</v>
      </c>
      <c r="V740" s="8">
        <f t="shared" si="103"/>
        <v>4.4000000000000004</v>
      </c>
      <c r="W740" t="str">
        <f t="shared" si="104"/>
        <v>Sufficient Stock</v>
      </c>
      <c r="X740" s="9">
        <f t="shared" si="105"/>
        <v>45383</v>
      </c>
      <c r="Y740">
        <f t="shared" si="106"/>
        <v>152</v>
      </c>
      <c r="Z740" t="str">
        <f t="shared" si="107"/>
        <v>Medium Risk</v>
      </c>
    </row>
    <row r="741" spans="1:26" x14ac:dyDescent="0.4">
      <c r="A741" t="s">
        <v>3014</v>
      </c>
      <c r="B741" t="s">
        <v>1447</v>
      </c>
      <c r="C741" t="s">
        <v>54</v>
      </c>
      <c r="D741" t="s">
        <v>3015</v>
      </c>
      <c r="E741" t="s">
        <v>97</v>
      </c>
      <c r="F741">
        <v>55</v>
      </c>
      <c r="G741">
        <v>96</v>
      </c>
      <c r="H741">
        <v>40</v>
      </c>
      <c r="I741" t="s">
        <v>220</v>
      </c>
      <c r="J741" s="7">
        <f t="shared" si="99"/>
        <v>5</v>
      </c>
      <c r="K741" t="s">
        <v>347</v>
      </c>
      <c r="L741" s="1">
        <f t="shared" si="100"/>
        <v>45428</v>
      </c>
      <c r="M741" s="1">
        <v>45601</v>
      </c>
      <c r="N741" s="1">
        <f t="shared" si="101"/>
        <v>45601</v>
      </c>
      <c r="O741" s="1">
        <v>45449</v>
      </c>
      <c r="P741" s="1">
        <f t="shared" si="102"/>
        <v>45449</v>
      </c>
      <c r="Q741" t="s">
        <v>3016</v>
      </c>
      <c r="R741">
        <v>23</v>
      </c>
      <c r="S741">
        <v>47</v>
      </c>
      <c r="T741" t="s">
        <v>26</v>
      </c>
      <c r="U741" s="8">
        <v>115</v>
      </c>
      <c r="V741" s="8">
        <f t="shared" si="103"/>
        <v>275</v>
      </c>
      <c r="W741" t="str">
        <f t="shared" si="104"/>
        <v>Reorder Required</v>
      </c>
      <c r="X741" s="9">
        <f t="shared" si="105"/>
        <v>45413</v>
      </c>
      <c r="Y741">
        <f t="shared" si="106"/>
        <v>21</v>
      </c>
      <c r="Z741" t="str">
        <f t="shared" si="107"/>
        <v>Critical</v>
      </c>
    </row>
    <row r="742" spans="1:26" x14ac:dyDescent="0.4">
      <c r="A742" t="s">
        <v>3017</v>
      </c>
      <c r="B742" t="s">
        <v>447</v>
      </c>
      <c r="C742" t="s">
        <v>77</v>
      </c>
      <c r="D742" t="s">
        <v>3018</v>
      </c>
      <c r="E742" t="s">
        <v>2955</v>
      </c>
      <c r="F742">
        <v>96</v>
      </c>
      <c r="G742">
        <v>80</v>
      </c>
      <c r="H742">
        <v>20</v>
      </c>
      <c r="I742" t="s">
        <v>717</v>
      </c>
      <c r="J742" s="7">
        <f t="shared" si="99"/>
        <v>6.1</v>
      </c>
      <c r="K742" t="s">
        <v>1057</v>
      </c>
      <c r="L742" s="1">
        <f t="shared" si="100"/>
        <v>45645</v>
      </c>
      <c r="M742" t="s">
        <v>1387</v>
      </c>
      <c r="N742" s="1">
        <f t="shared" si="101"/>
        <v>45503</v>
      </c>
      <c r="O742" t="s">
        <v>366</v>
      </c>
      <c r="P742" s="1">
        <f t="shared" si="102"/>
        <v>45685</v>
      </c>
      <c r="Q742" t="s">
        <v>3019</v>
      </c>
      <c r="R742">
        <v>94</v>
      </c>
      <c r="S742">
        <v>49</v>
      </c>
      <c r="T742" t="s">
        <v>26</v>
      </c>
      <c r="U742" s="8">
        <v>573.4</v>
      </c>
      <c r="V742" s="8">
        <f t="shared" si="103"/>
        <v>585.59999999999991</v>
      </c>
      <c r="W742" t="str">
        <f t="shared" si="104"/>
        <v>Sufficient Stock</v>
      </c>
      <c r="X742" s="9">
        <f t="shared" si="105"/>
        <v>45627</v>
      </c>
      <c r="Y742">
        <f t="shared" si="106"/>
        <v>40</v>
      </c>
      <c r="Z742" t="str">
        <f t="shared" si="107"/>
        <v>High Risk</v>
      </c>
    </row>
    <row r="743" spans="1:26" x14ac:dyDescent="0.4">
      <c r="A743" t="s">
        <v>3020</v>
      </c>
      <c r="B743" t="s">
        <v>131</v>
      </c>
      <c r="C743" t="s">
        <v>77</v>
      </c>
      <c r="D743" t="s">
        <v>3021</v>
      </c>
      <c r="E743" t="s">
        <v>2877</v>
      </c>
      <c r="F743">
        <v>91</v>
      </c>
      <c r="G743">
        <v>7</v>
      </c>
      <c r="H743">
        <v>64</v>
      </c>
      <c r="I743" t="s">
        <v>134</v>
      </c>
      <c r="J743" s="7">
        <f t="shared" si="99"/>
        <v>7</v>
      </c>
      <c r="K743" s="1">
        <v>45546</v>
      </c>
      <c r="L743" s="1">
        <f t="shared" si="100"/>
        <v>45546</v>
      </c>
      <c r="M743" s="1">
        <v>45634</v>
      </c>
      <c r="N743" s="1">
        <f t="shared" si="101"/>
        <v>45634</v>
      </c>
      <c r="O743" t="s">
        <v>214</v>
      </c>
      <c r="P743" s="1">
        <f t="shared" si="102"/>
        <v>45712</v>
      </c>
      <c r="Q743" t="s">
        <v>3022</v>
      </c>
      <c r="R743">
        <v>32</v>
      </c>
      <c r="S743">
        <v>65</v>
      </c>
      <c r="T743" t="s">
        <v>26</v>
      </c>
      <c r="U743" s="8">
        <v>224</v>
      </c>
      <c r="V743" s="8">
        <f t="shared" si="103"/>
        <v>637</v>
      </c>
      <c r="W743" t="str">
        <f t="shared" si="104"/>
        <v>Sufficient Stock</v>
      </c>
      <c r="X743" s="9">
        <f t="shared" si="105"/>
        <v>45536</v>
      </c>
      <c r="Y743">
        <f t="shared" si="106"/>
        <v>166</v>
      </c>
      <c r="Z743" t="str">
        <f t="shared" si="107"/>
        <v>Medium Risk</v>
      </c>
    </row>
    <row r="744" spans="1:26" x14ac:dyDescent="0.4">
      <c r="A744" t="s">
        <v>3023</v>
      </c>
      <c r="B744" t="s">
        <v>1228</v>
      </c>
      <c r="C744" t="s">
        <v>112</v>
      </c>
      <c r="D744" t="s">
        <v>3024</v>
      </c>
      <c r="E744" t="s">
        <v>1437</v>
      </c>
      <c r="F744">
        <v>40</v>
      </c>
      <c r="G744">
        <v>91</v>
      </c>
      <c r="H744">
        <v>24</v>
      </c>
      <c r="I744" t="s">
        <v>57</v>
      </c>
      <c r="J744" s="7">
        <f t="shared" si="99"/>
        <v>4</v>
      </c>
      <c r="K744" t="s">
        <v>525</v>
      </c>
      <c r="L744" s="1">
        <f t="shared" si="100"/>
        <v>45502</v>
      </c>
      <c r="M744" s="1">
        <v>45638</v>
      </c>
      <c r="N744" s="1">
        <f t="shared" si="101"/>
        <v>45638</v>
      </c>
      <c r="O744" t="s">
        <v>1165</v>
      </c>
      <c r="P744" s="1">
        <f t="shared" si="102"/>
        <v>45626</v>
      </c>
      <c r="Q744" t="s">
        <v>3025</v>
      </c>
      <c r="R744">
        <v>28</v>
      </c>
      <c r="S744">
        <v>47</v>
      </c>
      <c r="T744" t="s">
        <v>26</v>
      </c>
      <c r="U744" s="8">
        <v>112</v>
      </c>
      <c r="V744" s="8">
        <f t="shared" si="103"/>
        <v>160</v>
      </c>
      <c r="W744" t="str">
        <f t="shared" si="104"/>
        <v>Reorder Required</v>
      </c>
      <c r="X744" s="9">
        <f t="shared" si="105"/>
        <v>45474</v>
      </c>
      <c r="Y744">
        <f t="shared" si="106"/>
        <v>124</v>
      </c>
      <c r="Z744" t="str">
        <f t="shared" si="107"/>
        <v>Medium Risk</v>
      </c>
    </row>
    <row r="745" spans="1:26" x14ac:dyDescent="0.4">
      <c r="A745" t="s">
        <v>3026</v>
      </c>
      <c r="B745" t="s">
        <v>1761</v>
      </c>
      <c r="C745" t="s">
        <v>169</v>
      </c>
      <c r="D745" t="s">
        <v>3027</v>
      </c>
      <c r="E745" t="s">
        <v>865</v>
      </c>
      <c r="F745">
        <v>52</v>
      </c>
      <c r="G745">
        <v>46</v>
      </c>
      <c r="H745">
        <v>12</v>
      </c>
      <c r="I745" t="s">
        <v>320</v>
      </c>
      <c r="J745" s="7">
        <f t="shared" si="99"/>
        <v>15</v>
      </c>
      <c r="K745" t="s">
        <v>99</v>
      </c>
      <c r="L745" s="1">
        <f t="shared" si="100"/>
        <v>45644</v>
      </c>
      <c r="M745" s="1">
        <v>45388</v>
      </c>
      <c r="N745" s="1">
        <f t="shared" si="101"/>
        <v>45388</v>
      </c>
      <c r="O745" t="s">
        <v>1141</v>
      </c>
      <c r="P745" s="1">
        <f t="shared" si="102"/>
        <v>45398</v>
      </c>
      <c r="Q745" t="s">
        <v>3028</v>
      </c>
      <c r="R745">
        <v>43</v>
      </c>
      <c r="S745">
        <v>34</v>
      </c>
      <c r="T745" t="s">
        <v>42</v>
      </c>
      <c r="U745" s="8">
        <v>645</v>
      </c>
      <c r="V745" s="8">
        <f t="shared" si="103"/>
        <v>780</v>
      </c>
      <c r="W745" t="str">
        <f t="shared" si="104"/>
        <v>Sufficient Stock</v>
      </c>
      <c r="X745" s="9">
        <f t="shared" si="105"/>
        <v>45627</v>
      </c>
      <c r="Y745">
        <f t="shared" si="106"/>
        <v>-246</v>
      </c>
      <c r="Z745" t="str">
        <f t="shared" si="107"/>
        <v>Invalid Data</v>
      </c>
    </row>
    <row r="746" spans="1:26" x14ac:dyDescent="0.4">
      <c r="A746" t="s">
        <v>3029</v>
      </c>
      <c r="B746" t="s">
        <v>681</v>
      </c>
      <c r="C746" t="s">
        <v>54</v>
      </c>
      <c r="D746" t="s">
        <v>3030</v>
      </c>
      <c r="E746" t="s">
        <v>1649</v>
      </c>
      <c r="F746">
        <v>22</v>
      </c>
      <c r="G746">
        <v>22</v>
      </c>
      <c r="H746">
        <v>65</v>
      </c>
      <c r="I746" t="s">
        <v>106</v>
      </c>
      <c r="J746" s="7">
        <f t="shared" si="99"/>
        <v>2</v>
      </c>
      <c r="K746" t="s">
        <v>479</v>
      </c>
      <c r="L746" s="1">
        <f t="shared" si="100"/>
        <v>45672</v>
      </c>
      <c r="M746" t="s">
        <v>328</v>
      </c>
      <c r="N746" s="1">
        <f t="shared" si="101"/>
        <v>45412</v>
      </c>
      <c r="O746" s="1">
        <v>45632</v>
      </c>
      <c r="P746" s="1">
        <f t="shared" si="102"/>
        <v>45632</v>
      </c>
      <c r="Q746" t="s">
        <v>3031</v>
      </c>
      <c r="R746">
        <v>62</v>
      </c>
      <c r="S746">
        <v>78</v>
      </c>
      <c r="T746" t="s">
        <v>42</v>
      </c>
      <c r="U746" s="8">
        <v>124</v>
      </c>
      <c r="V746" s="8">
        <f t="shared" si="103"/>
        <v>44</v>
      </c>
      <c r="W746" t="str">
        <f t="shared" si="104"/>
        <v>Reorder Required</v>
      </c>
      <c r="X746" s="9">
        <f t="shared" si="105"/>
        <v>45658</v>
      </c>
      <c r="Y746">
        <f t="shared" si="106"/>
        <v>-40</v>
      </c>
      <c r="Z746" t="str">
        <f t="shared" si="107"/>
        <v>Invalid Data</v>
      </c>
    </row>
    <row r="747" spans="1:26" x14ac:dyDescent="0.4">
      <c r="A747" t="s">
        <v>3032</v>
      </c>
      <c r="B747" t="s">
        <v>36</v>
      </c>
      <c r="C747" t="s">
        <v>18</v>
      </c>
      <c r="D747" t="s">
        <v>3033</v>
      </c>
      <c r="E747" t="s">
        <v>1457</v>
      </c>
      <c r="F747">
        <v>98</v>
      </c>
      <c r="G747">
        <v>41</v>
      </c>
      <c r="H747">
        <v>98</v>
      </c>
      <c r="I747" t="s">
        <v>3034</v>
      </c>
      <c r="J747" s="7">
        <f t="shared" si="99"/>
        <v>6.35</v>
      </c>
      <c r="K747" s="1">
        <v>45778</v>
      </c>
      <c r="L747" s="1">
        <f t="shared" si="100"/>
        <v>45778</v>
      </c>
      <c r="M747" t="s">
        <v>826</v>
      </c>
      <c r="N747" s="1">
        <f t="shared" si="101"/>
        <v>45535</v>
      </c>
      <c r="O747" t="s">
        <v>649</v>
      </c>
      <c r="P747" s="1">
        <f t="shared" si="102"/>
        <v>45675</v>
      </c>
      <c r="Q747" t="s">
        <v>3035</v>
      </c>
      <c r="R747">
        <v>70</v>
      </c>
      <c r="S747">
        <v>75</v>
      </c>
      <c r="T747" t="s">
        <v>42</v>
      </c>
      <c r="U747" s="8">
        <v>444.5</v>
      </c>
      <c r="V747" s="8">
        <f t="shared" si="103"/>
        <v>622.29999999999995</v>
      </c>
      <c r="W747" t="str">
        <f t="shared" si="104"/>
        <v>Sufficient Stock</v>
      </c>
      <c r="X747" s="9">
        <f t="shared" si="105"/>
        <v>45778</v>
      </c>
      <c r="Y747">
        <f t="shared" si="106"/>
        <v>-103</v>
      </c>
      <c r="Z747" t="str">
        <f t="shared" si="107"/>
        <v>Invalid Data</v>
      </c>
    </row>
    <row r="748" spans="1:26" x14ac:dyDescent="0.4">
      <c r="A748" t="s">
        <v>3036</v>
      </c>
      <c r="B748" t="s">
        <v>984</v>
      </c>
      <c r="C748" t="s">
        <v>18</v>
      </c>
      <c r="D748" t="s">
        <v>3037</v>
      </c>
      <c r="E748" t="s">
        <v>56</v>
      </c>
      <c r="F748">
        <v>59</v>
      </c>
      <c r="G748">
        <v>73</v>
      </c>
      <c r="H748">
        <v>86</v>
      </c>
      <c r="I748" t="s">
        <v>986</v>
      </c>
      <c r="J748" s="7">
        <f t="shared" si="99"/>
        <v>2.75</v>
      </c>
      <c r="K748" t="s">
        <v>827</v>
      </c>
      <c r="L748" s="1">
        <f t="shared" si="100"/>
        <v>45701</v>
      </c>
      <c r="M748" s="1">
        <v>45658</v>
      </c>
      <c r="N748" s="1">
        <f t="shared" si="101"/>
        <v>45658</v>
      </c>
      <c r="O748" s="1">
        <v>45605</v>
      </c>
      <c r="P748" s="1">
        <f t="shared" si="102"/>
        <v>45605</v>
      </c>
      <c r="Q748" t="s">
        <v>3038</v>
      </c>
      <c r="R748">
        <v>32</v>
      </c>
      <c r="S748">
        <v>56</v>
      </c>
      <c r="T748" t="s">
        <v>42</v>
      </c>
      <c r="U748" s="8">
        <v>88</v>
      </c>
      <c r="V748" s="8">
        <f t="shared" si="103"/>
        <v>162.25</v>
      </c>
      <c r="W748" t="str">
        <f t="shared" si="104"/>
        <v>Reorder Required</v>
      </c>
      <c r="X748" s="9">
        <f t="shared" si="105"/>
        <v>45689</v>
      </c>
      <c r="Y748">
        <f t="shared" si="106"/>
        <v>-96</v>
      </c>
      <c r="Z748" t="str">
        <f t="shared" si="107"/>
        <v>Invalid Data</v>
      </c>
    </row>
    <row r="749" spans="1:26" x14ac:dyDescent="0.4">
      <c r="A749" t="s">
        <v>3039</v>
      </c>
      <c r="B749" t="s">
        <v>595</v>
      </c>
      <c r="C749" t="s">
        <v>112</v>
      </c>
      <c r="D749" t="s">
        <v>3040</v>
      </c>
      <c r="E749" t="s">
        <v>2064</v>
      </c>
      <c r="F749">
        <v>99</v>
      </c>
      <c r="G749">
        <v>3</v>
      </c>
      <c r="H749">
        <v>79</v>
      </c>
      <c r="I749" t="s">
        <v>220</v>
      </c>
      <c r="J749" s="7">
        <f t="shared" si="99"/>
        <v>5</v>
      </c>
      <c r="K749" s="1">
        <v>45418</v>
      </c>
      <c r="L749" s="1">
        <f t="shared" si="100"/>
        <v>45418</v>
      </c>
      <c r="M749" t="s">
        <v>467</v>
      </c>
      <c r="N749" s="1">
        <f t="shared" si="101"/>
        <v>45673</v>
      </c>
      <c r="O749" t="s">
        <v>1343</v>
      </c>
      <c r="P749" s="1">
        <f t="shared" si="102"/>
        <v>45617</v>
      </c>
      <c r="Q749" t="s">
        <v>3041</v>
      </c>
      <c r="R749">
        <v>65</v>
      </c>
      <c r="S749">
        <v>16</v>
      </c>
      <c r="T749" t="s">
        <v>42</v>
      </c>
      <c r="U749" s="8">
        <v>325</v>
      </c>
      <c r="V749" s="8">
        <f t="shared" si="103"/>
        <v>495</v>
      </c>
      <c r="W749" t="str">
        <f t="shared" si="104"/>
        <v>Sufficient Stock</v>
      </c>
      <c r="X749" s="9">
        <f t="shared" si="105"/>
        <v>45413</v>
      </c>
      <c r="Y749">
        <f t="shared" si="106"/>
        <v>199</v>
      </c>
      <c r="Z749" t="str">
        <f t="shared" si="107"/>
        <v>Low Risk</v>
      </c>
    </row>
    <row r="750" spans="1:26" x14ac:dyDescent="0.4">
      <c r="A750" t="s">
        <v>3042</v>
      </c>
      <c r="B750" t="s">
        <v>431</v>
      </c>
      <c r="C750" t="s">
        <v>29</v>
      </c>
      <c r="D750" t="s">
        <v>3043</v>
      </c>
      <c r="E750" t="s">
        <v>590</v>
      </c>
      <c r="F750">
        <v>18</v>
      </c>
      <c r="G750">
        <v>36</v>
      </c>
      <c r="H750">
        <v>53</v>
      </c>
      <c r="I750" t="s">
        <v>3044</v>
      </c>
      <c r="J750" s="7">
        <f t="shared" si="99"/>
        <v>5.3</v>
      </c>
      <c r="K750" s="1">
        <v>45631</v>
      </c>
      <c r="L750" s="1">
        <f t="shared" si="100"/>
        <v>45631</v>
      </c>
      <c r="M750" s="1">
        <v>45296</v>
      </c>
      <c r="N750" s="1">
        <f t="shared" si="101"/>
        <v>45296</v>
      </c>
      <c r="O750" t="s">
        <v>213</v>
      </c>
      <c r="P750" s="1">
        <f t="shared" si="102"/>
        <v>45467</v>
      </c>
      <c r="Q750" t="s">
        <v>3045</v>
      </c>
      <c r="R750">
        <v>65</v>
      </c>
      <c r="S750">
        <v>100</v>
      </c>
      <c r="T750" t="s">
        <v>51</v>
      </c>
      <c r="U750" s="8">
        <v>344.5</v>
      </c>
      <c r="V750" s="8">
        <f t="shared" si="103"/>
        <v>95.399999999999991</v>
      </c>
      <c r="W750" t="str">
        <f t="shared" si="104"/>
        <v>Reorder Required</v>
      </c>
      <c r="X750" s="9">
        <f t="shared" si="105"/>
        <v>45627</v>
      </c>
      <c r="Y750">
        <f t="shared" si="106"/>
        <v>-164</v>
      </c>
      <c r="Z750" t="str">
        <f t="shared" si="107"/>
        <v>Invalid Data</v>
      </c>
    </row>
    <row r="751" spans="1:26" x14ac:dyDescent="0.4">
      <c r="A751" t="s">
        <v>3046</v>
      </c>
      <c r="B751" t="s">
        <v>994</v>
      </c>
      <c r="C751" t="s">
        <v>54</v>
      </c>
      <c r="D751" t="s">
        <v>3047</v>
      </c>
      <c r="E751" t="s">
        <v>1019</v>
      </c>
      <c r="F751">
        <v>58</v>
      </c>
      <c r="G751">
        <v>12</v>
      </c>
      <c r="H751">
        <v>99</v>
      </c>
      <c r="I751" t="s">
        <v>85</v>
      </c>
      <c r="J751" s="7">
        <f t="shared" si="99"/>
        <v>3</v>
      </c>
      <c r="K751" t="s">
        <v>1106</v>
      </c>
      <c r="L751" s="1">
        <f t="shared" si="100"/>
        <v>45679</v>
      </c>
      <c r="M751" s="1">
        <v>45992</v>
      </c>
      <c r="N751" s="1">
        <f t="shared" si="101"/>
        <v>45992</v>
      </c>
      <c r="O751" t="s">
        <v>64</v>
      </c>
      <c r="P751" s="1">
        <f t="shared" si="102"/>
        <v>45438</v>
      </c>
      <c r="Q751" t="s">
        <v>3048</v>
      </c>
      <c r="R751">
        <v>71</v>
      </c>
      <c r="S751">
        <v>30</v>
      </c>
      <c r="T751" t="s">
        <v>51</v>
      </c>
      <c r="U751" s="8">
        <v>213</v>
      </c>
      <c r="V751" s="8">
        <f t="shared" si="103"/>
        <v>174</v>
      </c>
      <c r="W751" t="str">
        <f t="shared" si="104"/>
        <v>Sufficient Stock</v>
      </c>
      <c r="X751" s="9">
        <f t="shared" si="105"/>
        <v>45658</v>
      </c>
      <c r="Y751">
        <f t="shared" si="106"/>
        <v>-241</v>
      </c>
      <c r="Z751" t="str">
        <f t="shared" si="107"/>
        <v>Invalid Data</v>
      </c>
    </row>
    <row r="752" spans="1:26" x14ac:dyDescent="0.4">
      <c r="A752" t="s">
        <v>3049</v>
      </c>
      <c r="B752" t="s">
        <v>36</v>
      </c>
      <c r="C752" t="s">
        <v>18</v>
      </c>
      <c r="D752" t="s">
        <v>3050</v>
      </c>
      <c r="E752" t="s">
        <v>1230</v>
      </c>
      <c r="F752">
        <v>30</v>
      </c>
      <c r="G752">
        <v>34</v>
      </c>
      <c r="H752">
        <v>96</v>
      </c>
      <c r="I752" t="s">
        <v>3051</v>
      </c>
      <c r="J752" s="7">
        <f t="shared" si="99"/>
        <v>6.3</v>
      </c>
      <c r="K752" s="1">
        <v>45393</v>
      </c>
      <c r="L752" s="1">
        <f t="shared" si="100"/>
        <v>45393</v>
      </c>
      <c r="M752" t="s">
        <v>1057</v>
      </c>
      <c r="N752" s="1">
        <f t="shared" si="101"/>
        <v>45645</v>
      </c>
      <c r="O752" t="s">
        <v>1884</v>
      </c>
      <c r="P752" s="1">
        <f t="shared" si="102"/>
        <v>45404</v>
      </c>
      <c r="Q752" t="s">
        <v>3052</v>
      </c>
      <c r="R752">
        <v>61</v>
      </c>
      <c r="S752">
        <v>13</v>
      </c>
      <c r="T752" t="s">
        <v>42</v>
      </c>
      <c r="U752" s="8">
        <v>384.3</v>
      </c>
      <c r="V752" s="8">
        <f t="shared" si="103"/>
        <v>189</v>
      </c>
      <c r="W752" t="str">
        <f t="shared" si="104"/>
        <v>Reorder Required</v>
      </c>
      <c r="X752" s="9">
        <f t="shared" si="105"/>
        <v>45383</v>
      </c>
      <c r="Y752">
        <f t="shared" si="106"/>
        <v>11</v>
      </c>
      <c r="Z752" t="str">
        <f t="shared" si="107"/>
        <v>Critical</v>
      </c>
    </row>
    <row r="753" spans="1:26" x14ac:dyDescent="0.4">
      <c r="A753" t="s">
        <v>3053</v>
      </c>
      <c r="B753" t="s">
        <v>1470</v>
      </c>
      <c r="C753" t="s">
        <v>54</v>
      </c>
      <c r="D753" t="s">
        <v>3054</v>
      </c>
      <c r="E753" t="s">
        <v>406</v>
      </c>
      <c r="F753">
        <v>97</v>
      </c>
      <c r="G753">
        <v>97</v>
      </c>
      <c r="H753">
        <v>71</v>
      </c>
      <c r="I753" t="s">
        <v>21</v>
      </c>
      <c r="J753" s="7">
        <f t="shared" si="99"/>
        <v>4.5</v>
      </c>
      <c r="K753" s="1">
        <v>45633</v>
      </c>
      <c r="L753" s="1">
        <f t="shared" si="100"/>
        <v>45633</v>
      </c>
      <c r="M753" t="s">
        <v>842</v>
      </c>
      <c r="N753" s="1">
        <f t="shared" si="101"/>
        <v>45564</v>
      </c>
      <c r="O753" t="s">
        <v>1173</v>
      </c>
      <c r="P753" s="1">
        <f t="shared" si="102"/>
        <v>45526</v>
      </c>
      <c r="Q753" t="s">
        <v>3055</v>
      </c>
      <c r="R753">
        <v>53</v>
      </c>
      <c r="S753">
        <v>31</v>
      </c>
      <c r="T753" t="s">
        <v>51</v>
      </c>
      <c r="U753" s="8">
        <v>238.5</v>
      </c>
      <c r="V753" s="8">
        <f t="shared" si="103"/>
        <v>436.5</v>
      </c>
      <c r="W753" t="str">
        <f t="shared" si="104"/>
        <v>Reorder Required</v>
      </c>
      <c r="X753" s="9">
        <f t="shared" si="105"/>
        <v>45627</v>
      </c>
      <c r="Y753">
        <f t="shared" si="106"/>
        <v>-107</v>
      </c>
      <c r="Z753" t="str">
        <f t="shared" si="107"/>
        <v>Invalid Data</v>
      </c>
    </row>
    <row r="754" spans="1:26" x14ac:dyDescent="0.4">
      <c r="A754" t="s">
        <v>3056</v>
      </c>
      <c r="B754" t="s">
        <v>76</v>
      </c>
      <c r="C754" t="s">
        <v>77</v>
      </c>
      <c r="D754" t="s">
        <v>3057</v>
      </c>
      <c r="E754" t="s">
        <v>1347</v>
      </c>
      <c r="F754">
        <v>50</v>
      </c>
      <c r="G754">
        <v>93</v>
      </c>
      <c r="H754">
        <v>37</v>
      </c>
      <c r="I754" t="s">
        <v>1593</v>
      </c>
      <c r="J754" s="7">
        <f t="shared" si="99"/>
        <v>2.4500000000000002</v>
      </c>
      <c r="K754" s="1">
        <v>45962</v>
      </c>
      <c r="L754" s="1">
        <f t="shared" si="100"/>
        <v>45962</v>
      </c>
      <c r="M754" s="1">
        <v>45325</v>
      </c>
      <c r="N754" s="1">
        <f t="shared" si="101"/>
        <v>45325</v>
      </c>
      <c r="O754" s="1">
        <v>45631</v>
      </c>
      <c r="P754" s="1">
        <f t="shared" si="102"/>
        <v>45631</v>
      </c>
      <c r="Q754" t="s">
        <v>3058</v>
      </c>
      <c r="R754">
        <v>78</v>
      </c>
      <c r="S754">
        <v>79</v>
      </c>
      <c r="T754" t="s">
        <v>42</v>
      </c>
      <c r="U754" s="8">
        <v>191.10000000000002</v>
      </c>
      <c r="V754" s="8">
        <f t="shared" si="103"/>
        <v>122.50000000000001</v>
      </c>
      <c r="W754" t="str">
        <f t="shared" si="104"/>
        <v>Reorder Required</v>
      </c>
      <c r="X754" s="9">
        <f t="shared" si="105"/>
        <v>45962</v>
      </c>
      <c r="Y754">
        <f t="shared" si="106"/>
        <v>-331</v>
      </c>
      <c r="Z754" t="str">
        <f t="shared" si="107"/>
        <v>Invalid Data</v>
      </c>
    </row>
    <row r="755" spans="1:26" x14ac:dyDescent="0.4">
      <c r="A755" t="s">
        <v>3059</v>
      </c>
      <c r="B755" t="s">
        <v>923</v>
      </c>
      <c r="C755" t="s">
        <v>77</v>
      </c>
      <c r="D755" t="s">
        <v>3060</v>
      </c>
      <c r="E755" t="s">
        <v>2685</v>
      </c>
      <c r="F755">
        <v>70</v>
      </c>
      <c r="G755">
        <v>96</v>
      </c>
      <c r="H755">
        <v>35</v>
      </c>
      <c r="I755" t="s">
        <v>266</v>
      </c>
      <c r="J755" s="7">
        <f t="shared" si="99"/>
        <v>9</v>
      </c>
      <c r="K755" s="1">
        <v>45871</v>
      </c>
      <c r="L755" s="1">
        <f t="shared" si="100"/>
        <v>45871</v>
      </c>
      <c r="M755" t="s">
        <v>213</v>
      </c>
      <c r="N755" s="1">
        <f t="shared" si="101"/>
        <v>45467</v>
      </c>
      <c r="O755" t="s">
        <v>719</v>
      </c>
      <c r="P755" s="1">
        <f t="shared" si="102"/>
        <v>45674</v>
      </c>
      <c r="Q755" t="s">
        <v>3061</v>
      </c>
      <c r="R755">
        <v>63</v>
      </c>
      <c r="S755">
        <v>84</v>
      </c>
      <c r="T755" t="s">
        <v>42</v>
      </c>
      <c r="U755" s="8">
        <v>567</v>
      </c>
      <c r="V755" s="8">
        <f t="shared" si="103"/>
        <v>630</v>
      </c>
      <c r="W755" t="str">
        <f t="shared" si="104"/>
        <v>Reorder Required</v>
      </c>
      <c r="X755" s="9">
        <f t="shared" si="105"/>
        <v>45870</v>
      </c>
      <c r="Y755">
        <f t="shared" si="106"/>
        <v>-197</v>
      </c>
      <c r="Z755" t="str">
        <f t="shared" si="107"/>
        <v>Invalid Data</v>
      </c>
    </row>
    <row r="756" spans="1:26" x14ac:dyDescent="0.4">
      <c r="A756" t="s">
        <v>3062</v>
      </c>
      <c r="B756" t="s">
        <v>588</v>
      </c>
      <c r="C756" t="s">
        <v>54</v>
      </c>
      <c r="D756" t="s">
        <v>3063</v>
      </c>
      <c r="E756" t="s">
        <v>2522</v>
      </c>
      <c r="F756">
        <v>40</v>
      </c>
      <c r="G756">
        <v>61</v>
      </c>
      <c r="H756">
        <v>47</v>
      </c>
      <c r="I756" t="s">
        <v>591</v>
      </c>
      <c r="J756" s="7">
        <f t="shared" si="99"/>
        <v>10</v>
      </c>
      <c r="K756" t="s">
        <v>629</v>
      </c>
      <c r="L756" s="1">
        <f t="shared" si="100"/>
        <v>45532</v>
      </c>
      <c r="M756" s="1">
        <v>45602</v>
      </c>
      <c r="N756" s="1">
        <f t="shared" si="101"/>
        <v>45602</v>
      </c>
      <c r="O756" t="s">
        <v>1129</v>
      </c>
      <c r="P756" s="1">
        <f t="shared" si="102"/>
        <v>45439</v>
      </c>
      <c r="Q756" t="s">
        <v>3064</v>
      </c>
      <c r="R756">
        <v>76</v>
      </c>
      <c r="S756">
        <v>10</v>
      </c>
      <c r="T756" t="s">
        <v>26</v>
      </c>
      <c r="U756" s="8">
        <v>760</v>
      </c>
      <c r="V756" s="8">
        <f t="shared" si="103"/>
        <v>400</v>
      </c>
      <c r="W756" t="str">
        <f t="shared" si="104"/>
        <v>Reorder Required</v>
      </c>
      <c r="X756" s="9">
        <f t="shared" si="105"/>
        <v>45505</v>
      </c>
      <c r="Y756">
        <f t="shared" si="106"/>
        <v>-93</v>
      </c>
      <c r="Z756" t="str">
        <f t="shared" si="107"/>
        <v>Invalid Data</v>
      </c>
    </row>
    <row r="757" spans="1:26" x14ac:dyDescent="0.4">
      <c r="A757" t="s">
        <v>3065</v>
      </c>
      <c r="B757" t="s">
        <v>67</v>
      </c>
      <c r="C757" t="s">
        <v>68</v>
      </c>
      <c r="D757" t="s">
        <v>3066</v>
      </c>
      <c r="E757" t="s">
        <v>1947</v>
      </c>
      <c r="F757">
        <v>75</v>
      </c>
      <c r="G757">
        <v>23</v>
      </c>
      <c r="H757">
        <v>34</v>
      </c>
      <c r="I757" t="s">
        <v>71</v>
      </c>
      <c r="J757" s="7">
        <f t="shared" si="99"/>
        <v>2.5</v>
      </c>
      <c r="K757" t="s">
        <v>165</v>
      </c>
      <c r="L757" s="1">
        <f t="shared" si="100"/>
        <v>45465</v>
      </c>
      <c r="M757" s="1">
        <v>45391</v>
      </c>
      <c r="N757" s="1">
        <f t="shared" si="101"/>
        <v>45391</v>
      </c>
      <c r="O757" s="1">
        <v>45389</v>
      </c>
      <c r="P757" s="1">
        <f t="shared" si="102"/>
        <v>45389</v>
      </c>
      <c r="Q757" t="s">
        <v>3067</v>
      </c>
      <c r="R757">
        <v>100</v>
      </c>
      <c r="S757">
        <v>54</v>
      </c>
      <c r="T757" t="s">
        <v>42</v>
      </c>
      <c r="U757" s="8">
        <v>250</v>
      </c>
      <c r="V757" s="8">
        <f t="shared" si="103"/>
        <v>187.5</v>
      </c>
      <c r="W757" t="str">
        <f t="shared" si="104"/>
        <v>Sufficient Stock</v>
      </c>
      <c r="X757" s="9">
        <f t="shared" si="105"/>
        <v>45444</v>
      </c>
      <c r="Y757">
        <f t="shared" si="106"/>
        <v>-76</v>
      </c>
      <c r="Z757" t="str">
        <f t="shared" si="107"/>
        <v>Invalid Data</v>
      </c>
    </row>
    <row r="758" spans="1:26" x14ac:dyDescent="0.4">
      <c r="A758" t="s">
        <v>3068</v>
      </c>
      <c r="B758" t="s">
        <v>124</v>
      </c>
      <c r="C758" t="s">
        <v>54</v>
      </c>
      <c r="D758" t="s">
        <v>3069</v>
      </c>
      <c r="E758" t="s">
        <v>858</v>
      </c>
      <c r="F758">
        <v>26</v>
      </c>
      <c r="G758">
        <v>97</v>
      </c>
      <c r="H758">
        <v>12</v>
      </c>
      <c r="I758" t="s">
        <v>39</v>
      </c>
      <c r="J758" s="7">
        <f t="shared" si="99"/>
        <v>6</v>
      </c>
      <c r="K758" t="s">
        <v>935</v>
      </c>
      <c r="L758" s="1">
        <f t="shared" si="100"/>
        <v>45560</v>
      </c>
      <c r="M758" t="s">
        <v>367</v>
      </c>
      <c r="N758" s="1">
        <f t="shared" si="101"/>
        <v>45624</v>
      </c>
      <c r="O758" s="1">
        <v>45632</v>
      </c>
      <c r="P758" s="1">
        <f t="shared" si="102"/>
        <v>45632</v>
      </c>
      <c r="Q758" t="s">
        <v>3070</v>
      </c>
      <c r="R758">
        <v>94</v>
      </c>
      <c r="S758">
        <v>58</v>
      </c>
      <c r="T758" t="s">
        <v>26</v>
      </c>
      <c r="U758" s="8">
        <v>564</v>
      </c>
      <c r="V758" s="8">
        <f t="shared" si="103"/>
        <v>156</v>
      </c>
      <c r="W758" t="str">
        <f t="shared" si="104"/>
        <v>Reorder Required</v>
      </c>
      <c r="X758" s="9">
        <f t="shared" si="105"/>
        <v>45536</v>
      </c>
      <c r="Y758">
        <f t="shared" si="106"/>
        <v>72</v>
      </c>
      <c r="Z758" t="str">
        <f t="shared" si="107"/>
        <v>High Risk</v>
      </c>
    </row>
    <row r="759" spans="1:26" x14ac:dyDescent="0.4">
      <c r="A759" t="s">
        <v>3071</v>
      </c>
      <c r="B759" t="s">
        <v>28</v>
      </c>
      <c r="C759" t="s">
        <v>29</v>
      </c>
      <c r="D759" t="s">
        <v>3072</v>
      </c>
      <c r="E759" t="s">
        <v>1246</v>
      </c>
      <c r="F759">
        <v>13</v>
      </c>
      <c r="G759">
        <v>55</v>
      </c>
      <c r="H759">
        <v>77</v>
      </c>
      <c r="I759" t="s">
        <v>32</v>
      </c>
      <c r="J759" s="7">
        <f t="shared" si="99"/>
        <v>20</v>
      </c>
      <c r="K759" t="s">
        <v>383</v>
      </c>
      <c r="L759" s="1">
        <f t="shared" si="100"/>
        <v>45582</v>
      </c>
      <c r="M759" t="s">
        <v>1311</v>
      </c>
      <c r="N759" s="1">
        <f t="shared" si="101"/>
        <v>45642</v>
      </c>
      <c r="O759" s="1">
        <v>45362</v>
      </c>
      <c r="P759" s="1">
        <f t="shared" si="102"/>
        <v>45362</v>
      </c>
      <c r="Q759" t="s">
        <v>3073</v>
      </c>
      <c r="R759">
        <v>67</v>
      </c>
      <c r="S759">
        <v>68</v>
      </c>
      <c r="T759" t="s">
        <v>42</v>
      </c>
      <c r="U759" s="8">
        <v>1340</v>
      </c>
      <c r="V759" s="8">
        <f t="shared" si="103"/>
        <v>260</v>
      </c>
      <c r="W759" t="str">
        <f t="shared" si="104"/>
        <v>Reorder Required</v>
      </c>
      <c r="X759" s="9">
        <f t="shared" si="105"/>
        <v>45566</v>
      </c>
      <c r="Y759">
        <f t="shared" si="106"/>
        <v>-220</v>
      </c>
      <c r="Z759" t="str">
        <f t="shared" si="107"/>
        <v>Invalid Data</v>
      </c>
    </row>
    <row r="760" spans="1:26" x14ac:dyDescent="0.4">
      <c r="A760" t="s">
        <v>3074</v>
      </c>
      <c r="B760" t="s">
        <v>53</v>
      </c>
      <c r="C760" t="s">
        <v>54</v>
      </c>
      <c r="D760" t="s">
        <v>3075</v>
      </c>
      <c r="E760" t="s">
        <v>3076</v>
      </c>
      <c r="F760">
        <v>11</v>
      </c>
      <c r="G760">
        <v>58</v>
      </c>
      <c r="H760">
        <v>32</v>
      </c>
      <c r="I760" t="s">
        <v>57</v>
      </c>
      <c r="J760" s="7">
        <f t="shared" si="99"/>
        <v>4</v>
      </c>
      <c r="K760" t="s">
        <v>592</v>
      </c>
      <c r="L760" s="1">
        <f t="shared" si="100"/>
        <v>45350</v>
      </c>
      <c r="M760" s="1">
        <v>45542</v>
      </c>
      <c r="N760" s="1">
        <f t="shared" si="101"/>
        <v>45542</v>
      </c>
      <c r="O760" t="s">
        <v>485</v>
      </c>
      <c r="P760" s="1">
        <f t="shared" si="102"/>
        <v>45620</v>
      </c>
      <c r="Q760" t="s">
        <v>3077</v>
      </c>
      <c r="R760">
        <v>99</v>
      </c>
      <c r="S760">
        <v>94</v>
      </c>
      <c r="T760" t="s">
        <v>51</v>
      </c>
      <c r="U760" s="8">
        <v>396</v>
      </c>
      <c r="V760" s="8">
        <f t="shared" si="103"/>
        <v>44</v>
      </c>
      <c r="W760" t="str">
        <f t="shared" si="104"/>
        <v>Reorder Required</v>
      </c>
      <c r="X760" s="9">
        <f t="shared" si="105"/>
        <v>45323</v>
      </c>
      <c r="Y760">
        <f t="shared" si="106"/>
        <v>270</v>
      </c>
      <c r="Z760" t="str">
        <f t="shared" si="107"/>
        <v>Low Risk</v>
      </c>
    </row>
    <row r="761" spans="1:26" x14ac:dyDescent="0.4">
      <c r="A761" t="s">
        <v>3078</v>
      </c>
      <c r="B761" t="s">
        <v>1761</v>
      </c>
      <c r="C761" t="s">
        <v>169</v>
      </c>
      <c r="D761" t="s">
        <v>3079</v>
      </c>
      <c r="E761" t="s">
        <v>250</v>
      </c>
      <c r="F761">
        <v>98</v>
      </c>
      <c r="G761">
        <v>67</v>
      </c>
      <c r="H761">
        <v>49</v>
      </c>
      <c r="I761" t="s">
        <v>320</v>
      </c>
      <c r="J761" s="7">
        <f t="shared" si="99"/>
        <v>15</v>
      </c>
      <c r="K761" s="1">
        <v>45543</v>
      </c>
      <c r="L761" s="1">
        <f t="shared" si="100"/>
        <v>45543</v>
      </c>
      <c r="M761" t="s">
        <v>655</v>
      </c>
      <c r="N761" s="1">
        <f t="shared" si="101"/>
        <v>45655</v>
      </c>
      <c r="O761" s="1">
        <v>45386</v>
      </c>
      <c r="P761" s="1">
        <f t="shared" si="102"/>
        <v>45386</v>
      </c>
      <c r="Q761" t="s">
        <v>3080</v>
      </c>
      <c r="R761">
        <v>21</v>
      </c>
      <c r="S761">
        <v>61</v>
      </c>
      <c r="T761" t="s">
        <v>51</v>
      </c>
      <c r="U761" s="8">
        <v>315</v>
      </c>
      <c r="V761" s="8">
        <f t="shared" si="103"/>
        <v>1470</v>
      </c>
      <c r="W761" t="str">
        <f t="shared" si="104"/>
        <v>Sufficient Stock</v>
      </c>
      <c r="X761" s="9">
        <f t="shared" si="105"/>
        <v>45536</v>
      </c>
      <c r="Y761">
        <f t="shared" si="106"/>
        <v>-157</v>
      </c>
      <c r="Z761" t="str">
        <f t="shared" si="107"/>
        <v>Invalid Data</v>
      </c>
    </row>
    <row r="762" spans="1:26" x14ac:dyDescent="0.4">
      <c r="A762" t="s">
        <v>3081</v>
      </c>
      <c r="B762" t="s">
        <v>476</v>
      </c>
      <c r="C762" t="s">
        <v>54</v>
      </c>
      <c r="D762" t="s">
        <v>3082</v>
      </c>
      <c r="E762" t="s">
        <v>553</v>
      </c>
      <c r="F762">
        <v>35</v>
      </c>
      <c r="G762">
        <v>4</v>
      </c>
      <c r="H762">
        <v>76</v>
      </c>
      <c r="I762" t="s">
        <v>57</v>
      </c>
      <c r="J762" s="7">
        <f t="shared" si="99"/>
        <v>4</v>
      </c>
      <c r="K762" s="1">
        <v>45543</v>
      </c>
      <c r="L762" s="1">
        <f t="shared" si="100"/>
        <v>45543</v>
      </c>
      <c r="M762" t="s">
        <v>1173</v>
      </c>
      <c r="N762" s="1">
        <f t="shared" si="101"/>
        <v>45526</v>
      </c>
      <c r="O762" t="s">
        <v>22</v>
      </c>
      <c r="P762" s="1">
        <f t="shared" si="102"/>
        <v>45520</v>
      </c>
      <c r="Q762" t="s">
        <v>3083</v>
      </c>
      <c r="R762">
        <v>90</v>
      </c>
      <c r="S762">
        <v>30</v>
      </c>
      <c r="T762" t="s">
        <v>26</v>
      </c>
      <c r="U762" s="8">
        <v>360</v>
      </c>
      <c r="V762" s="8">
        <f t="shared" si="103"/>
        <v>140</v>
      </c>
      <c r="W762" t="str">
        <f t="shared" si="104"/>
        <v>Sufficient Stock</v>
      </c>
      <c r="X762" s="9">
        <f t="shared" si="105"/>
        <v>45536</v>
      </c>
      <c r="Y762">
        <f t="shared" si="106"/>
        <v>-23</v>
      </c>
      <c r="Z762" t="str">
        <f t="shared" si="107"/>
        <v>Invalid Data</v>
      </c>
    </row>
    <row r="763" spans="1:26" x14ac:dyDescent="0.4">
      <c r="A763" t="s">
        <v>3084</v>
      </c>
      <c r="B763" t="s">
        <v>1290</v>
      </c>
      <c r="C763" t="s">
        <v>169</v>
      </c>
      <c r="D763" t="s">
        <v>3085</v>
      </c>
      <c r="E763" t="s">
        <v>2650</v>
      </c>
      <c r="F763">
        <v>45</v>
      </c>
      <c r="G763">
        <v>56</v>
      </c>
      <c r="H763">
        <v>64</v>
      </c>
      <c r="I763" t="s">
        <v>1293</v>
      </c>
      <c r="J763" s="7">
        <f t="shared" si="99"/>
        <v>7.5</v>
      </c>
      <c r="K763" t="s">
        <v>730</v>
      </c>
      <c r="L763" s="1">
        <f t="shared" si="100"/>
        <v>45487</v>
      </c>
      <c r="M763" t="s">
        <v>893</v>
      </c>
      <c r="N763" s="1">
        <f t="shared" si="101"/>
        <v>45530</v>
      </c>
      <c r="O763" s="1">
        <v>45419</v>
      </c>
      <c r="P763" s="1">
        <f t="shared" si="102"/>
        <v>45419</v>
      </c>
      <c r="Q763" t="s">
        <v>3086</v>
      </c>
      <c r="R763">
        <v>35</v>
      </c>
      <c r="S763">
        <v>82</v>
      </c>
      <c r="T763" t="s">
        <v>26</v>
      </c>
      <c r="U763" s="8">
        <v>262.5</v>
      </c>
      <c r="V763" s="8">
        <f t="shared" si="103"/>
        <v>337.5</v>
      </c>
      <c r="W763" t="str">
        <f t="shared" si="104"/>
        <v>Reorder Required</v>
      </c>
      <c r="X763" s="9">
        <f t="shared" si="105"/>
        <v>45474</v>
      </c>
      <c r="Y763">
        <f t="shared" si="106"/>
        <v>-68</v>
      </c>
      <c r="Z763" t="str">
        <f t="shared" si="107"/>
        <v>Invalid Data</v>
      </c>
    </row>
    <row r="764" spans="1:26" x14ac:dyDescent="0.4">
      <c r="A764" t="s">
        <v>3087</v>
      </c>
      <c r="B764" t="s">
        <v>1249</v>
      </c>
      <c r="C764" t="s">
        <v>54</v>
      </c>
      <c r="D764" t="s">
        <v>3088</v>
      </c>
      <c r="E764" t="s">
        <v>2438</v>
      </c>
      <c r="F764">
        <v>47</v>
      </c>
      <c r="G764">
        <v>22</v>
      </c>
      <c r="H764">
        <v>69</v>
      </c>
      <c r="I764" t="s">
        <v>57</v>
      </c>
      <c r="J764" s="7">
        <f t="shared" si="99"/>
        <v>4</v>
      </c>
      <c r="K764" s="1">
        <v>45325</v>
      </c>
      <c r="L764" s="1">
        <f t="shared" si="100"/>
        <v>45325</v>
      </c>
      <c r="M764" t="s">
        <v>730</v>
      </c>
      <c r="N764" s="1">
        <f t="shared" si="101"/>
        <v>45487</v>
      </c>
      <c r="O764" s="1">
        <v>45357</v>
      </c>
      <c r="P764" s="1">
        <f t="shared" si="102"/>
        <v>45357</v>
      </c>
      <c r="Q764" t="s">
        <v>3089</v>
      </c>
      <c r="R764">
        <v>26</v>
      </c>
      <c r="S764">
        <v>59</v>
      </c>
      <c r="T764" t="s">
        <v>42</v>
      </c>
      <c r="U764" s="8">
        <v>104</v>
      </c>
      <c r="V764" s="8">
        <f t="shared" si="103"/>
        <v>188</v>
      </c>
      <c r="W764" t="str">
        <f t="shared" si="104"/>
        <v>Sufficient Stock</v>
      </c>
      <c r="X764" s="9">
        <f t="shared" si="105"/>
        <v>45323</v>
      </c>
      <c r="Y764">
        <f t="shared" si="106"/>
        <v>32</v>
      </c>
      <c r="Z764" t="str">
        <f t="shared" si="107"/>
        <v>High Risk</v>
      </c>
    </row>
    <row r="765" spans="1:26" x14ac:dyDescent="0.4">
      <c r="A765" t="s">
        <v>3090</v>
      </c>
      <c r="B765" t="s">
        <v>943</v>
      </c>
      <c r="C765" t="s">
        <v>68</v>
      </c>
      <c r="D765" t="s">
        <v>3091</v>
      </c>
      <c r="E765" t="s">
        <v>1187</v>
      </c>
      <c r="F765">
        <v>89</v>
      </c>
      <c r="G765">
        <v>66</v>
      </c>
      <c r="H765">
        <v>28</v>
      </c>
      <c r="I765" t="s">
        <v>945</v>
      </c>
      <c r="J765" s="7">
        <f t="shared" si="99"/>
        <v>6.5</v>
      </c>
      <c r="K765" t="s">
        <v>193</v>
      </c>
      <c r="L765" s="1">
        <f t="shared" si="100"/>
        <v>45670</v>
      </c>
      <c r="M765" t="s">
        <v>229</v>
      </c>
      <c r="N765" s="1">
        <f t="shared" si="101"/>
        <v>45615</v>
      </c>
      <c r="O765" t="s">
        <v>308</v>
      </c>
      <c r="P765" s="1">
        <f t="shared" si="102"/>
        <v>45621</v>
      </c>
      <c r="Q765" t="s">
        <v>3092</v>
      </c>
      <c r="R765">
        <v>39</v>
      </c>
      <c r="S765">
        <v>25</v>
      </c>
      <c r="T765" t="s">
        <v>51</v>
      </c>
      <c r="U765" s="8">
        <v>253.5</v>
      </c>
      <c r="V765" s="8">
        <f t="shared" si="103"/>
        <v>578.5</v>
      </c>
      <c r="W765" t="str">
        <f t="shared" si="104"/>
        <v>Sufficient Stock</v>
      </c>
      <c r="X765" s="9">
        <f t="shared" si="105"/>
        <v>45658</v>
      </c>
      <c r="Y765">
        <f t="shared" si="106"/>
        <v>-49</v>
      </c>
      <c r="Z765" t="str">
        <f t="shared" si="107"/>
        <v>Invalid Data</v>
      </c>
    </row>
    <row r="766" spans="1:26" x14ac:dyDescent="0.4">
      <c r="A766" t="s">
        <v>3093</v>
      </c>
      <c r="B766" t="s">
        <v>318</v>
      </c>
      <c r="C766" t="s">
        <v>29</v>
      </c>
      <c r="D766" t="s">
        <v>3094</v>
      </c>
      <c r="E766" t="s">
        <v>235</v>
      </c>
      <c r="F766">
        <v>33</v>
      </c>
      <c r="G766">
        <v>22</v>
      </c>
      <c r="H766">
        <v>94</v>
      </c>
      <c r="I766" t="s">
        <v>320</v>
      </c>
      <c r="J766" s="7">
        <f t="shared" si="99"/>
        <v>15</v>
      </c>
      <c r="K766" t="s">
        <v>367</v>
      </c>
      <c r="L766" s="1">
        <f t="shared" si="100"/>
        <v>45624</v>
      </c>
      <c r="M766" t="s">
        <v>451</v>
      </c>
      <c r="N766" s="1">
        <f t="shared" si="101"/>
        <v>45559</v>
      </c>
      <c r="O766" t="s">
        <v>382</v>
      </c>
      <c r="P766" s="1">
        <f t="shared" si="102"/>
        <v>45534</v>
      </c>
      <c r="Q766" t="s">
        <v>3095</v>
      </c>
      <c r="R766">
        <v>96</v>
      </c>
      <c r="S766">
        <v>56</v>
      </c>
      <c r="T766" t="s">
        <v>26</v>
      </c>
      <c r="U766" s="8">
        <v>1440</v>
      </c>
      <c r="V766" s="8">
        <f t="shared" si="103"/>
        <v>495</v>
      </c>
      <c r="W766" t="str">
        <f t="shared" si="104"/>
        <v>Sufficient Stock</v>
      </c>
      <c r="X766" s="9">
        <f t="shared" si="105"/>
        <v>45597</v>
      </c>
      <c r="Y766">
        <f t="shared" si="106"/>
        <v>-90</v>
      </c>
      <c r="Z766" t="str">
        <f t="shared" si="107"/>
        <v>Invalid Data</v>
      </c>
    </row>
    <row r="767" spans="1:26" x14ac:dyDescent="0.4">
      <c r="A767" t="s">
        <v>3096</v>
      </c>
      <c r="B767" t="s">
        <v>1447</v>
      </c>
      <c r="C767" t="s">
        <v>54</v>
      </c>
      <c r="D767" t="s">
        <v>3097</v>
      </c>
      <c r="E767" t="s">
        <v>1457</v>
      </c>
      <c r="F767">
        <v>90</v>
      </c>
      <c r="G767">
        <v>30</v>
      </c>
      <c r="H767">
        <v>42</v>
      </c>
      <c r="I767" t="s">
        <v>220</v>
      </c>
      <c r="J767" s="7">
        <f t="shared" si="99"/>
        <v>5</v>
      </c>
      <c r="K767" t="s">
        <v>259</v>
      </c>
      <c r="L767" s="1">
        <f t="shared" si="100"/>
        <v>45523</v>
      </c>
      <c r="M767" t="s">
        <v>525</v>
      </c>
      <c r="N767" s="1">
        <f t="shared" si="101"/>
        <v>45502</v>
      </c>
      <c r="O767" s="1">
        <v>45325</v>
      </c>
      <c r="P767" s="1">
        <f t="shared" si="102"/>
        <v>45325</v>
      </c>
      <c r="Q767" t="s">
        <v>3098</v>
      </c>
      <c r="R767">
        <v>76</v>
      </c>
      <c r="S767">
        <v>69</v>
      </c>
      <c r="T767" t="s">
        <v>42</v>
      </c>
      <c r="U767" s="8">
        <v>380</v>
      </c>
      <c r="V767" s="8">
        <f t="shared" si="103"/>
        <v>450</v>
      </c>
      <c r="W767" t="str">
        <f t="shared" si="104"/>
        <v>Sufficient Stock</v>
      </c>
      <c r="X767" s="9">
        <f t="shared" si="105"/>
        <v>45505</v>
      </c>
      <c r="Y767">
        <f t="shared" si="106"/>
        <v>-198</v>
      </c>
      <c r="Z767" t="str">
        <f t="shared" si="107"/>
        <v>Invalid Data</v>
      </c>
    </row>
    <row r="768" spans="1:26" x14ac:dyDescent="0.4">
      <c r="A768" t="s">
        <v>3099</v>
      </c>
      <c r="B768" t="s">
        <v>621</v>
      </c>
      <c r="C768" t="s">
        <v>18</v>
      </c>
      <c r="D768" t="s">
        <v>3100</v>
      </c>
      <c r="E768" t="s">
        <v>1672</v>
      </c>
      <c r="F768">
        <v>44</v>
      </c>
      <c r="G768">
        <v>26</v>
      </c>
      <c r="H768">
        <v>60</v>
      </c>
      <c r="I768" t="s">
        <v>624</v>
      </c>
      <c r="J768" s="7">
        <f t="shared" si="99"/>
        <v>4.75</v>
      </c>
      <c r="K768" t="s">
        <v>1014</v>
      </c>
      <c r="L768" s="1">
        <f t="shared" si="100"/>
        <v>45366</v>
      </c>
      <c r="M768" t="s">
        <v>243</v>
      </c>
      <c r="N768" s="1">
        <f t="shared" si="101"/>
        <v>45527</v>
      </c>
      <c r="O768" s="1">
        <v>45420</v>
      </c>
      <c r="P768" s="1">
        <f t="shared" si="102"/>
        <v>45420</v>
      </c>
      <c r="Q768" t="s">
        <v>3101</v>
      </c>
      <c r="R768">
        <v>63</v>
      </c>
      <c r="S768">
        <v>59</v>
      </c>
      <c r="T768" t="s">
        <v>26</v>
      </c>
      <c r="U768" s="8">
        <v>299.25</v>
      </c>
      <c r="V768" s="8">
        <f t="shared" si="103"/>
        <v>209</v>
      </c>
      <c r="W768" t="str">
        <f t="shared" si="104"/>
        <v>Sufficient Stock</v>
      </c>
      <c r="X768" s="9">
        <f t="shared" si="105"/>
        <v>45352</v>
      </c>
      <c r="Y768">
        <f t="shared" si="106"/>
        <v>54</v>
      </c>
      <c r="Z768" t="str">
        <f t="shared" si="107"/>
        <v>High Risk</v>
      </c>
    </row>
    <row r="769" spans="1:26" x14ac:dyDescent="0.4">
      <c r="A769" t="s">
        <v>3102</v>
      </c>
      <c r="B769" t="s">
        <v>1750</v>
      </c>
      <c r="C769" t="s">
        <v>18</v>
      </c>
      <c r="D769" t="s">
        <v>3103</v>
      </c>
      <c r="E769" t="s">
        <v>3104</v>
      </c>
      <c r="F769">
        <v>41</v>
      </c>
      <c r="G769">
        <v>56</v>
      </c>
      <c r="H769">
        <v>12</v>
      </c>
      <c r="I769" t="s">
        <v>3105</v>
      </c>
      <c r="J769" s="7">
        <f t="shared" si="99"/>
        <v>9.75</v>
      </c>
      <c r="K769" s="1">
        <v>45448</v>
      </c>
      <c r="L769" s="1">
        <f t="shared" si="100"/>
        <v>45448</v>
      </c>
      <c r="M769" t="s">
        <v>308</v>
      </c>
      <c r="N769" s="1">
        <f t="shared" si="101"/>
        <v>45621</v>
      </c>
      <c r="O769" t="s">
        <v>462</v>
      </c>
      <c r="P769" s="1">
        <f t="shared" si="102"/>
        <v>45351</v>
      </c>
      <c r="Q769" t="s">
        <v>3106</v>
      </c>
      <c r="R769">
        <v>93</v>
      </c>
      <c r="S769">
        <v>88</v>
      </c>
      <c r="T769" t="s">
        <v>51</v>
      </c>
      <c r="U769" s="8">
        <v>906.75</v>
      </c>
      <c r="V769" s="8">
        <f t="shared" si="103"/>
        <v>399.75</v>
      </c>
      <c r="W769" t="str">
        <f t="shared" si="104"/>
        <v>Reorder Required</v>
      </c>
      <c r="X769" s="9">
        <f t="shared" si="105"/>
        <v>45444</v>
      </c>
      <c r="Y769">
        <f t="shared" si="106"/>
        <v>-97</v>
      </c>
      <c r="Z769" t="str">
        <f t="shared" si="107"/>
        <v>Invalid Data</v>
      </c>
    </row>
    <row r="770" spans="1:26" x14ac:dyDescent="0.4">
      <c r="A770" t="s">
        <v>3107</v>
      </c>
      <c r="B770" t="s">
        <v>521</v>
      </c>
      <c r="C770" t="s">
        <v>54</v>
      </c>
      <c r="D770" t="s">
        <v>3108</v>
      </c>
      <c r="E770" t="s">
        <v>2280</v>
      </c>
      <c r="F770">
        <v>72</v>
      </c>
      <c r="G770">
        <v>58</v>
      </c>
      <c r="H770">
        <v>69</v>
      </c>
      <c r="I770" t="s">
        <v>523</v>
      </c>
      <c r="J770" s="7">
        <f t="shared" si="99"/>
        <v>1.2</v>
      </c>
      <c r="K770" t="s">
        <v>2918</v>
      </c>
      <c r="L770" s="1">
        <f t="shared" si="100"/>
        <v>45581</v>
      </c>
      <c r="M770" s="1">
        <v>45718</v>
      </c>
      <c r="N770" s="1">
        <f t="shared" si="101"/>
        <v>45718</v>
      </c>
      <c r="O770" t="s">
        <v>1500</v>
      </c>
      <c r="P770" s="1">
        <f t="shared" si="102"/>
        <v>45711</v>
      </c>
      <c r="Q770" t="s">
        <v>3109</v>
      </c>
      <c r="R770">
        <v>96</v>
      </c>
      <c r="S770">
        <v>23</v>
      </c>
      <c r="T770" t="s">
        <v>42</v>
      </c>
      <c r="U770" s="8">
        <v>115.19999999999999</v>
      </c>
      <c r="V770" s="8">
        <f t="shared" si="103"/>
        <v>86.399999999999991</v>
      </c>
      <c r="W770" t="str">
        <f t="shared" si="104"/>
        <v>Sufficient Stock</v>
      </c>
      <c r="X770" s="9">
        <f t="shared" si="105"/>
        <v>45566</v>
      </c>
      <c r="Y770">
        <f t="shared" si="106"/>
        <v>130</v>
      </c>
      <c r="Z770" t="str">
        <f t="shared" si="107"/>
        <v>Medium Risk</v>
      </c>
    </row>
    <row r="771" spans="1:26" x14ac:dyDescent="0.4">
      <c r="A771" t="s">
        <v>3110</v>
      </c>
      <c r="B771" t="s">
        <v>76</v>
      </c>
      <c r="C771" t="s">
        <v>77</v>
      </c>
      <c r="D771" t="s">
        <v>3111</v>
      </c>
      <c r="E771" t="s">
        <v>273</v>
      </c>
      <c r="F771">
        <v>72</v>
      </c>
      <c r="G771">
        <v>58</v>
      </c>
      <c r="H771">
        <v>52</v>
      </c>
      <c r="I771" t="s">
        <v>554</v>
      </c>
      <c r="J771" s="7">
        <f t="shared" ref="J771:J834" si="108">VALUE(SUBSTITUTE(I771,"$",""))</f>
        <v>2.4</v>
      </c>
      <c r="K771" t="s">
        <v>353</v>
      </c>
      <c r="L771" s="1">
        <f t="shared" ref="L771:L834" si="109">IF(
ISNUMBER(K771),
K771,
DATE(
RIGHT(K771,4),
LEFT(K771,FIND("/",K771)-1),
MID(K771,FIND("/",K771)+1,FIND("/",K771,FIND("/",K771)+1)-FIND("/",K771)-1)
)
)</f>
        <v>45703</v>
      </c>
      <c r="M771" t="s">
        <v>347</v>
      </c>
      <c r="N771" s="1">
        <f t="shared" ref="N771:N834" si="110">IF(
ISNUMBER(M771),
M771,
DATE(
RIGHT(M771,4),
LEFT(M771,FIND("/",M771)-1),
MID(M771,FIND("/",M771)+1,FIND("/",M771,FIND("/",M771)+1)-FIND("/",M771)-1)
)
)</f>
        <v>45428</v>
      </c>
      <c r="O771" t="s">
        <v>415</v>
      </c>
      <c r="P771" s="1">
        <f t="shared" ref="P771:P834" si="111">IF(
ISNUMBER(O771),
O771,
DATE(
RIGHT(O771,4),
LEFT(O771,FIND("/",O771)-1),
MID(O771,FIND("/",O771)+1,FIND("/",O771,FIND("/",O771)+1)-FIND("/",O771)-1)
)
)</f>
        <v>45588</v>
      </c>
      <c r="Q771" t="s">
        <v>3112</v>
      </c>
      <c r="R771">
        <v>36</v>
      </c>
      <c r="S771">
        <v>14</v>
      </c>
      <c r="T771" t="s">
        <v>51</v>
      </c>
      <c r="U771" s="8">
        <v>86.399999999999991</v>
      </c>
      <c r="V771" s="8">
        <f t="shared" ref="V771:V834" si="112">F771*J771</f>
        <v>172.79999999999998</v>
      </c>
      <c r="W771" t="str">
        <f t="shared" ref="W771:W834" si="113">IF(F771&lt;=G771,"Reorder Required","Sufficient Stock")</f>
        <v>Sufficient Stock</v>
      </c>
      <c r="X771" s="9">
        <f t="shared" ref="X771:X834" si="114">DATE(YEAR(L771),MONTH(L771),1)</f>
        <v>45689</v>
      </c>
      <c r="Y771">
        <f t="shared" ref="Y771:Y834" si="115">P771-L771</f>
        <v>-115</v>
      </c>
      <c r="Z771" t="str">
        <f t="shared" ref="Z771:Z834" si="116">IF(Y771&lt;0,"Invalid Data",
IF(Y771&lt;=30,"Critical",
IF(Y771&lt;=90,"High Risk",
IF(Y771&lt;=180,"Medium Risk",
IF(Y771&lt;=365,"Low Risk",
"Safe")))))</f>
        <v>Invalid Data</v>
      </c>
    </row>
    <row r="772" spans="1:26" x14ac:dyDescent="0.4">
      <c r="A772" t="s">
        <v>3113</v>
      </c>
      <c r="B772" t="s">
        <v>318</v>
      </c>
      <c r="C772" t="s">
        <v>29</v>
      </c>
      <c r="D772" t="s">
        <v>3114</v>
      </c>
      <c r="E772" t="s">
        <v>1178</v>
      </c>
      <c r="F772">
        <v>40</v>
      </c>
      <c r="G772">
        <v>30</v>
      </c>
      <c r="H772">
        <v>60</v>
      </c>
      <c r="I772" t="s">
        <v>320</v>
      </c>
      <c r="J772" s="7">
        <f t="shared" si="108"/>
        <v>15</v>
      </c>
      <c r="K772" s="1">
        <v>45421</v>
      </c>
      <c r="L772" s="1">
        <f t="shared" si="109"/>
        <v>45421</v>
      </c>
      <c r="M772" t="s">
        <v>415</v>
      </c>
      <c r="N772" s="1">
        <f t="shared" si="110"/>
        <v>45588</v>
      </c>
      <c r="O772" s="1">
        <v>45356</v>
      </c>
      <c r="P772" s="1">
        <f t="shared" si="111"/>
        <v>45356</v>
      </c>
      <c r="Q772" t="s">
        <v>3115</v>
      </c>
      <c r="R772">
        <v>33</v>
      </c>
      <c r="S772">
        <v>84</v>
      </c>
      <c r="T772" t="s">
        <v>51</v>
      </c>
      <c r="U772" s="8">
        <v>495</v>
      </c>
      <c r="V772" s="8">
        <f t="shared" si="112"/>
        <v>600</v>
      </c>
      <c r="W772" t="str">
        <f t="shared" si="113"/>
        <v>Sufficient Stock</v>
      </c>
      <c r="X772" s="9">
        <f t="shared" si="114"/>
        <v>45413</v>
      </c>
      <c r="Y772">
        <f t="shared" si="115"/>
        <v>-65</v>
      </c>
      <c r="Z772" t="str">
        <f t="shared" si="116"/>
        <v>Invalid Data</v>
      </c>
    </row>
    <row r="773" spans="1:26" x14ac:dyDescent="0.4">
      <c r="A773" t="s">
        <v>3116</v>
      </c>
      <c r="B773" t="s">
        <v>1835</v>
      </c>
      <c r="C773" t="s">
        <v>112</v>
      </c>
      <c r="D773" t="s">
        <v>3117</v>
      </c>
      <c r="E773" t="s">
        <v>648</v>
      </c>
      <c r="F773">
        <v>36</v>
      </c>
      <c r="G773">
        <v>53</v>
      </c>
      <c r="H773">
        <v>92</v>
      </c>
      <c r="I773" t="s">
        <v>242</v>
      </c>
      <c r="J773" s="7">
        <f t="shared" si="108"/>
        <v>3.5</v>
      </c>
      <c r="K773" s="1">
        <v>45480</v>
      </c>
      <c r="L773" s="1">
        <f t="shared" si="109"/>
        <v>45480</v>
      </c>
      <c r="M773" s="1">
        <v>45297</v>
      </c>
      <c r="N773" s="1">
        <f t="shared" si="110"/>
        <v>45297</v>
      </c>
      <c r="O773" t="s">
        <v>1683</v>
      </c>
      <c r="P773" s="1">
        <f t="shared" si="111"/>
        <v>45373</v>
      </c>
      <c r="Q773" t="s">
        <v>3118</v>
      </c>
      <c r="R773">
        <v>67</v>
      </c>
      <c r="S773">
        <v>43</v>
      </c>
      <c r="T773" t="s">
        <v>42</v>
      </c>
      <c r="U773" s="8">
        <v>234.5</v>
      </c>
      <c r="V773" s="8">
        <f t="shared" si="112"/>
        <v>126</v>
      </c>
      <c r="W773" t="str">
        <f t="shared" si="113"/>
        <v>Reorder Required</v>
      </c>
      <c r="X773" s="9">
        <f t="shared" si="114"/>
        <v>45474</v>
      </c>
      <c r="Y773">
        <f t="shared" si="115"/>
        <v>-107</v>
      </c>
      <c r="Z773" t="str">
        <f t="shared" si="116"/>
        <v>Invalid Data</v>
      </c>
    </row>
    <row r="774" spans="1:26" x14ac:dyDescent="0.4">
      <c r="A774" t="s">
        <v>3119</v>
      </c>
      <c r="B774" t="s">
        <v>912</v>
      </c>
      <c r="C774" t="s">
        <v>68</v>
      </c>
      <c r="D774" t="s">
        <v>3120</v>
      </c>
      <c r="E774" t="s">
        <v>1926</v>
      </c>
      <c r="F774">
        <v>51</v>
      </c>
      <c r="G774">
        <v>87</v>
      </c>
      <c r="H774">
        <v>86</v>
      </c>
      <c r="I774" t="s">
        <v>106</v>
      </c>
      <c r="J774" s="7">
        <f t="shared" si="108"/>
        <v>2</v>
      </c>
      <c r="K774" s="1">
        <v>45295</v>
      </c>
      <c r="L774" s="1">
        <f t="shared" si="109"/>
        <v>45295</v>
      </c>
      <c r="M774" t="s">
        <v>148</v>
      </c>
      <c r="N774" s="1">
        <f t="shared" si="110"/>
        <v>45431</v>
      </c>
      <c r="O774" s="1">
        <v>45602</v>
      </c>
      <c r="P774" s="1">
        <f t="shared" si="111"/>
        <v>45602</v>
      </c>
      <c r="Q774" t="s">
        <v>3121</v>
      </c>
      <c r="R774">
        <v>24</v>
      </c>
      <c r="S774">
        <v>83</v>
      </c>
      <c r="T774" t="s">
        <v>42</v>
      </c>
      <c r="U774" s="8">
        <v>48</v>
      </c>
      <c r="V774" s="8">
        <f t="shared" si="112"/>
        <v>102</v>
      </c>
      <c r="W774" t="str">
        <f t="shared" si="113"/>
        <v>Reorder Required</v>
      </c>
      <c r="X774" s="9">
        <f t="shared" si="114"/>
        <v>45292</v>
      </c>
      <c r="Y774">
        <f t="shared" si="115"/>
        <v>307</v>
      </c>
      <c r="Z774" t="str">
        <f t="shared" si="116"/>
        <v>Low Risk</v>
      </c>
    </row>
    <row r="775" spans="1:26" x14ac:dyDescent="0.4">
      <c r="A775" t="s">
        <v>3122</v>
      </c>
      <c r="B775" t="s">
        <v>318</v>
      </c>
      <c r="C775" t="s">
        <v>29</v>
      </c>
      <c r="D775" t="s">
        <v>3123</v>
      </c>
      <c r="E775" t="s">
        <v>2159</v>
      </c>
      <c r="F775">
        <v>87</v>
      </c>
      <c r="G775">
        <v>91</v>
      </c>
      <c r="H775">
        <v>23</v>
      </c>
      <c r="I775" t="s">
        <v>3124</v>
      </c>
      <c r="J775" s="7">
        <f t="shared" si="108"/>
        <v>14.9</v>
      </c>
      <c r="K775" t="s">
        <v>655</v>
      </c>
      <c r="L775" s="1">
        <f t="shared" si="109"/>
        <v>45655</v>
      </c>
      <c r="M775" t="s">
        <v>811</v>
      </c>
      <c r="N775" s="1">
        <f t="shared" si="110"/>
        <v>45435</v>
      </c>
      <c r="O775" t="s">
        <v>173</v>
      </c>
      <c r="P775" s="1">
        <f t="shared" si="111"/>
        <v>45521</v>
      </c>
      <c r="Q775" t="s">
        <v>3125</v>
      </c>
      <c r="R775">
        <v>90</v>
      </c>
      <c r="S775">
        <v>75</v>
      </c>
      <c r="T775" t="s">
        <v>42</v>
      </c>
      <c r="U775" s="8">
        <v>1341</v>
      </c>
      <c r="V775" s="8">
        <f t="shared" si="112"/>
        <v>1296.3</v>
      </c>
      <c r="W775" t="str">
        <f t="shared" si="113"/>
        <v>Reorder Required</v>
      </c>
      <c r="X775" s="9">
        <f t="shared" si="114"/>
        <v>45627</v>
      </c>
      <c r="Y775">
        <f t="shared" si="115"/>
        <v>-134</v>
      </c>
      <c r="Z775" t="str">
        <f t="shared" si="116"/>
        <v>Invalid Data</v>
      </c>
    </row>
    <row r="776" spans="1:26" x14ac:dyDescent="0.4">
      <c r="A776" t="s">
        <v>3126</v>
      </c>
      <c r="B776" t="s">
        <v>225</v>
      </c>
      <c r="C776" t="s">
        <v>54</v>
      </c>
      <c r="D776" t="s">
        <v>3127</v>
      </c>
      <c r="E776" t="s">
        <v>2905</v>
      </c>
      <c r="F776">
        <v>79</v>
      </c>
      <c r="G776">
        <v>37</v>
      </c>
      <c r="H776">
        <v>98</v>
      </c>
      <c r="I776" t="s">
        <v>21</v>
      </c>
      <c r="J776" s="7">
        <f t="shared" si="108"/>
        <v>4.5</v>
      </c>
      <c r="K776" s="1">
        <v>45300</v>
      </c>
      <c r="L776" s="1">
        <f t="shared" si="109"/>
        <v>45300</v>
      </c>
      <c r="M776" s="1">
        <v>45325</v>
      </c>
      <c r="N776" s="1">
        <f t="shared" si="110"/>
        <v>45325</v>
      </c>
      <c r="O776" t="s">
        <v>666</v>
      </c>
      <c r="P776" s="1">
        <f t="shared" si="111"/>
        <v>45381</v>
      </c>
      <c r="Q776" t="s">
        <v>3128</v>
      </c>
      <c r="R776">
        <v>33</v>
      </c>
      <c r="S776">
        <v>20</v>
      </c>
      <c r="T776" t="s">
        <v>26</v>
      </c>
      <c r="U776" s="8">
        <v>148.5</v>
      </c>
      <c r="V776" s="8">
        <f t="shared" si="112"/>
        <v>355.5</v>
      </c>
      <c r="W776" t="str">
        <f t="shared" si="113"/>
        <v>Sufficient Stock</v>
      </c>
      <c r="X776" s="9">
        <f t="shared" si="114"/>
        <v>45292</v>
      </c>
      <c r="Y776">
        <f t="shared" si="115"/>
        <v>81</v>
      </c>
      <c r="Z776" t="str">
        <f t="shared" si="116"/>
        <v>High Risk</v>
      </c>
    </row>
    <row r="777" spans="1:26" x14ac:dyDescent="0.4">
      <c r="A777" t="s">
        <v>3129</v>
      </c>
      <c r="B777" t="s">
        <v>677</v>
      </c>
      <c r="C777" t="s">
        <v>169</v>
      </c>
      <c r="D777" t="s">
        <v>3130</v>
      </c>
      <c r="E777" t="s">
        <v>2184</v>
      </c>
      <c r="F777">
        <v>14</v>
      </c>
      <c r="G777">
        <v>52</v>
      </c>
      <c r="H777">
        <v>80</v>
      </c>
      <c r="I777" t="s">
        <v>3131</v>
      </c>
      <c r="J777" s="7">
        <f t="shared" si="108"/>
        <v>6.8</v>
      </c>
      <c r="K777" t="s">
        <v>955</v>
      </c>
      <c r="L777" s="1">
        <f t="shared" si="109"/>
        <v>45499</v>
      </c>
      <c r="M777" t="s">
        <v>866</v>
      </c>
      <c r="N777" s="1">
        <f t="shared" si="110"/>
        <v>45486</v>
      </c>
      <c r="O777" t="s">
        <v>274</v>
      </c>
      <c r="P777" s="1">
        <f t="shared" si="111"/>
        <v>45496</v>
      </c>
      <c r="Q777" t="s">
        <v>3132</v>
      </c>
      <c r="R777">
        <v>64</v>
      </c>
      <c r="S777">
        <v>17</v>
      </c>
      <c r="T777" t="s">
        <v>26</v>
      </c>
      <c r="U777" s="8">
        <v>435.2</v>
      </c>
      <c r="V777" s="8">
        <f t="shared" si="112"/>
        <v>95.2</v>
      </c>
      <c r="W777" t="str">
        <f t="shared" si="113"/>
        <v>Reorder Required</v>
      </c>
      <c r="X777" s="9">
        <f t="shared" si="114"/>
        <v>45474</v>
      </c>
      <c r="Y777">
        <f t="shared" si="115"/>
        <v>-3</v>
      </c>
      <c r="Z777" t="str">
        <f t="shared" si="116"/>
        <v>Invalid Data</v>
      </c>
    </row>
    <row r="778" spans="1:26" x14ac:dyDescent="0.4">
      <c r="A778" t="s">
        <v>3133</v>
      </c>
      <c r="B778" t="s">
        <v>375</v>
      </c>
      <c r="C778" t="s">
        <v>54</v>
      </c>
      <c r="D778" t="s">
        <v>3134</v>
      </c>
      <c r="E778" t="s">
        <v>1315</v>
      </c>
      <c r="F778">
        <v>81</v>
      </c>
      <c r="G778">
        <v>35</v>
      </c>
      <c r="H778">
        <v>82</v>
      </c>
      <c r="I778" t="s">
        <v>85</v>
      </c>
      <c r="J778" s="7">
        <f t="shared" si="108"/>
        <v>3</v>
      </c>
      <c r="K778" t="s">
        <v>2285</v>
      </c>
      <c r="L778" s="1">
        <f t="shared" si="109"/>
        <v>45656</v>
      </c>
      <c r="M778" t="s">
        <v>718</v>
      </c>
      <c r="N778" s="1">
        <f t="shared" si="110"/>
        <v>45376</v>
      </c>
      <c r="O778" s="1">
        <v>45932</v>
      </c>
      <c r="P778" s="1">
        <f t="shared" si="111"/>
        <v>45932</v>
      </c>
      <c r="Q778" t="s">
        <v>3135</v>
      </c>
      <c r="R778">
        <v>86</v>
      </c>
      <c r="S778">
        <v>71</v>
      </c>
      <c r="T778" t="s">
        <v>42</v>
      </c>
      <c r="U778" s="8">
        <v>258</v>
      </c>
      <c r="V778" s="8">
        <f t="shared" si="112"/>
        <v>243</v>
      </c>
      <c r="W778" t="str">
        <f t="shared" si="113"/>
        <v>Sufficient Stock</v>
      </c>
      <c r="X778" s="9">
        <f t="shared" si="114"/>
        <v>45627</v>
      </c>
      <c r="Y778">
        <f t="shared" si="115"/>
        <v>276</v>
      </c>
      <c r="Z778" t="str">
        <f t="shared" si="116"/>
        <v>Low Risk</v>
      </c>
    </row>
    <row r="779" spans="1:26" x14ac:dyDescent="0.4">
      <c r="A779" t="s">
        <v>3136</v>
      </c>
      <c r="B779" t="s">
        <v>1104</v>
      </c>
      <c r="C779" t="s">
        <v>54</v>
      </c>
      <c r="D779" t="s">
        <v>3137</v>
      </c>
      <c r="E779" t="s">
        <v>449</v>
      </c>
      <c r="F779">
        <v>75</v>
      </c>
      <c r="G779">
        <v>18</v>
      </c>
      <c r="H779">
        <v>65</v>
      </c>
      <c r="I779" t="s">
        <v>106</v>
      </c>
      <c r="J779" s="7">
        <f t="shared" si="108"/>
        <v>2</v>
      </c>
      <c r="K779" t="s">
        <v>598</v>
      </c>
      <c r="L779" s="1">
        <f t="shared" si="109"/>
        <v>45705</v>
      </c>
      <c r="M779" t="s">
        <v>2285</v>
      </c>
      <c r="N779" s="1">
        <f t="shared" si="110"/>
        <v>45656</v>
      </c>
      <c r="O779" t="s">
        <v>1014</v>
      </c>
      <c r="P779" s="1">
        <f t="shared" si="111"/>
        <v>45366</v>
      </c>
      <c r="Q779" t="s">
        <v>3138</v>
      </c>
      <c r="R779">
        <v>32</v>
      </c>
      <c r="S779">
        <v>92</v>
      </c>
      <c r="T779" t="s">
        <v>51</v>
      </c>
      <c r="U779" s="8">
        <v>64</v>
      </c>
      <c r="V779" s="8">
        <f t="shared" si="112"/>
        <v>150</v>
      </c>
      <c r="W779" t="str">
        <f t="shared" si="113"/>
        <v>Sufficient Stock</v>
      </c>
      <c r="X779" s="9">
        <f t="shared" si="114"/>
        <v>45689</v>
      </c>
      <c r="Y779">
        <f t="shared" si="115"/>
        <v>-339</v>
      </c>
      <c r="Z779" t="str">
        <f t="shared" si="116"/>
        <v>Invalid Data</v>
      </c>
    </row>
    <row r="780" spans="1:26" x14ac:dyDescent="0.4">
      <c r="A780" t="s">
        <v>3139</v>
      </c>
      <c r="B780" t="s">
        <v>799</v>
      </c>
      <c r="C780" t="s">
        <v>77</v>
      </c>
      <c r="D780" t="s">
        <v>3140</v>
      </c>
      <c r="E780" t="s">
        <v>427</v>
      </c>
      <c r="F780">
        <v>48</v>
      </c>
      <c r="G780">
        <v>12</v>
      </c>
      <c r="H780">
        <v>62</v>
      </c>
      <c r="I780" t="s">
        <v>134</v>
      </c>
      <c r="J780" s="7">
        <f t="shared" si="108"/>
        <v>7</v>
      </c>
      <c r="K780" t="s">
        <v>1005</v>
      </c>
      <c r="L780" s="1">
        <f t="shared" si="109"/>
        <v>45458</v>
      </c>
      <c r="M780" s="1">
        <v>45387</v>
      </c>
      <c r="N780" s="1">
        <f t="shared" si="110"/>
        <v>45387</v>
      </c>
      <c r="O780" t="s">
        <v>24</v>
      </c>
      <c r="P780" s="1">
        <f t="shared" si="111"/>
        <v>45554</v>
      </c>
      <c r="Q780" t="s">
        <v>3141</v>
      </c>
      <c r="R780">
        <v>59</v>
      </c>
      <c r="S780">
        <v>23</v>
      </c>
      <c r="T780" t="s">
        <v>51</v>
      </c>
      <c r="U780" s="8">
        <v>413</v>
      </c>
      <c r="V780" s="8">
        <f t="shared" si="112"/>
        <v>336</v>
      </c>
      <c r="W780" t="str">
        <f t="shared" si="113"/>
        <v>Sufficient Stock</v>
      </c>
      <c r="X780" s="9">
        <f t="shared" si="114"/>
        <v>45444</v>
      </c>
      <c r="Y780">
        <f t="shared" si="115"/>
        <v>96</v>
      </c>
      <c r="Z780" t="str">
        <f t="shared" si="116"/>
        <v>Medium Risk</v>
      </c>
    </row>
    <row r="781" spans="1:26" x14ac:dyDescent="0.4">
      <c r="A781" t="s">
        <v>3142</v>
      </c>
      <c r="B781" t="s">
        <v>271</v>
      </c>
      <c r="C781" t="s">
        <v>54</v>
      </c>
      <c r="D781" t="s">
        <v>3143</v>
      </c>
      <c r="E781" t="s">
        <v>1957</v>
      </c>
      <c r="F781">
        <v>50</v>
      </c>
      <c r="G781">
        <v>68</v>
      </c>
      <c r="H781">
        <v>90</v>
      </c>
      <c r="I781" t="s">
        <v>106</v>
      </c>
      <c r="J781" s="7">
        <f t="shared" si="108"/>
        <v>2</v>
      </c>
      <c r="K781" s="1">
        <v>45638</v>
      </c>
      <c r="L781" s="1">
        <f t="shared" si="109"/>
        <v>45638</v>
      </c>
      <c r="M781" s="1">
        <v>45540</v>
      </c>
      <c r="N781" s="1">
        <f t="shared" si="110"/>
        <v>45540</v>
      </c>
      <c r="O781" s="1">
        <v>45418</v>
      </c>
      <c r="P781" s="1">
        <f t="shared" si="111"/>
        <v>45418</v>
      </c>
      <c r="Q781" t="s">
        <v>3144</v>
      </c>
      <c r="R781">
        <v>40</v>
      </c>
      <c r="S781">
        <v>13</v>
      </c>
      <c r="T781" t="s">
        <v>26</v>
      </c>
      <c r="U781" s="8">
        <v>80</v>
      </c>
      <c r="V781" s="8">
        <f t="shared" si="112"/>
        <v>100</v>
      </c>
      <c r="W781" t="str">
        <f t="shared" si="113"/>
        <v>Reorder Required</v>
      </c>
      <c r="X781" s="9">
        <f t="shared" si="114"/>
        <v>45627</v>
      </c>
      <c r="Y781">
        <f t="shared" si="115"/>
        <v>-220</v>
      </c>
      <c r="Z781" t="str">
        <f t="shared" si="116"/>
        <v>Invalid Data</v>
      </c>
    </row>
    <row r="782" spans="1:26" x14ac:dyDescent="0.4">
      <c r="A782" t="s">
        <v>3145</v>
      </c>
      <c r="B782" t="s">
        <v>263</v>
      </c>
      <c r="C782" t="s">
        <v>169</v>
      </c>
      <c r="D782" t="s">
        <v>3146</v>
      </c>
      <c r="E782" t="s">
        <v>484</v>
      </c>
      <c r="F782">
        <v>11</v>
      </c>
      <c r="G782">
        <v>87</v>
      </c>
      <c r="H782">
        <v>43</v>
      </c>
      <c r="I782" t="s">
        <v>266</v>
      </c>
      <c r="J782" s="7">
        <f t="shared" si="108"/>
        <v>9</v>
      </c>
      <c r="K782" s="1">
        <v>45689</v>
      </c>
      <c r="L782" s="1">
        <f t="shared" si="109"/>
        <v>45689</v>
      </c>
      <c r="M782" s="1">
        <v>45449</v>
      </c>
      <c r="N782" s="1">
        <f t="shared" si="110"/>
        <v>45449</v>
      </c>
      <c r="O782" s="1">
        <v>45902</v>
      </c>
      <c r="P782" s="1">
        <f t="shared" si="111"/>
        <v>45902</v>
      </c>
      <c r="Q782" t="s">
        <v>3147</v>
      </c>
      <c r="R782">
        <v>86</v>
      </c>
      <c r="S782">
        <v>91</v>
      </c>
      <c r="T782" t="s">
        <v>51</v>
      </c>
      <c r="U782" s="8">
        <v>774</v>
      </c>
      <c r="V782" s="8">
        <f t="shared" si="112"/>
        <v>99</v>
      </c>
      <c r="W782" t="str">
        <f t="shared" si="113"/>
        <v>Reorder Required</v>
      </c>
      <c r="X782" s="9">
        <f t="shared" si="114"/>
        <v>45689</v>
      </c>
      <c r="Y782">
        <f t="shared" si="115"/>
        <v>213</v>
      </c>
      <c r="Z782" t="str">
        <f t="shared" si="116"/>
        <v>Low Risk</v>
      </c>
    </row>
    <row r="783" spans="1:26" x14ac:dyDescent="0.4">
      <c r="A783" t="s">
        <v>3148</v>
      </c>
      <c r="B783" t="s">
        <v>669</v>
      </c>
      <c r="C783" t="s">
        <v>18</v>
      </c>
      <c r="D783" t="s">
        <v>3149</v>
      </c>
      <c r="E783" t="s">
        <v>801</v>
      </c>
      <c r="F783">
        <v>74</v>
      </c>
      <c r="G783">
        <v>22</v>
      </c>
      <c r="H783">
        <v>91</v>
      </c>
      <c r="I783" t="s">
        <v>671</v>
      </c>
      <c r="J783" s="7">
        <f t="shared" si="108"/>
        <v>9.5</v>
      </c>
      <c r="K783" t="s">
        <v>1331</v>
      </c>
      <c r="L783" s="1">
        <f t="shared" si="109"/>
        <v>45529</v>
      </c>
      <c r="M783" t="s">
        <v>1106</v>
      </c>
      <c r="N783" s="1">
        <f t="shared" si="110"/>
        <v>45679</v>
      </c>
      <c r="O783" t="s">
        <v>792</v>
      </c>
      <c r="P783" s="1">
        <f t="shared" si="111"/>
        <v>45462</v>
      </c>
      <c r="Q783" t="s">
        <v>3150</v>
      </c>
      <c r="R783">
        <v>24</v>
      </c>
      <c r="S783">
        <v>12</v>
      </c>
      <c r="T783" t="s">
        <v>51</v>
      </c>
      <c r="U783" s="8">
        <v>228</v>
      </c>
      <c r="V783" s="8">
        <f t="shared" si="112"/>
        <v>703</v>
      </c>
      <c r="W783" t="str">
        <f t="shared" si="113"/>
        <v>Sufficient Stock</v>
      </c>
      <c r="X783" s="9">
        <f t="shared" si="114"/>
        <v>45505</v>
      </c>
      <c r="Y783">
        <f t="shared" si="115"/>
        <v>-67</v>
      </c>
      <c r="Z783" t="str">
        <f t="shared" si="116"/>
        <v>Invalid Data</v>
      </c>
    </row>
    <row r="784" spans="1:26" x14ac:dyDescent="0.4">
      <c r="A784" t="s">
        <v>3151</v>
      </c>
      <c r="B784" t="s">
        <v>1538</v>
      </c>
      <c r="C784" t="s">
        <v>54</v>
      </c>
      <c r="D784" t="s">
        <v>3152</v>
      </c>
      <c r="E784" t="s">
        <v>97</v>
      </c>
      <c r="F784">
        <v>11</v>
      </c>
      <c r="G784">
        <v>10</v>
      </c>
      <c r="H784">
        <v>60</v>
      </c>
      <c r="I784" t="s">
        <v>71</v>
      </c>
      <c r="J784" s="7">
        <f t="shared" si="108"/>
        <v>2.5</v>
      </c>
      <c r="K784" s="1">
        <v>45575</v>
      </c>
      <c r="L784" s="1">
        <f t="shared" si="109"/>
        <v>45575</v>
      </c>
      <c r="M784" s="1">
        <v>45448</v>
      </c>
      <c r="N784" s="1">
        <f t="shared" si="110"/>
        <v>45448</v>
      </c>
      <c r="O784" t="s">
        <v>315</v>
      </c>
      <c r="P784" s="1">
        <f t="shared" si="111"/>
        <v>45651</v>
      </c>
      <c r="Q784" t="s">
        <v>3153</v>
      </c>
      <c r="R784">
        <v>93</v>
      </c>
      <c r="S784">
        <v>53</v>
      </c>
      <c r="T784" t="s">
        <v>26</v>
      </c>
      <c r="U784" s="8">
        <v>232.5</v>
      </c>
      <c r="V784" s="8">
        <f t="shared" si="112"/>
        <v>27.5</v>
      </c>
      <c r="W784" t="str">
        <f t="shared" si="113"/>
        <v>Sufficient Stock</v>
      </c>
      <c r="X784" s="9">
        <f t="shared" si="114"/>
        <v>45566</v>
      </c>
      <c r="Y784">
        <f t="shared" si="115"/>
        <v>76</v>
      </c>
      <c r="Z784" t="str">
        <f t="shared" si="116"/>
        <v>High Risk</v>
      </c>
    </row>
    <row r="785" spans="1:26" x14ac:dyDescent="0.4">
      <c r="A785" t="s">
        <v>3154</v>
      </c>
      <c r="B785" t="s">
        <v>492</v>
      </c>
      <c r="C785" t="s">
        <v>77</v>
      </c>
      <c r="D785" t="s">
        <v>3155</v>
      </c>
      <c r="E785" t="s">
        <v>3156</v>
      </c>
      <c r="F785">
        <v>85</v>
      </c>
      <c r="G785">
        <v>15</v>
      </c>
      <c r="H785">
        <v>30</v>
      </c>
      <c r="I785" t="s">
        <v>57</v>
      </c>
      <c r="J785" s="7">
        <f t="shared" si="108"/>
        <v>4</v>
      </c>
      <c r="K785" t="s">
        <v>1141</v>
      </c>
      <c r="L785" s="1">
        <f t="shared" si="109"/>
        <v>45398</v>
      </c>
      <c r="M785" t="s">
        <v>455</v>
      </c>
      <c r="N785" s="1">
        <f t="shared" si="110"/>
        <v>45590</v>
      </c>
      <c r="O785" s="1">
        <v>45455</v>
      </c>
      <c r="P785" s="1">
        <f t="shared" si="111"/>
        <v>45455</v>
      </c>
      <c r="Q785" t="s">
        <v>3157</v>
      </c>
      <c r="R785">
        <v>95</v>
      </c>
      <c r="S785">
        <v>63</v>
      </c>
      <c r="T785" t="s">
        <v>51</v>
      </c>
      <c r="U785" s="8">
        <v>380</v>
      </c>
      <c r="V785" s="8">
        <f t="shared" si="112"/>
        <v>340</v>
      </c>
      <c r="W785" t="str">
        <f t="shared" si="113"/>
        <v>Sufficient Stock</v>
      </c>
      <c r="X785" s="9">
        <f t="shared" si="114"/>
        <v>45383</v>
      </c>
      <c r="Y785">
        <f t="shared" si="115"/>
        <v>57</v>
      </c>
      <c r="Z785" t="str">
        <f t="shared" si="116"/>
        <v>High Risk</v>
      </c>
    </row>
    <row r="786" spans="1:26" x14ac:dyDescent="0.4">
      <c r="A786" t="s">
        <v>3158</v>
      </c>
      <c r="B786" t="s">
        <v>779</v>
      </c>
      <c r="C786" t="s">
        <v>54</v>
      </c>
      <c r="D786" t="s">
        <v>3159</v>
      </c>
      <c r="E786" t="s">
        <v>365</v>
      </c>
      <c r="F786">
        <v>57</v>
      </c>
      <c r="G786">
        <v>43</v>
      </c>
      <c r="H786">
        <v>46</v>
      </c>
      <c r="I786" t="s">
        <v>71</v>
      </c>
      <c r="J786" s="7">
        <f t="shared" si="108"/>
        <v>2.5</v>
      </c>
      <c r="K786" t="s">
        <v>1369</v>
      </c>
      <c r="L786" s="1">
        <f t="shared" si="109"/>
        <v>45456</v>
      </c>
      <c r="M786" s="1">
        <v>45303</v>
      </c>
      <c r="N786" s="1">
        <f t="shared" si="110"/>
        <v>45303</v>
      </c>
      <c r="O786" s="1">
        <v>45390</v>
      </c>
      <c r="P786" s="1">
        <f t="shared" si="111"/>
        <v>45390</v>
      </c>
      <c r="Q786" t="s">
        <v>3160</v>
      </c>
      <c r="R786">
        <v>87</v>
      </c>
      <c r="S786">
        <v>88</v>
      </c>
      <c r="T786" t="s">
        <v>26</v>
      </c>
      <c r="U786" s="8">
        <v>217.5</v>
      </c>
      <c r="V786" s="8">
        <f t="shared" si="112"/>
        <v>142.5</v>
      </c>
      <c r="W786" t="str">
        <f t="shared" si="113"/>
        <v>Sufficient Stock</v>
      </c>
      <c r="X786" s="9">
        <f t="shared" si="114"/>
        <v>45444</v>
      </c>
      <c r="Y786">
        <f t="shared" si="115"/>
        <v>-66</v>
      </c>
      <c r="Z786" t="str">
        <f t="shared" si="116"/>
        <v>Invalid Data</v>
      </c>
    </row>
    <row r="787" spans="1:26" x14ac:dyDescent="0.4">
      <c r="A787" t="s">
        <v>3161</v>
      </c>
      <c r="B787" t="s">
        <v>1104</v>
      </c>
      <c r="C787" t="s">
        <v>54</v>
      </c>
      <c r="D787" t="s">
        <v>3162</v>
      </c>
      <c r="E787" t="s">
        <v>1467</v>
      </c>
      <c r="F787">
        <v>75</v>
      </c>
      <c r="G787">
        <v>56</v>
      </c>
      <c r="H787">
        <v>57</v>
      </c>
      <c r="I787" t="s">
        <v>1728</v>
      </c>
      <c r="J787" s="7">
        <f t="shared" si="108"/>
        <v>1.9</v>
      </c>
      <c r="K787" t="s">
        <v>526</v>
      </c>
      <c r="L787" s="1">
        <f t="shared" si="109"/>
        <v>45592</v>
      </c>
      <c r="M787" t="s">
        <v>455</v>
      </c>
      <c r="N787" s="1">
        <f t="shared" si="110"/>
        <v>45590</v>
      </c>
      <c r="O787" t="s">
        <v>24</v>
      </c>
      <c r="P787" s="1">
        <f t="shared" si="111"/>
        <v>45554</v>
      </c>
      <c r="Q787" t="s">
        <v>3163</v>
      </c>
      <c r="R787">
        <v>63</v>
      </c>
      <c r="S787">
        <v>64</v>
      </c>
      <c r="T787" t="s">
        <v>26</v>
      </c>
      <c r="U787" s="8">
        <v>119.69999999999999</v>
      </c>
      <c r="V787" s="8">
        <f t="shared" si="112"/>
        <v>142.5</v>
      </c>
      <c r="W787" t="str">
        <f t="shared" si="113"/>
        <v>Sufficient Stock</v>
      </c>
      <c r="X787" s="9">
        <f t="shared" si="114"/>
        <v>45566</v>
      </c>
      <c r="Y787">
        <f t="shared" si="115"/>
        <v>-38</v>
      </c>
      <c r="Z787" t="str">
        <f t="shared" si="116"/>
        <v>Invalid Data</v>
      </c>
    </row>
    <row r="788" spans="1:26" x14ac:dyDescent="0.4">
      <c r="A788" t="s">
        <v>3164</v>
      </c>
      <c r="B788" t="s">
        <v>932</v>
      </c>
      <c r="C788" t="s">
        <v>77</v>
      </c>
      <c r="D788" t="s">
        <v>3165</v>
      </c>
      <c r="E788" t="s">
        <v>371</v>
      </c>
      <c r="F788">
        <v>63</v>
      </c>
      <c r="G788">
        <v>7</v>
      </c>
      <c r="H788">
        <v>23</v>
      </c>
      <c r="I788" t="s">
        <v>2657</v>
      </c>
      <c r="J788" s="7">
        <f t="shared" si="108"/>
        <v>2.35</v>
      </c>
      <c r="K788" s="1">
        <v>45482</v>
      </c>
      <c r="L788" s="1">
        <f t="shared" si="109"/>
        <v>45482</v>
      </c>
      <c r="M788" t="s">
        <v>346</v>
      </c>
      <c r="N788" s="1">
        <f t="shared" si="110"/>
        <v>45618</v>
      </c>
      <c r="O788" t="s">
        <v>383</v>
      </c>
      <c r="P788" s="1">
        <f t="shared" si="111"/>
        <v>45582</v>
      </c>
      <c r="Q788" t="s">
        <v>3166</v>
      </c>
      <c r="R788">
        <v>78</v>
      </c>
      <c r="S788">
        <v>100</v>
      </c>
      <c r="T788" t="s">
        <v>51</v>
      </c>
      <c r="U788" s="8">
        <v>183.3</v>
      </c>
      <c r="V788" s="8">
        <f t="shared" si="112"/>
        <v>148.05000000000001</v>
      </c>
      <c r="W788" t="str">
        <f t="shared" si="113"/>
        <v>Sufficient Stock</v>
      </c>
      <c r="X788" s="9">
        <f t="shared" si="114"/>
        <v>45474</v>
      </c>
      <c r="Y788">
        <f t="shared" si="115"/>
        <v>100</v>
      </c>
      <c r="Z788" t="str">
        <f t="shared" si="116"/>
        <v>Medium Risk</v>
      </c>
    </row>
    <row r="789" spans="1:26" x14ac:dyDescent="0.4">
      <c r="A789" t="s">
        <v>3167</v>
      </c>
      <c r="B789" t="s">
        <v>458</v>
      </c>
      <c r="C789" t="s">
        <v>29</v>
      </c>
      <c r="D789" t="s">
        <v>3168</v>
      </c>
      <c r="E789" t="s">
        <v>3169</v>
      </c>
      <c r="F789">
        <v>35</v>
      </c>
      <c r="G789">
        <v>20</v>
      </c>
      <c r="H789">
        <v>42</v>
      </c>
      <c r="I789" t="s">
        <v>3170</v>
      </c>
      <c r="J789" s="7">
        <f t="shared" si="108"/>
        <v>25.25</v>
      </c>
      <c r="K789" t="s">
        <v>127</v>
      </c>
      <c r="L789" s="1">
        <f t="shared" si="109"/>
        <v>45473</v>
      </c>
      <c r="M789" s="1">
        <v>45420</v>
      </c>
      <c r="N789" s="1">
        <f t="shared" si="110"/>
        <v>45420</v>
      </c>
      <c r="O789" s="1">
        <v>45870</v>
      </c>
      <c r="P789" s="1">
        <f t="shared" si="111"/>
        <v>45870</v>
      </c>
      <c r="Q789" t="s">
        <v>3171</v>
      </c>
      <c r="R789">
        <v>53</v>
      </c>
      <c r="S789">
        <v>56</v>
      </c>
      <c r="T789" t="s">
        <v>26</v>
      </c>
      <c r="U789" s="8">
        <v>1338.25</v>
      </c>
      <c r="V789" s="8">
        <f t="shared" si="112"/>
        <v>883.75</v>
      </c>
      <c r="W789" t="str">
        <f t="shared" si="113"/>
        <v>Sufficient Stock</v>
      </c>
      <c r="X789" s="9">
        <f t="shared" si="114"/>
        <v>45444</v>
      </c>
      <c r="Y789">
        <f t="shared" si="115"/>
        <v>397</v>
      </c>
      <c r="Z789" t="str">
        <f t="shared" si="116"/>
        <v>Safe</v>
      </c>
    </row>
    <row r="790" spans="1:26" x14ac:dyDescent="0.4">
      <c r="A790" t="s">
        <v>3172</v>
      </c>
      <c r="B790" t="s">
        <v>184</v>
      </c>
      <c r="C790" t="s">
        <v>54</v>
      </c>
      <c r="D790" t="s">
        <v>3173</v>
      </c>
      <c r="E790" t="s">
        <v>2377</v>
      </c>
      <c r="F790">
        <v>24</v>
      </c>
      <c r="G790">
        <v>32</v>
      </c>
      <c r="H790">
        <v>17</v>
      </c>
      <c r="I790" t="s">
        <v>91</v>
      </c>
      <c r="J790" s="7">
        <f t="shared" si="108"/>
        <v>1</v>
      </c>
      <c r="K790" t="s">
        <v>842</v>
      </c>
      <c r="L790" s="1">
        <f t="shared" si="109"/>
        <v>45564</v>
      </c>
      <c r="M790" t="s">
        <v>579</v>
      </c>
      <c r="N790" s="1">
        <f t="shared" si="110"/>
        <v>45460</v>
      </c>
      <c r="O790" s="1">
        <v>45329</v>
      </c>
      <c r="P790" s="1">
        <f t="shared" si="111"/>
        <v>45329</v>
      </c>
      <c r="Q790" t="s">
        <v>3174</v>
      </c>
      <c r="R790">
        <v>55</v>
      </c>
      <c r="S790">
        <v>72</v>
      </c>
      <c r="T790" t="s">
        <v>26</v>
      </c>
      <c r="U790" s="8">
        <v>55</v>
      </c>
      <c r="V790" s="8">
        <f t="shared" si="112"/>
        <v>24</v>
      </c>
      <c r="W790" t="str">
        <f t="shared" si="113"/>
        <v>Reorder Required</v>
      </c>
      <c r="X790" s="9">
        <f t="shared" si="114"/>
        <v>45536</v>
      </c>
      <c r="Y790">
        <f t="shared" si="115"/>
        <v>-235</v>
      </c>
      <c r="Z790" t="str">
        <f t="shared" si="116"/>
        <v>Invalid Data</v>
      </c>
    </row>
    <row r="791" spans="1:26" x14ac:dyDescent="0.4">
      <c r="A791" t="s">
        <v>3175</v>
      </c>
      <c r="B791" t="s">
        <v>621</v>
      </c>
      <c r="C791" t="s">
        <v>18</v>
      </c>
      <c r="D791" t="s">
        <v>3176</v>
      </c>
      <c r="E791" t="s">
        <v>2962</v>
      </c>
      <c r="F791">
        <v>53</v>
      </c>
      <c r="G791">
        <v>26</v>
      </c>
      <c r="H791">
        <v>3</v>
      </c>
      <c r="I791" t="s">
        <v>624</v>
      </c>
      <c r="J791" s="7">
        <f t="shared" si="108"/>
        <v>4.75</v>
      </c>
      <c r="K791" s="1">
        <v>45325</v>
      </c>
      <c r="L791" s="1">
        <f t="shared" si="109"/>
        <v>45325</v>
      </c>
      <c r="M791" s="1">
        <v>45389</v>
      </c>
      <c r="N791" s="1">
        <f t="shared" si="110"/>
        <v>45389</v>
      </c>
      <c r="O791" s="1">
        <v>45446</v>
      </c>
      <c r="P791" s="1">
        <f t="shared" si="111"/>
        <v>45446</v>
      </c>
      <c r="Q791" t="s">
        <v>3177</v>
      </c>
      <c r="R791">
        <v>100</v>
      </c>
      <c r="S791">
        <v>94</v>
      </c>
      <c r="T791" t="s">
        <v>51</v>
      </c>
      <c r="U791" s="8">
        <v>475</v>
      </c>
      <c r="V791" s="8">
        <f t="shared" si="112"/>
        <v>251.75</v>
      </c>
      <c r="W791" t="str">
        <f t="shared" si="113"/>
        <v>Sufficient Stock</v>
      </c>
      <c r="X791" s="9">
        <f t="shared" si="114"/>
        <v>45323</v>
      </c>
      <c r="Y791">
        <f t="shared" si="115"/>
        <v>121</v>
      </c>
      <c r="Z791" t="str">
        <f t="shared" si="116"/>
        <v>Medium Risk</v>
      </c>
    </row>
    <row r="792" spans="1:26" x14ac:dyDescent="0.4">
      <c r="A792" t="s">
        <v>3178</v>
      </c>
      <c r="B792" t="s">
        <v>533</v>
      </c>
      <c r="C792" t="s">
        <v>112</v>
      </c>
      <c r="D792" t="s">
        <v>3179</v>
      </c>
      <c r="E792" t="s">
        <v>1391</v>
      </c>
      <c r="F792">
        <v>74</v>
      </c>
      <c r="G792">
        <v>81</v>
      </c>
      <c r="H792">
        <v>41</v>
      </c>
      <c r="I792" t="s">
        <v>39</v>
      </c>
      <c r="J792" s="7">
        <f t="shared" si="108"/>
        <v>6</v>
      </c>
      <c r="K792" s="1">
        <v>45779</v>
      </c>
      <c r="L792" s="1">
        <f t="shared" si="109"/>
        <v>45779</v>
      </c>
      <c r="M792" s="1">
        <v>45327</v>
      </c>
      <c r="N792" s="1">
        <f t="shared" si="110"/>
        <v>45327</v>
      </c>
      <c r="O792" t="s">
        <v>1129</v>
      </c>
      <c r="P792" s="1">
        <f t="shared" si="111"/>
        <v>45439</v>
      </c>
      <c r="Q792" t="s">
        <v>3180</v>
      </c>
      <c r="R792">
        <v>51</v>
      </c>
      <c r="S792">
        <v>67</v>
      </c>
      <c r="T792" t="s">
        <v>51</v>
      </c>
      <c r="U792" s="8">
        <v>306</v>
      </c>
      <c r="V792" s="8">
        <f t="shared" si="112"/>
        <v>444</v>
      </c>
      <c r="W792" t="str">
        <f t="shared" si="113"/>
        <v>Reorder Required</v>
      </c>
      <c r="X792" s="9">
        <f t="shared" si="114"/>
        <v>45778</v>
      </c>
      <c r="Y792">
        <f t="shared" si="115"/>
        <v>-340</v>
      </c>
      <c r="Z792" t="str">
        <f t="shared" si="116"/>
        <v>Invalid Data</v>
      </c>
    </row>
    <row r="793" spans="1:26" x14ac:dyDescent="0.4">
      <c r="A793" t="s">
        <v>3181</v>
      </c>
      <c r="B793" t="s">
        <v>1406</v>
      </c>
      <c r="C793" t="s">
        <v>18</v>
      </c>
      <c r="D793" t="s">
        <v>3182</v>
      </c>
      <c r="E793" t="s">
        <v>1204</v>
      </c>
      <c r="F793">
        <v>79</v>
      </c>
      <c r="G793">
        <v>38</v>
      </c>
      <c r="H793">
        <v>67</v>
      </c>
      <c r="I793" t="s">
        <v>71</v>
      </c>
      <c r="J793" s="7">
        <f t="shared" si="108"/>
        <v>2.5</v>
      </c>
      <c r="K793" s="1">
        <v>45419</v>
      </c>
      <c r="L793" s="1">
        <f t="shared" si="109"/>
        <v>45419</v>
      </c>
      <c r="M793" s="1">
        <v>45514</v>
      </c>
      <c r="N793" s="1">
        <f t="shared" si="110"/>
        <v>45514</v>
      </c>
      <c r="O793" s="1">
        <v>45300</v>
      </c>
      <c r="P793" s="1">
        <f t="shared" si="111"/>
        <v>45300</v>
      </c>
      <c r="Q793" t="s">
        <v>3183</v>
      </c>
      <c r="R793">
        <v>43</v>
      </c>
      <c r="S793">
        <v>93</v>
      </c>
      <c r="T793" t="s">
        <v>26</v>
      </c>
      <c r="U793" s="8">
        <v>107.5</v>
      </c>
      <c r="V793" s="8">
        <f t="shared" si="112"/>
        <v>197.5</v>
      </c>
      <c r="W793" t="str">
        <f t="shared" si="113"/>
        <v>Sufficient Stock</v>
      </c>
      <c r="X793" s="9">
        <f t="shared" si="114"/>
        <v>45413</v>
      </c>
      <c r="Y793">
        <f t="shared" si="115"/>
        <v>-119</v>
      </c>
      <c r="Z793" t="str">
        <f t="shared" si="116"/>
        <v>Invalid Data</v>
      </c>
    </row>
    <row r="794" spans="1:26" x14ac:dyDescent="0.4">
      <c r="A794" t="s">
        <v>3184</v>
      </c>
      <c r="B794" t="s">
        <v>138</v>
      </c>
      <c r="C794" t="s">
        <v>18</v>
      </c>
      <c r="D794" t="s">
        <v>3185</v>
      </c>
      <c r="E794" t="s">
        <v>472</v>
      </c>
      <c r="F794">
        <v>54</v>
      </c>
      <c r="G794">
        <v>78</v>
      </c>
      <c r="H794">
        <v>81</v>
      </c>
      <c r="I794" t="s">
        <v>47</v>
      </c>
      <c r="J794" s="7">
        <f t="shared" si="108"/>
        <v>1.5</v>
      </c>
      <c r="K794" s="1">
        <v>45327</v>
      </c>
      <c r="L794" s="1">
        <f t="shared" si="109"/>
        <v>45327</v>
      </c>
      <c r="M794" t="s">
        <v>1418</v>
      </c>
      <c r="N794" s="1">
        <f t="shared" si="110"/>
        <v>45619</v>
      </c>
      <c r="O794" s="1">
        <v>45419</v>
      </c>
      <c r="P794" s="1">
        <f t="shared" si="111"/>
        <v>45419</v>
      </c>
      <c r="Q794" t="s">
        <v>3186</v>
      </c>
      <c r="R794">
        <v>41</v>
      </c>
      <c r="S794">
        <v>63</v>
      </c>
      <c r="T794" t="s">
        <v>42</v>
      </c>
      <c r="U794" s="8">
        <v>61.5</v>
      </c>
      <c r="V794" s="8">
        <f t="shared" si="112"/>
        <v>81</v>
      </c>
      <c r="W794" t="str">
        <f t="shared" si="113"/>
        <v>Reorder Required</v>
      </c>
      <c r="X794" s="9">
        <f t="shared" si="114"/>
        <v>45323</v>
      </c>
      <c r="Y794">
        <f t="shared" si="115"/>
        <v>92</v>
      </c>
      <c r="Z794" t="str">
        <f t="shared" si="116"/>
        <v>Medium Risk</v>
      </c>
    </row>
    <row r="795" spans="1:26" x14ac:dyDescent="0.4">
      <c r="A795" t="s">
        <v>3187</v>
      </c>
      <c r="B795" t="s">
        <v>607</v>
      </c>
      <c r="C795" t="s">
        <v>68</v>
      </c>
      <c r="D795" t="s">
        <v>3188</v>
      </c>
      <c r="E795" t="s">
        <v>3189</v>
      </c>
      <c r="F795">
        <v>44</v>
      </c>
      <c r="G795">
        <v>83</v>
      </c>
      <c r="H795">
        <v>78</v>
      </c>
      <c r="I795" t="s">
        <v>466</v>
      </c>
      <c r="J795" s="7">
        <f t="shared" si="108"/>
        <v>1.8</v>
      </c>
      <c r="K795" s="1">
        <v>45511</v>
      </c>
      <c r="L795" s="1">
        <f t="shared" si="109"/>
        <v>45511</v>
      </c>
      <c r="M795" s="1">
        <v>45839</v>
      </c>
      <c r="N795" s="1">
        <f t="shared" si="110"/>
        <v>45839</v>
      </c>
      <c r="O795" t="s">
        <v>421</v>
      </c>
      <c r="P795" s="1">
        <f t="shared" si="111"/>
        <v>45524</v>
      </c>
      <c r="Q795" t="s">
        <v>3190</v>
      </c>
      <c r="R795">
        <v>46</v>
      </c>
      <c r="S795">
        <v>4</v>
      </c>
      <c r="T795" t="s">
        <v>26</v>
      </c>
      <c r="U795" s="8">
        <v>82.8</v>
      </c>
      <c r="V795" s="8">
        <f t="shared" si="112"/>
        <v>79.2</v>
      </c>
      <c r="W795" t="str">
        <f t="shared" si="113"/>
        <v>Reorder Required</v>
      </c>
      <c r="X795" s="9">
        <f t="shared" si="114"/>
        <v>45505</v>
      </c>
      <c r="Y795">
        <f t="shared" si="115"/>
        <v>13</v>
      </c>
      <c r="Z795" t="str">
        <f t="shared" si="116"/>
        <v>Critical</v>
      </c>
    </row>
    <row r="796" spans="1:26" x14ac:dyDescent="0.4">
      <c r="A796" t="s">
        <v>3191</v>
      </c>
      <c r="B796" t="s">
        <v>669</v>
      </c>
      <c r="C796" t="s">
        <v>18</v>
      </c>
      <c r="D796" t="s">
        <v>3192</v>
      </c>
      <c r="E796" t="s">
        <v>1718</v>
      </c>
      <c r="F796">
        <v>77</v>
      </c>
      <c r="G796">
        <v>19</v>
      </c>
      <c r="H796">
        <v>31</v>
      </c>
      <c r="I796" t="s">
        <v>671</v>
      </c>
      <c r="J796" s="7">
        <f t="shared" si="108"/>
        <v>9.5</v>
      </c>
      <c r="K796" t="s">
        <v>654</v>
      </c>
      <c r="L796" s="1">
        <f t="shared" si="109"/>
        <v>45594</v>
      </c>
      <c r="M796" t="s">
        <v>444</v>
      </c>
      <c r="N796" s="1">
        <f t="shared" si="110"/>
        <v>45680</v>
      </c>
      <c r="O796" t="s">
        <v>300</v>
      </c>
      <c r="P796" s="1">
        <f t="shared" si="111"/>
        <v>45371</v>
      </c>
      <c r="Q796" t="s">
        <v>3193</v>
      </c>
      <c r="R796">
        <v>27</v>
      </c>
      <c r="S796">
        <v>25</v>
      </c>
      <c r="T796" t="s">
        <v>42</v>
      </c>
      <c r="U796" s="8">
        <v>256.5</v>
      </c>
      <c r="V796" s="8">
        <f t="shared" si="112"/>
        <v>731.5</v>
      </c>
      <c r="W796" t="str">
        <f t="shared" si="113"/>
        <v>Sufficient Stock</v>
      </c>
      <c r="X796" s="9">
        <f t="shared" si="114"/>
        <v>45566</v>
      </c>
      <c r="Y796">
        <f t="shared" si="115"/>
        <v>-223</v>
      </c>
      <c r="Z796" t="str">
        <f t="shared" si="116"/>
        <v>Invalid Data</v>
      </c>
    </row>
    <row r="797" spans="1:26" x14ac:dyDescent="0.4">
      <c r="A797" t="s">
        <v>3194</v>
      </c>
      <c r="B797" t="s">
        <v>1447</v>
      </c>
      <c r="C797" t="s">
        <v>54</v>
      </c>
      <c r="D797" t="s">
        <v>3195</v>
      </c>
      <c r="E797" t="s">
        <v>1385</v>
      </c>
      <c r="F797">
        <v>42</v>
      </c>
      <c r="G797">
        <v>61</v>
      </c>
      <c r="H797">
        <v>52</v>
      </c>
      <c r="I797" t="s">
        <v>220</v>
      </c>
      <c r="J797" s="7">
        <f t="shared" si="108"/>
        <v>5</v>
      </c>
      <c r="K797" s="1">
        <v>45334</v>
      </c>
      <c r="L797" s="1">
        <f t="shared" si="109"/>
        <v>45334</v>
      </c>
      <c r="M797" t="s">
        <v>450</v>
      </c>
      <c r="N797" s="1">
        <f t="shared" si="110"/>
        <v>45688</v>
      </c>
      <c r="O797" t="s">
        <v>842</v>
      </c>
      <c r="P797" s="1">
        <f t="shared" si="111"/>
        <v>45564</v>
      </c>
      <c r="Q797" t="s">
        <v>3196</v>
      </c>
      <c r="R797">
        <v>86</v>
      </c>
      <c r="S797">
        <v>99</v>
      </c>
      <c r="T797" t="s">
        <v>42</v>
      </c>
      <c r="U797" s="8">
        <v>430</v>
      </c>
      <c r="V797" s="8">
        <f t="shared" si="112"/>
        <v>210</v>
      </c>
      <c r="W797" t="str">
        <f t="shared" si="113"/>
        <v>Reorder Required</v>
      </c>
      <c r="X797" s="9">
        <f t="shared" si="114"/>
        <v>45323</v>
      </c>
      <c r="Y797">
        <f t="shared" si="115"/>
        <v>230</v>
      </c>
      <c r="Z797" t="str">
        <f t="shared" si="116"/>
        <v>Low Risk</v>
      </c>
    </row>
    <row r="798" spans="1:26" x14ac:dyDescent="0.4">
      <c r="A798" t="s">
        <v>3197</v>
      </c>
      <c r="B798" t="s">
        <v>1814</v>
      </c>
      <c r="C798" t="s">
        <v>54</v>
      </c>
      <c r="D798" t="s">
        <v>3198</v>
      </c>
      <c r="E798" t="s">
        <v>1183</v>
      </c>
      <c r="F798">
        <v>44</v>
      </c>
      <c r="G798">
        <v>77</v>
      </c>
      <c r="H798">
        <v>45</v>
      </c>
      <c r="I798" t="s">
        <v>106</v>
      </c>
      <c r="J798" s="7">
        <f t="shared" si="108"/>
        <v>2</v>
      </c>
      <c r="K798" t="s">
        <v>854</v>
      </c>
      <c r="L798" s="1">
        <f t="shared" si="109"/>
        <v>45500</v>
      </c>
      <c r="M798" t="s">
        <v>165</v>
      </c>
      <c r="N798" s="1">
        <f t="shared" si="110"/>
        <v>45465</v>
      </c>
      <c r="O798" t="s">
        <v>100</v>
      </c>
      <c r="P798" s="1">
        <f t="shared" si="111"/>
        <v>45436</v>
      </c>
      <c r="Q798" t="s">
        <v>3199</v>
      </c>
      <c r="R798">
        <v>89</v>
      </c>
      <c r="S798">
        <v>64</v>
      </c>
      <c r="T798" t="s">
        <v>26</v>
      </c>
      <c r="U798" s="8">
        <v>178</v>
      </c>
      <c r="V798" s="8">
        <f t="shared" si="112"/>
        <v>88</v>
      </c>
      <c r="W798" t="str">
        <f t="shared" si="113"/>
        <v>Reorder Required</v>
      </c>
      <c r="X798" s="9">
        <f t="shared" si="114"/>
        <v>45474</v>
      </c>
      <c r="Y798">
        <f t="shared" si="115"/>
        <v>-64</v>
      </c>
      <c r="Z798" t="str">
        <f t="shared" si="116"/>
        <v>Invalid Data</v>
      </c>
    </row>
    <row r="799" spans="1:26" x14ac:dyDescent="0.4">
      <c r="A799" t="s">
        <v>3200</v>
      </c>
      <c r="B799" t="s">
        <v>839</v>
      </c>
      <c r="C799" t="s">
        <v>77</v>
      </c>
      <c r="D799" t="s">
        <v>3201</v>
      </c>
      <c r="E799" t="s">
        <v>478</v>
      </c>
      <c r="F799">
        <v>81</v>
      </c>
      <c r="G799">
        <v>76</v>
      </c>
      <c r="H799">
        <v>10</v>
      </c>
      <c r="I799" t="s">
        <v>57</v>
      </c>
      <c r="J799" s="7">
        <f t="shared" si="108"/>
        <v>4</v>
      </c>
      <c r="K799" t="s">
        <v>725</v>
      </c>
      <c r="L799" s="1">
        <f t="shared" si="109"/>
        <v>45425</v>
      </c>
      <c r="M799" t="s">
        <v>1129</v>
      </c>
      <c r="N799" s="1">
        <f t="shared" si="110"/>
        <v>45439</v>
      </c>
      <c r="O799" t="s">
        <v>99</v>
      </c>
      <c r="P799" s="1">
        <f t="shared" si="111"/>
        <v>45644</v>
      </c>
      <c r="Q799" t="s">
        <v>3202</v>
      </c>
      <c r="R799">
        <v>68</v>
      </c>
      <c r="S799">
        <v>100</v>
      </c>
      <c r="T799" t="s">
        <v>42</v>
      </c>
      <c r="U799" s="8">
        <v>272</v>
      </c>
      <c r="V799" s="8">
        <f t="shared" si="112"/>
        <v>324</v>
      </c>
      <c r="W799" t="str">
        <f t="shared" si="113"/>
        <v>Sufficient Stock</v>
      </c>
      <c r="X799" s="9">
        <f t="shared" si="114"/>
        <v>45413</v>
      </c>
      <c r="Y799">
        <f t="shared" si="115"/>
        <v>219</v>
      </c>
      <c r="Z799" t="str">
        <f t="shared" si="116"/>
        <v>Low Risk</v>
      </c>
    </row>
    <row r="800" spans="1:26" x14ac:dyDescent="0.4">
      <c r="A800" t="s">
        <v>3203</v>
      </c>
      <c r="B800" t="s">
        <v>36</v>
      </c>
      <c r="C800" t="s">
        <v>18</v>
      </c>
      <c r="D800" t="s">
        <v>3204</v>
      </c>
      <c r="E800" t="s">
        <v>1034</v>
      </c>
      <c r="F800">
        <v>92</v>
      </c>
      <c r="G800">
        <v>48</v>
      </c>
      <c r="H800">
        <v>22</v>
      </c>
      <c r="I800" t="s">
        <v>2693</v>
      </c>
      <c r="J800" s="7">
        <f t="shared" si="108"/>
        <v>6.25</v>
      </c>
      <c r="K800" t="s">
        <v>1188</v>
      </c>
      <c r="L800" s="1">
        <f t="shared" si="109"/>
        <v>45625</v>
      </c>
      <c r="M800" s="1">
        <v>45303</v>
      </c>
      <c r="N800" s="1">
        <f t="shared" si="110"/>
        <v>45303</v>
      </c>
      <c r="O800" t="s">
        <v>1174</v>
      </c>
      <c r="P800" s="1">
        <f t="shared" si="111"/>
        <v>45677</v>
      </c>
      <c r="Q800" t="s">
        <v>3205</v>
      </c>
      <c r="R800">
        <v>38</v>
      </c>
      <c r="S800">
        <v>61</v>
      </c>
      <c r="T800" t="s">
        <v>42</v>
      </c>
      <c r="U800" s="8">
        <v>237.5</v>
      </c>
      <c r="V800" s="8">
        <f t="shared" si="112"/>
        <v>575</v>
      </c>
      <c r="W800" t="str">
        <f t="shared" si="113"/>
        <v>Sufficient Stock</v>
      </c>
      <c r="X800" s="9">
        <f t="shared" si="114"/>
        <v>45597</v>
      </c>
      <c r="Y800">
        <f t="shared" si="115"/>
        <v>52</v>
      </c>
      <c r="Z800" t="str">
        <f t="shared" si="116"/>
        <v>High Risk</v>
      </c>
    </row>
    <row r="801" spans="1:26" x14ac:dyDescent="0.4">
      <c r="A801" t="s">
        <v>3206</v>
      </c>
      <c r="B801" t="s">
        <v>1761</v>
      </c>
      <c r="C801" t="s">
        <v>169</v>
      </c>
      <c r="D801" t="s">
        <v>3207</v>
      </c>
      <c r="E801" t="s">
        <v>2025</v>
      </c>
      <c r="F801">
        <v>78</v>
      </c>
      <c r="G801">
        <v>68</v>
      </c>
      <c r="H801">
        <v>86</v>
      </c>
      <c r="I801" t="s">
        <v>320</v>
      </c>
      <c r="J801" s="7">
        <f t="shared" si="108"/>
        <v>15</v>
      </c>
      <c r="K801" t="s">
        <v>718</v>
      </c>
      <c r="L801" s="1">
        <f t="shared" si="109"/>
        <v>45376</v>
      </c>
      <c r="M801" t="s">
        <v>300</v>
      </c>
      <c r="N801" s="1">
        <f t="shared" si="110"/>
        <v>45371</v>
      </c>
      <c r="O801" t="s">
        <v>158</v>
      </c>
      <c r="P801" s="1">
        <f t="shared" si="111"/>
        <v>45654</v>
      </c>
      <c r="Q801" t="s">
        <v>3208</v>
      </c>
      <c r="R801">
        <v>47</v>
      </c>
      <c r="S801">
        <v>95</v>
      </c>
      <c r="T801" t="s">
        <v>26</v>
      </c>
      <c r="U801" s="8">
        <v>705</v>
      </c>
      <c r="V801" s="8">
        <f t="shared" si="112"/>
        <v>1170</v>
      </c>
      <c r="W801" t="str">
        <f t="shared" si="113"/>
        <v>Sufficient Stock</v>
      </c>
      <c r="X801" s="9">
        <f t="shared" si="114"/>
        <v>45352</v>
      </c>
      <c r="Y801">
        <f t="shared" si="115"/>
        <v>278</v>
      </c>
      <c r="Z801" t="str">
        <f t="shared" si="116"/>
        <v>Low Risk</v>
      </c>
    </row>
    <row r="802" spans="1:26" x14ac:dyDescent="0.4">
      <c r="A802" t="s">
        <v>3209</v>
      </c>
      <c r="B802" t="s">
        <v>492</v>
      </c>
      <c r="C802" t="s">
        <v>77</v>
      </c>
      <c r="D802" t="s">
        <v>3210</v>
      </c>
      <c r="E802" t="s">
        <v>1183</v>
      </c>
      <c r="F802">
        <v>85</v>
      </c>
      <c r="G802">
        <v>66</v>
      </c>
      <c r="H802">
        <v>85</v>
      </c>
      <c r="I802" t="s">
        <v>771</v>
      </c>
      <c r="J802" s="7">
        <f t="shared" si="108"/>
        <v>4.2</v>
      </c>
      <c r="K802" s="1">
        <v>45809</v>
      </c>
      <c r="L802" s="1">
        <f t="shared" si="109"/>
        <v>45809</v>
      </c>
      <c r="M802" t="s">
        <v>969</v>
      </c>
      <c r="N802" s="1">
        <f t="shared" si="110"/>
        <v>45596</v>
      </c>
      <c r="O802" s="1">
        <v>45544</v>
      </c>
      <c r="P802" s="1">
        <f t="shared" si="111"/>
        <v>45544</v>
      </c>
      <c r="Q802" t="s">
        <v>3211</v>
      </c>
      <c r="R802">
        <v>65</v>
      </c>
      <c r="S802">
        <v>58</v>
      </c>
      <c r="T802" t="s">
        <v>26</v>
      </c>
      <c r="U802" s="8">
        <v>273</v>
      </c>
      <c r="V802" s="8">
        <f t="shared" si="112"/>
        <v>357</v>
      </c>
      <c r="W802" t="str">
        <f t="shared" si="113"/>
        <v>Sufficient Stock</v>
      </c>
      <c r="X802" s="9">
        <f t="shared" si="114"/>
        <v>45809</v>
      </c>
      <c r="Y802">
        <f t="shared" si="115"/>
        <v>-265</v>
      </c>
      <c r="Z802" t="str">
        <f t="shared" si="116"/>
        <v>Invalid Data</v>
      </c>
    </row>
    <row r="803" spans="1:26" x14ac:dyDescent="0.4">
      <c r="A803" t="s">
        <v>3212</v>
      </c>
      <c r="B803" t="s">
        <v>722</v>
      </c>
      <c r="C803" t="s">
        <v>54</v>
      </c>
      <c r="D803" t="s">
        <v>3213</v>
      </c>
      <c r="E803" t="s">
        <v>2955</v>
      </c>
      <c r="F803">
        <v>65</v>
      </c>
      <c r="G803">
        <v>69</v>
      </c>
      <c r="H803">
        <v>4</v>
      </c>
      <c r="I803" t="s">
        <v>39</v>
      </c>
      <c r="J803" s="7">
        <f t="shared" si="108"/>
        <v>6</v>
      </c>
      <c r="K803" t="s">
        <v>882</v>
      </c>
      <c r="L803" s="1">
        <f t="shared" si="109"/>
        <v>45518</v>
      </c>
      <c r="M803" t="s">
        <v>1005</v>
      </c>
      <c r="N803" s="1">
        <f t="shared" si="110"/>
        <v>45458</v>
      </c>
      <c r="O803" t="s">
        <v>244</v>
      </c>
      <c r="P803" s="1">
        <f t="shared" si="111"/>
        <v>45578</v>
      </c>
      <c r="Q803" t="s">
        <v>3214</v>
      </c>
      <c r="R803">
        <v>80</v>
      </c>
      <c r="S803">
        <v>26</v>
      </c>
      <c r="T803" t="s">
        <v>51</v>
      </c>
      <c r="U803" s="8">
        <v>480</v>
      </c>
      <c r="V803" s="8">
        <f t="shared" si="112"/>
        <v>390</v>
      </c>
      <c r="W803" t="str">
        <f t="shared" si="113"/>
        <v>Reorder Required</v>
      </c>
      <c r="X803" s="9">
        <f t="shared" si="114"/>
        <v>45505</v>
      </c>
      <c r="Y803">
        <f t="shared" si="115"/>
        <v>60</v>
      </c>
      <c r="Z803" t="str">
        <f t="shared" si="116"/>
        <v>High Risk</v>
      </c>
    </row>
    <row r="804" spans="1:26" x14ac:dyDescent="0.4">
      <c r="A804" t="s">
        <v>3215</v>
      </c>
      <c r="B804" t="s">
        <v>248</v>
      </c>
      <c r="C804" t="s">
        <v>68</v>
      </c>
      <c r="D804" t="s">
        <v>3216</v>
      </c>
      <c r="E804" t="s">
        <v>1747</v>
      </c>
      <c r="F804">
        <v>36</v>
      </c>
      <c r="G804">
        <v>3</v>
      </c>
      <c r="H804">
        <v>54</v>
      </c>
      <c r="I804" t="s">
        <v>39</v>
      </c>
      <c r="J804" s="7">
        <f t="shared" si="108"/>
        <v>6</v>
      </c>
      <c r="K804" s="1">
        <v>45354</v>
      </c>
      <c r="L804" s="1">
        <f t="shared" si="109"/>
        <v>45354</v>
      </c>
      <c r="M804" t="s">
        <v>1369</v>
      </c>
      <c r="N804" s="1">
        <f t="shared" si="110"/>
        <v>45456</v>
      </c>
      <c r="O804" t="s">
        <v>115</v>
      </c>
      <c r="P804" s="1">
        <f t="shared" si="111"/>
        <v>45639</v>
      </c>
      <c r="Q804" t="s">
        <v>3217</v>
      </c>
      <c r="R804">
        <v>74</v>
      </c>
      <c r="S804">
        <v>8</v>
      </c>
      <c r="T804" t="s">
        <v>26</v>
      </c>
      <c r="U804" s="8">
        <v>444</v>
      </c>
      <c r="V804" s="8">
        <f t="shared" si="112"/>
        <v>216</v>
      </c>
      <c r="W804" t="str">
        <f t="shared" si="113"/>
        <v>Sufficient Stock</v>
      </c>
      <c r="X804" s="9">
        <f t="shared" si="114"/>
        <v>45352</v>
      </c>
      <c r="Y804">
        <f t="shared" si="115"/>
        <v>285</v>
      </c>
      <c r="Z804" t="str">
        <f t="shared" si="116"/>
        <v>Low Risk</v>
      </c>
    </row>
    <row r="805" spans="1:26" x14ac:dyDescent="0.4">
      <c r="A805" t="s">
        <v>3218</v>
      </c>
      <c r="B805" t="s">
        <v>521</v>
      </c>
      <c r="C805" t="s">
        <v>54</v>
      </c>
      <c r="D805" t="s">
        <v>3219</v>
      </c>
      <c r="E805" t="s">
        <v>3220</v>
      </c>
      <c r="F805">
        <v>26</v>
      </c>
      <c r="G805">
        <v>63</v>
      </c>
      <c r="H805">
        <v>88</v>
      </c>
      <c r="I805" t="s">
        <v>523</v>
      </c>
      <c r="J805" s="7">
        <f t="shared" si="108"/>
        <v>1.2</v>
      </c>
      <c r="K805" s="1">
        <v>45540</v>
      </c>
      <c r="L805" s="1">
        <f t="shared" si="109"/>
        <v>45540</v>
      </c>
      <c r="M805" t="s">
        <v>462</v>
      </c>
      <c r="N805" s="1">
        <f t="shared" si="110"/>
        <v>45351</v>
      </c>
      <c r="O805" t="s">
        <v>100</v>
      </c>
      <c r="P805" s="1">
        <f t="shared" si="111"/>
        <v>45436</v>
      </c>
      <c r="Q805" t="s">
        <v>3221</v>
      </c>
      <c r="R805">
        <v>84</v>
      </c>
      <c r="S805">
        <v>70</v>
      </c>
      <c r="T805" t="s">
        <v>51</v>
      </c>
      <c r="U805" s="8">
        <v>100.8</v>
      </c>
      <c r="V805" s="8">
        <f t="shared" si="112"/>
        <v>31.2</v>
      </c>
      <c r="W805" t="str">
        <f t="shared" si="113"/>
        <v>Reorder Required</v>
      </c>
      <c r="X805" s="9">
        <f t="shared" si="114"/>
        <v>45536</v>
      </c>
      <c r="Y805">
        <f t="shared" si="115"/>
        <v>-104</v>
      </c>
      <c r="Z805" t="str">
        <f t="shared" si="116"/>
        <v>Invalid Data</v>
      </c>
    </row>
    <row r="806" spans="1:26" x14ac:dyDescent="0.4">
      <c r="A806" t="s">
        <v>3222</v>
      </c>
      <c r="B806" t="s">
        <v>1086</v>
      </c>
      <c r="C806" t="s">
        <v>68</v>
      </c>
      <c r="D806" t="s">
        <v>3223</v>
      </c>
      <c r="E806" t="s">
        <v>1549</v>
      </c>
      <c r="F806">
        <v>39</v>
      </c>
      <c r="G806">
        <v>13</v>
      </c>
      <c r="H806">
        <v>13</v>
      </c>
      <c r="I806" t="s">
        <v>71</v>
      </c>
      <c r="J806" s="7">
        <f t="shared" si="108"/>
        <v>2.5</v>
      </c>
      <c r="K806" t="s">
        <v>556</v>
      </c>
      <c r="L806" s="1">
        <f t="shared" si="109"/>
        <v>45548</v>
      </c>
      <c r="M806" t="s">
        <v>48</v>
      </c>
      <c r="N806" s="1">
        <f t="shared" si="110"/>
        <v>45707</v>
      </c>
      <c r="O806" t="s">
        <v>1238</v>
      </c>
      <c r="P806" s="1">
        <f t="shared" si="111"/>
        <v>45365</v>
      </c>
      <c r="Q806" t="s">
        <v>3224</v>
      </c>
      <c r="R806">
        <v>84</v>
      </c>
      <c r="S806">
        <v>93</v>
      </c>
      <c r="T806" t="s">
        <v>51</v>
      </c>
      <c r="U806" s="8">
        <v>210</v>
      </c>
      <c r="V806" s="8">
        <f t="shared" si="112"/>
        <v>97.5</v>
      </c>
      <c r="W806" t="str">
        <f t="shared" si="113"/>
        <v>Sufficient Stock</v>
      </c>
      <c r="X806" s="9">
        <f t="shared" si="114"/>
        <v>45536</v>
      </c>
      <c r="Y806">
        <f t="shared" si="115"/>
        <v>-183</v>
      </c>
      <c r="Z806" t="str">
        <f t="shared" si="116"/>
        <v>Invalid Data</v>
      </c>
    </row>
    <row r="807" spans="1:26" x14ac:dyDescent="0.4">
      <c r="A807" t="s">
        <v>3225</v>
      </c>
      <c r="B807" t="s">
        <v>103</v>
      </c>
      <c r="C807" t="s">
        <v>18</v>
      </c>
      <c r="D807" t="s">
        <v>3226</v>
      </c>
      <c r="E807" t="s">
        <v>2442</v>
      </c>
      <c r="F807">
        <v>39</v>
      </c>
      <c r="G807">
        <v>83</v>
      </c>
      <c r="H807">
        <v>21</v>
      </c>
      <c r="I807" t="s">
        <v>106</v>
      </c>
      <c r="J807" s="7">
        <f t="shared" si="108"/>
        <v>2</v>
      </c>
      <c r="K807" t="s">
        <v>509</v>
      </c>
      <c r="L807" s="1">
        <f t="shared" si="109"/>
        <v>45657</v>
      </c>
      <c r="M807" t="s">
        <v>956</v>
      </c>
      <c r="N807" s="1">
        <f t="shared" si="110"/>
        <v>45405</v>
      </c>
      <c r="O807" s="1">
        <v>45630</v>
      </c>
      <c r="P807" s="1">
        <f t="shared" si="111"/>
        <v>45630</v>
      </c>
      <c r="Q807" t="s">
        <v>3227</v>
      </c>
      <c r="R807">
        <v>73</v>
      </c>
      <c r="S807">
        <v>88</v>
      </c>
      <c r="T807" t="s">
        <v>51</v>
      </c>
      <c r="U807" s="8">
        <v>146</v>
      </c>
      <c r="V807" s="8">
        <f t="shared" si="112"/>
        <v>78</v>
      </c>
      <c r="W807" t="str">
        <f t="shared" si="113"/>
        <v>Reorder Required</v>
      </c>
      <c r="X807" s="9">
        <f t="shared" si="114"/>
        <v>45627</v>
      </c>
      <c r="Y807">
        <f t="shared" si="115"/>
        <v>-27</v>
      </c>
      <c r="Z807" t="str">
        <f t="shared" si="116"/>
        <v>Invalid Data</v>
      </c>
    </row>
    <row r="808" spans="1:26" x14ac:dyDescent="0.4">
      <c r="A808" t="s">
        <v>3228</v>
      </c>
      <c r="B808" t="s">
        <v>184</v>
      </c>
      <c r="C808" t="s">
        <v>54</v>
      </c>
      <c r="D808" t="s">
        <v>3229</v>
      </c>
      <c r="E808" t="s">
        <v>306</v>
      </c>
      <c r="F808">
        <v>83</v>
      </c>
      <c r="G808">
        <v>61</v>
      </c>
      <c r="H808">
        <v>4</v>
      </c>
      <c r="I808" t="s">
        <v>91</v>
      </c>
      <c r="J808" s="7">
        <f t="shared" si="108"/>
        <v>1</v>
      </c>
      <c r="K808" t="s">
        <v>1080</v>
      </c>
      <c r="L808" s="1">
        <f t="shared" si="109"/>
        <v>45551</v>
      </c>
      <c r="M808" s="1">
        <v>45423</v>
      </c>
      <c r="N808" s="1">
        <f t="shared" si="110"/>
        <v>45423</v>
      </c>
      <c r="O808" t="s">
        <v>420</v>
      </c>
      <c r="P808" s="1">
        <f t="shared" si="111"/>
        <v>45589</v>
      </c>
      <c r="Q808" t="s">
        <v>3230</v>
      </c>
      <c r="R808">
        <v>35</v>
      </c>
      <c r="S808">
        <v>7</v>
      </c>
      <c r="T808" t="s">
        <v>42</v>
      </c>
      <c r="U808" s="8">
        <v>35</v>
      </c>
      <c r="V808" s="8">
        <f t="shared" si="112"/>
        <v>83</v>
      </c>
      <c r="W808" t="str">
        <f t="shared" si="113"/>
        <v>Sufficient Stock</v>
      </c>
      <c r="X808" s="9">
        <f t="shared" si="114"/>
        <v>45536</v>
      </c>
      <c r="Y808">
        <f t="shared" si="115"/>
        <v>38</v>
      </c>
      <c r="Z808" t="str">
        <f t="shared" si="116"/>
        <v>High Risk</v>
      </c>
    </row>
    <row r="809" spans="1:26" x14ac:dyDescent="0.4">
      <c r="A809" t="s">
        <v>3231</v>
      </c>
      <c r="B809" t="s">
        <v>233</v>
      </c>
      <c r="C809" t="s">
        <v>54</v>
      </c>
      <c r="D809" t="s">
        <v>3232</v>
      </c>
      <c r="E809" t="s">
        <v>2482</v>
      </c>
      <c r="F809">
        <v>28</v>
      </c>
      <c r="G809">
        <v>5</v>
      </c>
      <c r="H809">
        <v>9</v>
      </c>
      <c r="I809" t="s">
        <v>466</v>
      </c>
      <c r="J809" s="7">
        <f t="shared" si="108"/>
        <v>1.8</v>
      </c>
      <c r="K809" t="s">
        <v>467</v>
      </c>
      <c r="L809" s="1">
        <f t="shared" si="109"/>
        <v>45673</v>
      </c>
      <c r="M809" t="s">
        <v>467</v>
      </c>
      <c r="N809" s="1">
        <f t="shared" si="110"/>
        <v>45673</v>
      </c>
      <c r="O809" s="1">
        <v>45385</v>
      </c>
      <c r="P809" s="1">
        <f t="shared" si="111"/>
        <v>45385</v>
      </c>
      <c r="Q809" t="s">
        <v>3233</v>
      </c>
      <c r="R809">
        <v>33</v>
      </c>
      <c r="S809">
        <v>9</v>
      </c>
      <c r="T809" t="s">
        <v>26</v>
      </c>
      <c r="U809" s="8">
        <v>59.4</v>
      </c>
      <c r="V809" s="8">
        <f t="shared" si="112"/>
        <v>50.4</v>
      </c>
      <c r="W809" t="str">
        <f t="shared" si="113"/>
        <v>Sufficient Stock</v>
      </c>
      <c r="X809" s="9">
        <f t="shared" si="114"/>
        <v>45658</v>
      </c>
      <c r="Y809">
        <f t="shared" si="115"/>
        <v>-288</v>
      </c>
      <c r="Z809" t="str">
        <f t="shared" si="116"/>
        <v>Invalid Data</v>
      </c>
    </row>
    <row r="810" spans="1:26" x14ac:dyDescent="0.4">
      <c r="A810" t="s">
        <v>3234</v>
      </c>
      <c r="B810" t="s">
        <v>814</v>
      </c>
      <c r="C810" t="s">
        <v>169</v>
      </c>
      <c r="D810" t="s">
        <v>3235</v>
      </c>
      <c r="E810" t="s">
        <v>1747</v>
      </c>
      <c r="F810">
        <v>85</v>
      </c>
      <c r="G810">
        <v>17</v>
      </c>
      <c r="H810">
        <v>96</v>
      </c>
      <c r="I810" t="s">
        <v>817</v>
      </c>
      <c r="J810" s="7">
        <f t="shared" si="108"/>
        <v>18</v>
      </c>
      <c r="K810" s="1">
        <v>45423</v>
      </c>
      <c r="L810" s="1">
        <f t="shared" si="109"/>
        <v>45423</v>
      </c>
      <c r="M810" s="1">
        <v>45329</v>
      </c>
      <c r="N810" s="1">
        <f t="shared" si="110"/>
        <v>45329</v>
      </c>
      <c r="O810" s="1">
        <v>45508</v>
      </c>
      <c r="P810" s="1">
        <f t="shared" si="111"/>
        <v>45508</v>
      </c>
      <c r="Q810" t="s">
        <v>3236</v>
      </c>
      <c r="R810">
        <v>92</v>
      </c>
      <c r="S810">
        <v>34</v>
      </c>
      <c r="T810" t="s">
        <v>26</v>
      </c>
      <c r="U810" s="8">
        <v>1656</v>
      </c>
      <c r="V810" s="8">
        <f t="shared" si="112"/>
        <v>1530</v>
      </c>
      <c r="W810" t="str">
        <f t="shared" si="113"/>
        <v>Sufficient Stock</v>
      </c>
      <c r="X810" s="9">
        <f t="shared" si="114"/>
        <v>45413</v>
      </c>
      <c r="Y810">
        <f t="shared" si="115"/>
        <v>85</v>
      </c>
      <c r="Z810" t="str">
        <f t="shared" si="116"/>
        <v>High Risk</v>
      </c>
    </row>
    <row r="811" spans="1:26" x14ac:dyDescent="0.4">
      <c r="A811" t="s">
        <v>3237</v>
      </c>
      <c r="B811" t="s">
        <v>1104</v>
      </c>
      <c r="C811" t="s">
        <v>54</v>
      </c>
      <c r="D811" t="s">
        <v>3238</v>
      </c>
      <c r="E811" t="s">
        <v>1330</v>
      </c>
      <c r="F811">
        <v>76</v>
      </c>
      <c r="G811">
        <v>39</v>
      </c>
      <c r="H811">
        <v>15</v>
      </c>
      <c r="I811" t="s">
        <v>106</v>
      </c>
      <c r="J811" s="7">
        <f t="shared" si="108"/>
        <v>2</v>
      </c>
      <c r="K811" s="1">
        <v>45455</v>
      </c>
      <c r="L811" s="1">
        <f t="shared" si="109"/>
        <v>45455</v>
      </c>
      <c r="M811" t="s">
        <v>260</v>
      </c>
      <c r="N811" s="1">
        <f t="shared" si="110"/>
        <v>45466</v>
      </c>
      <c r="O811" t="s">
        <v>22</v>
      </c>
      <c r="P811" s="1">
        <f t="shared" si="111"/>
        <v>45520</v>
      </c>
      <c r="Q811" t="s">
        <v>3239</v>
      </c>
      <c r="R811">
        <v>77</v>
      </c>
      <c r="S811">
        <v>70</v>
      </c>
      <c r="T811" t="s">
        <v>42</v>
      </c>
      <c r="U811" s="8">
        <v>154</v>
      </c>
      <c r="V811" s="8">
        <f t="shared" si="112"/>
        <v>152</v>
      </c>
      <c r="W811" t="str">
        <f t="shared" si="113"/>
        <v>Sufficient Stock</v>
      </c>
      <c r="X811" s="9">
        <f t="shared" si="114"/>
        <v>45444</v>
      </c>
      <c r="Y811">
        <f t="shared" si="115"/>
        <v>65</v>
      </c>
      <c r="Z811" t="str">
        <f t="shared" si="116"/>
        <v>High Risk</v>
      </c>
    </row>
    <row r="812" spans="1:26" x14ac:dyDescent="0.4">
      <c r="A812" t="s">
        <v>3240</v>
      </c>
      <c r="B812" t="s">
        <v>1538</v>
      </c>
      <c r="C812" t="s">
        <v>54</v>
      </c>
      <c r="D812" t="s">
        <v>3241</v>
      </c>
      <c r="E812" t="s">
        <v>1736</v>
      </c>
      <c r="F812">
        <v>100</v>
      </c>
      <c r="G812">
        <v>64</v>
      </c>
      <c r="H812">
        <v>62</v>
      </c>
      <c r="I812" t="s">
        <v>71</v>
      </c>
      <c r="J812" s="7">
        <f t="shared" si="108"/>
        <v>2.5</v>
      </c>
      <c r="K812" t="s">
        <v>1179</v>
      </c>
      <c r="L812" s="1">
        <f t="shared" si="109"/>
        <v>45641</v>
      </c>
      <c r="M812" t="s">
        <v>2285</v>
      </c>
      <c r="N812" s="1">
        <f t="shared" si="110"/>
        <v>45656</v>
      </c>
      <c r="O812" t="s">
        <v>301</v>
      </c>
      <c r="P812" s="1">
        <f t="shared" si="111"/>
        <v>45528</v>
      </c>
      <c r="Q812" t="s">
        <v>3242</v>
      </c>
      <c r="R812">
        <v>84</v>
      </c>
      <c r="S812">
        <v>44</v>
      </c>
      <c r="T812" t="s">
        <v>26</v>
      </c>
      <c r="U812" s="8">
        <v>210</v>
      </c>
      <c r="V812" s="8">
        <f t="shared" si="112"/>
        <v>250</v>
      </c>
      <c r="W812" t="str">
        <f t="shared" si="113"/>
        <v>Sufficient Stock</v>
      </c>
      <c r="X812" s="9">
        <f t="shared" si="114"/>
        <v>45627</v>
      </c>
      <c r="Y812">
        <f t="shared" si="115"/>
        <v>-113</v>
      </c>
      <c r="Z812" t="str">
        <f t="shared" si="116"/>
        <v>Invalid Data</v>
      </c>
    </row>
    <row r="813" spans="1:26" x14ac:dyDescent="0.4">
      <c r="A813" t="s">
        <v>3243</v>
      </c>
      <c r="B813" t="s">
        <v>722</v>
      </c>
      <c r="C813" t="s">
        <v>54</v>
      </c>
      <c r="D813" t="s">
        <v>3244</v>
      </c>
      <c r="E813" t="s">
        <v>3245</v>
      </c>
      <c r="F813">
        <v>17</v>
      </c>
      <c r="G813">
        <v>45</v>
      </c>
      <c r="H813">
        <v>44</v>
      </c>
      <c r="I813" t="s">
        <v>39</v>
      </c>
      <c r="J813" s="7">
        <f t="shared" si="108"/>
        <v>6</v>
      </c>
      <c r="K813" t="s">
        <v>915</v>
      </c>
      <c r="L813" s="1">
        <f t="shared" si="109"/>
        <v>45498</v>
      </c>
      <c r="M813" s="1">
        <v>45355</v>
      </c>
      <c r="N813" s="1">
        <f t="shared" si="110"/>
        <v>45355</v>
      </c>
      <c r="O813" s="1">
        <v>45575</v>
      </c>
      <c r="P813" s="1">
        <f t="shared" si="111"/>
        <v>45575</v>
      </c>
      <c r="Q813" t="s">
        <v>3246</v>
      </c>
      <c r="R813">
        <v>37</v>
      </c>
      <c r="S813">
        <v>16</v>
      </c>
      <c r="T813" t="s">
        <v>51</v>
      </c>
      <c r="U813" s="8">
        <v>222</v>
      </c>
      <c r="V813" s="8">
        <f t="shared" si="112"/>
        <v>102</v>
      </c>
      <c r="W813" t="str">
        <f t="shared" si="113"/>
        <v>Reorder Required</v>
      </c>
      <c r="X813" s="9">
        <f t="shared" si="114"/>
        <v>45474</v>
      </c>
      <c r="Y813">
        <f t="shared" si="115"/>
        <v>77</v>
      </c>
      <c r="Z813" t="str">
        <f t="shared" si="116"/>
        <v>High Risk</v>
      </c>
    </row>
    <row r="814" spans="1:26" x14ac:dyDescent="0.4">
      <c r="A814" t="s">
        <v>3247</v>
      </c>
      <c r="B814" t="s">
        <v>1017</v>
      </c>
      <c r="C814" t="s">
        <v>169</v>
      </c>
      <c r="D814" t="s">
        <v>3248</v>
      </c>
      <c r="E814" t="s">
        <v>1065</v>
      </c>
      <c r="F814">
        <v>51</v>
      </c>
      <c r="G814">
        <v>35</v>
      </c>
      <c r="H814">
        <v>95</v>
      </c>
      <c r="I814" t="s">
        <v>591</v>
      </c>
      <c r="J814" s="7">
        <f t="shared" si="108"/>
        <v>10</v>
      </c>
      <c r="K814" t="s">
        <v>548</v>
      </c>
      <c r="L814" s="1">
        <f t="shared" si="109"/>
        <v>45587</v>
      </c>
      <c r="M814" s="1">
        <v>45509</v>
      </c>
      <c r="N814" s="1">
        <f t="shared" si="110"/>
        <v>45509</v>
      </c>
      <c r="O814" t="s">
        <v>22</v>
      </c>
      <c r="P814" s="1">
        <f t="shared" si="111"/>
        <v>45520</v>
      </c>
      <c r="Q814" t="s">
        <v>3249</v>
      </c>
      <c r="R814">
        <v>80</v>
      </c>
      <c r="S814">
        <v>89</v>
      </c>
      <c r="T814" t="s">
        <v>42</v>
      </c>
      <c r="U814" s="8">
        <v>800</v>
      </c>
      <c r="V814" s="8">
        <f t="shared" si="112"/>
        <v>510</v>
      </c>
      <c r="W814" t="str">
        <f t="shared" si="113"/>
        <v>Sufficient Stock</v>
      </c>
      <c r="X814" s="9">
        <f t="shared" si="114"/>
        <v>45566</v>
      </c>
      <c r="Y814">
        <f t="shared" si="115"/>
        <v>-67</v>
      </c>
      <c r="Z814" t="str">
        <f t="shared" si="116"/>
        <v>Invalid Data</v>
      </c>
    </row>
    <row r="815" spans="1:26" x14ac:dyDescent="0.4">
      <c r="A815" t="s">
        <v>3250</v>
      </c>
      <c r="B815" t="s">
        <v>1383</v>
      </c>
      <c r="C815" t="s">
        <v>54</v>
      </c>
      <c r="D815" t="s">
        <v>3251</v>
      </c>
      <c r="E815" t="s">
        <v>227</v>
      </c>
      <c r="F815">
        <v>54</v>
      </c>
      <c r="G815">
        <v>88</v>
      </c>
      <c r="H815">
        <v>43</v>
      </c>
      <c r="I815" t="s">
        <v>1386</v>
      </c>
      <c r="J815" s="7">
        <f t="shared" si="108"/>
        <v>5.5</v>
      </c>
      <c r="K815" s="1">
        <v>45993</v>
      </c>
      <c r="L815" s="1">
        <f t="shared" si="109"/>
        <v>45993</v>
      </c>
      <c r="M815" t="s">
        <v>100</v>
      </c>
      <c r="N815" s="1">
        <f t="shared" si="110"/>
        <v>45436</v>
      </c>
      <c r="O815" t="s">
        <v>637</v>
      </c>
      <c r="P815" s="1">
        <f t="shared" si="111"/>
        <v>45401</v>
      </c>
      <c r="Q815" t="s">
        <v>3252</v>
      </c>
      <c r="R815">
        <v>81</v>
      </c>
      <c r="S815">
        <v>77</v>
      </c>
      <c r="T815" t="s">
        <v>42</v>
      </c>
      <c r="U815" s="8">
        <v>445.5</v>
      </c>
      <c r="V815" s="8">
        <f t="shared" si="112"/>
        <v>297</v>
      </c>
      <c r="W815" t="str">
        <f t="shared" si="113"/>
        <v>Reorder Required</v>
      </c>
      <c r="X815" s="9">
        <f t="shared" si="114"/>
        <v>45992</v>
      </c>
      <c r="Y815">
        <f t="shared" si="115"/>
        <v>-592</v>
      </c>
      <c r="Z815" t="str">
        <f t="shared" si="116"/>
        <v>Invalid Data</v>
      </c>
    </row>
    <row r="816" spans="1:26" x14ac:dyDescent="0.4">
      <c r="A816" t="s">
        <v>3253</v>
      </c>
      <c r="B816" t="s">
        <v>363</v>
      </c>
      <c r="C816" t="s">
        <v>112</v>
      </c>
      <c r="D816" t="s">
        <v>3254</v>
      </c>
      <c r="E816" t="s">
        <v>1347</v>
      </c>
      <c r="F816">
        <v>94</v>
      </c>
      <c r="G816">
        <v>56</v>
      </c>
      <c r="H816">
        <v>80</v>
      </c>
      <c r="I816" t="s">
        <v>57</v>
      </c>
      <c r="J816" s="7">
        <f t="shared" si="108"/>
        <v>4</v>
      </c>
      <c r="K816" s="1">
        <v>45748</v>
      </c>
      <c r="L816" s="1">
        <f t="shared" si="109"/>
        <v>45748</v>
      </c>
      <c r="M816" s="1">
        <v>45334</v>
      </c>
      <c r="N816" s="1">
        <f t="shared" si="110"/>
        <v>45334</v>
      </c>
      <c r="O816" t="s">
        <v>1351</v>
      </c>
      <c r="P816" s="1">
        <f t="shared" si="111"/>
        <v>45562</v>
      </c>
      <c r="Q816" t="s">
        <v>3255</v>
      </c>
      <c r="R816">
        <v>47</v>
      </c>
      <c r="S816">
        <v>96</v>
      </c>
      <c r="T816" t="s">
        <v>42</v>
      </c>
      <c r="U816" s="8">
        <v>188</v>
      </c>
      <c r="V816" s="8">
        <f t="shared" si="112"/>
        <v>376</v>
      </c>
      <c r="W816" t="str">
        <f t="shared" si="113"/>
        <v>Sufficient Stock</v>
      </c>
      <c r="X816" s="9">
        <f t="shared" si="114"/>
        <v>45748</v>
      </c>
      <c r="Y816">
        <f t="shared" si="115"/>
        <v>-186</v>
      </c>
      <c r="Z816" t="str">
        <f t="shared" si="116"/>
        <v>Invalid Data</v>
      </c>
    </row>
    <row r="817" spans="1:26" x14ac:dyDescent="0.4">
      <c r="A817" t="s">
        <v>3256</v>
      </c>
      <c r="B817" t="s">
        <v>962</v>
      </c>
      <c r="C817" t="s">
        <v>54</v>
      </c>
      <c r="D817" t="s">
        <v>3257</v>
      </c>
      <c r="E817" t="s">
        <v>114</v>
      </c>
      <c r="F817">
        <v>34</v>
      </c>
      <c r="G817">
        <v>95</v>
      </c>
      <c r="H817">
        <v>18</v>
      </c>
      <c r="I817" t="s">
        <v>220</v>
      </c>
      <c r="J817" s="7">
        <f t="shared" si="108"/>
        <v>5</v>
      </c>
      <c r="K817" t="s">
        <v>108</v>
      </c>
      <c r="L817" s="1">
        <f t="shared" si="109"/>
        <v>45579</v>
      </c>
      <c r="M817" t="s">
        <v>383</v>
      </c>
      <c r="N817" s="1">
        <f t="shared" si="110"/>
        <v>45582</v>
      </c>
      <c r="O817" s="1">
        <v>45631</v>
      </c>
      <c r="P817" s="1">
        <f t="shared" si="111"/>
        <v>45631</v>
      </c>
      <c r="Q817" t="s">
        <v>3258</v>
      </c>
      <c r="R817">
        <v>41</v>
      </c>
      <c r="S817">
        <v>26</v>
      </c>
      <c r="T817" t="s">
        <v>26</v>
      </c>
      <c r="U817" s="8">
        <v>205</v>
      </c>
      <c r="V817" s="8">
        <f t="shared" si="112"/>
        <v>170</v>
      </c>
      <c r="W817" t="str">
        <f t="shared" si="113"/>
        <v>Reorder Required</v>
      </c>
      <c r="X817" s="9">
        <f t="shared" si="114"/>
        <v>45566</v>
      </c>
      <c r="Y817">
        <f t="shared" si="115"/>
        <v>52</v>
      </c>
      <c r="Z817" t="str">
        <f t="shared" si="116"/>
        <v>High Risk</v>
      </c>
    </row>
    <row r="818" spans="1:26" x14ac:dyDescent="0.4">
      <c r="A818" t="s">
        <v>3259</v>
      </c>
      <c r="B818" t="s">
        <v>255</v>
      </c>
      <c r="C818" t="s">
        <v>29</v>
      </c>
      <c r="D818" t="s">
        <v>3260</v>
      </c>
      <c r="E818" t="s">
        <v>3261</v>
      </c>
      <c r="F818">
        <v>27</v>
      </c>
      <c r="G818">
        <v>1</v>
      </c>
      <c r="H818">
        <v>3</v>
      </c>
      <c r="I818" t="s">
        <v>258</v>
      </c>
      <c r="J818" s="7">
        <f t="shared" si="108"/>
        <v>30</v>
      </c>
      <c r="K818" t="s">
        <v>1141</v>
      </c>
      <c r="L818" s="1">
        <f t="shared" si="109"/>
        <v>45398</v>
      </c>
      <c r="M818" s="1">
        <v>45543</v>
      </c>
      <c r="N818" s="1">
        <f t="shared" si="110"/>
        <v>45543</v>
      </c>
      <c r="O818" t="s">
        <v>367</v>
      </c>
      <c r="P818" s="1">
        <f t="shared" si="111"/>
        <v>45624</v>
      </c>
      <c r="Q818" t="s">
        <v>3262</v>
      </c>
      <c r="R818">
        <v>34</v>
      </c>
      <c r="S818">
        <v>63</v>
      </c>
      <c r="T818" t="s">
        <v>42</v>
      </c>
      <c r="U818" s="8">
        <v>1020</v>
      </c>
      <c r="V818" s="8">
        <f t="shared" si="112"/>
        <v>810</v>
      </c>
      <c r="W818" t="str">
        <f t="shared" si="113"/>
        <v>Sufficient Stock</v>
      </c>
      <c r="X818" s="9">
        <f t="shared" si="114"/>
        <v>45383</v>
      </c>
      <c r="Y818">
        <f t="shared" si="115"/>
        <v>226</v>
      </c>
      <c r="Z818" t="str">
        <f t="shared" si="116"/>
        <v>Low Risk</v>
      </c>
    </row>
    <row r="819" spans="1:26" x14ac:dyDescent="0.4">
      <c r="A819" t="s">
        <v>3263</v>
      </c>
      <c r="B819" t="s">
        <v>60</v>
      </c>
      <c r="C819" t="s">
        <v>18</v>
      </c>
      <c r="D819" t="s">
        <v>3264</v>
      </c>
      <c r="E819" t="s">
        <v>257</v>
      </c>
      <c r="F819">
        <v>50</v>
      </c>
      <c r="G819">
        <v>42</v>
      </c>
      <c r="H819">
        <v>20</v>
      </c>
      <c r="I819" t="s">
        <v>63</v>
      </c>
      <c r="J819" s="7">
        <f t="shared" si="108"/>
        <v>1.75</v>
      </c>
      <c r="K819" s="1">
        <v>45454</v>
      </c>
      <c r="L819" s="1">
        <f t="shared" si="109"/>
        <v>45454</v>
      </c>
      <c r="M819" t="s">
        <v>48</v>
      </c>
      <c r="N819" s="1">
        <f t="shared" si="110"/>
        <v>45707</v>
      </c>
      <c r="O819" t="s">
        <v>1049</v>
      </c>
      <c r="P819" s="1">
        <f t="shared" si="111"/>
        <v>45497</v>
      </c>
      <c r="Q819" t="s">
        <v>3265</v>
      </c>
      <c r="R819">
        <v>87</v>
      </c>
      <c r="S819">
        <v>59</v>
      </c>
      <c r="T819" t="s">
        <v>51</v>
      </c>
      <c r="U819" s="8">
        <v>152.25</v>
      </c>
      <c r="V819" s="8">
        <f t="shared" si="112"/>
        <v>87.5</v>
      </c>
      <c r="W819" t="str">
        <f t="shared" si="113"/>
        <v>Sufficient Stock</v>
      </c>
      <c r="X819" s="9">
        <f t="shared" si="114"/>
        <v>45444</v>
      </c>
      <c r="Y819">
        <f t="shared" si="115"/>
        <v>43</v>
      </c>
      <c r="Z819" t="str">
        <f t="shared" si="116"/>
        <v>High Risk</v>
      </c>
    </row>
    <row r="820" spans="1:26" x14ac:dyDescent="0.4">
      <c r="A820" t="s">
        <v>3266</v>
      </c>
      <c r="B820" t="s">
        <v>669</v>
      </c>
      <c r="C820" t="s">
        <v>18</v>
      </c>
      <c r="D820" t="s">
        <v>3267</v>
      </c>
      <c r="E820" t="s">
        <v>2966</v>
      </c>
      <c r="F820">
        <v>85</v>
      </c>
      <c r="G820">
        <v>12</v>
      </c>
      <c r="H820">
        <v>94</v>
      </c>
      <c r="I820" t="s">
        <v>671</v>
      </c>
      <c r="J820" s="7">
        <f t="shared" si="108"/>
        <v>9.5</v>
      </c>
      <c r="K820" t="s">
        <v>561</v>
      </c>
      <c r="L820" s="1">
        <f t="shared" si="109"/>
        <v>45375</v>
      </c>
      <c r="M820" t="s">
        <v>455</v>
      </c>
      <c r="N820" s="1">
        <f t="shared" si="110"/>
        <v>45590</v>
      </c>
      <c r="O820" t="s">
        <v>1238</v>
      </c>
      <c r="P820" s="1">
        <f t="shared" si="111"/>
        <v>45365</v>
      </c>
      <c r="Q820" t="s">
        <v>3268</v>
      </c>
      <c r="R820">
        <v>26</v>
      </c>
      <c r="S820">
        <v>32</v>
      </c>
      <c r="T820" t="s">
        <v>26</v>
      </c>
      <c r="U820" s="8">
        <v>247</v>
      </c>
      <c r="V820" s="8">
        <f t="shared" si="112"/>
        <v>807.5</v>
      </c>
      <c r="W820" t="str">
        <f t="shared" si="113"/>
        <v>Sufficient Stock</v>
      </c>
      <c r="X820" s="9">
        <f t="shared" si="114"/>
        <v>45352</v>
      </c>
      <c r="Y820">
        <f t="shared" si="115"/>
        <v>-10</v>
      </c>
      <c r="Z820" t="str">
        <f t="shared" si="116"/>
        <v>Invalid Data</v>
      </c>
    </row>
    <row r="821" spans="1:26" x14ac:dyDescent="0.4">
      <c r="A821" t="s">
        <v>3269</v>
      </c>
      <c r="B821" t="s">
        <v>627</v>
      </c>
      <c r="C821" t="s">
        <v>18</v>
      </c>
      <c r="D821" t="s">
        <v>3270</v>
      </c>
      <c r="E821" t="s">
        <v>1136</v>
      </c>
      <c r="F821">
        <v>24</v>
      </c>
      <c r="G821">
        <v>2</v>
      </c>
      <c r="H821">
        <v>49</v>
      </c>
      <c r="I821" t="s">
        <v>106</v>
      </c>
      <c r="J821" s="7">
        <f t="shared" si="108"/>
        <v>2</v>
      </c>
      <c r="K821" s="1">
        <v>45328</v>
      </c>
      <c r="L821" s="1">
        <f t="shared" si="109"/>
        <v>45328</v>
      </c>
      <c r="M821" t="s">
        <v>286</v>
      </c>
      <c r="N821" s="1">
        <f t="shared" si="110"/>
        <v>45682</v>
      </c>
      <c r="O821" s="1">
        <v>45421</v>
      </c>
      <c r="P821" s="1">
        <f t="shared" si="111"/>
        <v>45421</v>
      </c>
      <c r="Q821" t="s">
        <v>3271</v>
      </c>
      <c r="R821">
        <v>98</v>
      </c>
      <c r="S821">
        <v>82</v>
      </c>
      <c r="T821" t="s">
        <v>51</v>
      </c>
      <c r="U821" s="8">
        <v>196</v>
      </c>
      <c r="V821" s="8">
        <f t="shared" si="112"/>
        <v>48</v>
      </c>
      <c r="W821" t="str">
        <f t="shared" si="113"/>
        <v>Sufficient Stock</v>
      </c>
      <c r="X821" s="9">
        <f t="shared" si="114"/>
        <v>45323</v>
      </c>
      <c r="Y821">
        <f t="shared" si="115"/>
        <v>93</v>
      </c>
      <c r="Z821" t="str">
        <f t="shared" si="116"/>
        <v>Medium Risk</v>
      </c>
    </row>
    <row r="822" spans="1:26" x14ac:dyDescent="0.4">
      <c r="A822" t="s">
        <v>3272</v>
      </c>
      <c r="B822" t="s">
        <v>1428</v>
      </c>
      <c r="C822" t="s">
        <v>169</v>
      </c>
      <c r="D822" t="s">
        <v>3273</v>
      </c>
      <c r="E822" t="s">
        <v>973</v>
      </c>
      <c r="F822">
        <v>82</v>
      </c>
      <c r="G822">
        <v>31</v>
      </c>
      <c r="H822">
        <v>86</v>
      </c>
      <c r="I822" t="s">
        <v>32</v>
      </c>
      <c r="J822" s="7">
        <f t="shared" si="108"/>
        <v>20</v>
      </c>
      <c r="K822" s="1">
        <v>45569</v>
      </c>
      <c r="L822" s="1">
        <f t="shared" si="109"/>
        <v>45569</v>
      </c>
      <c r="M822" t="s">
        <v>807</v>
      </c>
      <c r="N822" s="1">
        <f t="shared" si="110"/>
        <v>45429</v>
      </c>
      <c r="O822" s="1">
        <v>45870</v>
      </c>
      <c r="P822" s="1">
        <f t="shared" si="111"/>
        <v>45870</v>
      </c>
      <c r="Q822" t="s">
        <v>3274</v>
      </c>
      <c r="R822">
        <v>66</v>
      </c>
      <c r="S822">
        <v>74</v>
      </c>
      <c r="T822" t="s">
        <v>51</v>
      </c>
      <c r="U822" s="8">
        <v>1320</v>
      </c>
      <c r="V822" s="8">
        <f t="shared" si="112"/>
        <v>1640</v>
      </c>
      <c r="W822" t="str">
        <f t="shared" si="113"/>
        <v>Sufficient Stock</v>
      </c>
      <c r="X822" s="9">
        <f t="shared" si="114"/>
        <v>45566</v>
      </c>
      <c r="Y822">
        <f t="shared" si="115"/>
        <v>301</v>
      </c>
      <c r="Z822" t="str">
        <f t="shared" si="116"/>
        <v>Low Risk</v>
      </c>
    </row>
    <row r="823" spans="1:26" x14ac:dyDescent="0.4">
      <c r="A823" t="s">
        <v>3275</v>
      </c>
      <c r="B823" t="s">
        <v>1503</v>
      </c>
      <c r="C823" t="s">
        <v>54</v>
      </c>
      <c r="D823" t="s">
        <v>3276</v>
      </c>
      <c r="E823" t="s">
        <v>2650</v>
      </c>
      <c r="F823">
        <v>17</v>
      </c>
      <c r="G823">
        <v>14</v>
      </c>
      <c r="H823">
        <v>17</v>
      </c>
      <c r="I823" t="s">
        <v>242</v>
      </c>
      <c r="J823" s="7">
        <f t="shared" si="108"/>
        <v>3.5</v>
      </c>
      <c r="K823" t="s">
        <v>561</v>
      </c>
      <c r="L823" s="1">
        <f t="shared" si="109"/>
        <v>45375</v>
      </c>
      <c r="M823" s="1">
        <v>45422</v>
      </c>
      <c r="N823" s="1">
        <f t="shared" si="110"/>
        <v>45422</v>
      </c>
      <c r="O823" t="s">
        <v>1482</v>
      </c>
      <c r="P823" s="1">
        <f t="shared" si="111"/>
        <v>45396</v>
      </c>
      <c r="Q823" t="s">
        <v>3277</v>
      </c>
      <c r="R823">
        <v>36</v>
      </c>
      <c r="S823">
        <v>64</v>
      </c>
      <c r="T823" t="s">
        <v>26</v>
      </c>
      <c r="U823" s="8">
        <v>126</v>
      </c>
      <c r="V823" s="8">
        <f t="shared" si="112"/>
        <v>59.5</v>
      </c>
      <c r="W823" t="str">
        <f t="shared" si="113"/>
        <v>Sufficient Stock</v>
      </c>
      <c r="X823" s="9">
        <f t="shared" si="114"/>
        <v>45352</v>
      </c>
      <c r="Y823">
        <f t="shared" si="115"/>
        <v>21</v>
      </c>
      <c r="Z823" t="str">
        <f t="shared" si="116"/>
        <v>Critical</v>
      </c>
    </row>
    <row r="824" spans="1:26" x14ac:dyDescent="0.4">
      <c r="A824" t="s">
        <v>3278</v>
      </c>
      <c r="B824" t="s">
        <v>784</v>
      </c>
      <c r="C824" t="s">
        <v>68</v>
      </c>
      <c r="D824" t="s">
        <v>3279</v>
      </c>
      <c r="E824" t="s">
        <v>371</v>
      </c>
      <c r="F824">
        <v>25</v>
      </c>
      <c r="G824">
        <v>97</v>
      </c>
      <c r="H824">
        <v>63</v>
      </c>
      <c r="I824" t="s">
        <v>314</v>
      </c>
      <c r="J824" s="7">
        <f t="shared" si="108"/>
        <v>2.2999999999999998</v>
      </c>
      <c r="K824" t="s">
        <v>548</v>
      </c>
      <c r="L824" s="1">
        <f t="shared" si="109"/>
        <v>45587</v>
      </c>
      <c r="M824" t="s">
        <v>165</v>
      </c>
      <c r="N824" s="1">
        <f t="shared" si="110"/>
        <v>45465</v>
      </c>
      <c r="O824" t="s">
        <v>700</v>
      </c>
      <c r="P824" s="1">
        <f t="shared" si="111"/>
        <v>45519</v>
      </c>
      <c r="Q824" t="s">
        <v>3280</v>
      </c>
      <c r="R824">
        <v>72</v>
      </c>
      <c r="S824">
        <v>23</v>
      </c>
      <c r="T824" t="s">
        <v>26</v>
      </c>
      <c r="U824" s="8">
        <v>165.6</v>
      </c>
      <c r="V824" s="8">
        <f t="shared" si="112"/>
        <v>57.499999999999993</v>
      </c>
      <c r="W824" t="str">
        <f t="shared" si="113"/>
        <v>Reorder Required</v>
      </c>
      <c r="X824" s="9">
        <f t="shared" si="114"/>
        <v>45566</v>
      </c>
      <c r="Y824">
        <f t="shared" si="115"/>
        <v>-68</v>
      </c>
      <c r="Z824" t="str">
        <f t="shared" si="116"/>
        <v>Invalid Data</v>
      </c>
    </row>
    <row r="825" spans="1:26" x14ac:dyDescent="0.4">
      <c r="A825" t="s">
        <v>3281</v>
      </c>
      <c r="B825" t="s">
        <v>677</v>
      </c>
      <c r="C825" t="s">
        <v>169</v>
      </c>
      <c r="D825" t="s">
        <v>3282</v>
      </c>
      <c r="E825" t="s">
        <v>850</v>
      </c>
      <c r="F825">
        <v>56</v>
      </c>
      <c r="G825">
        <v>59</v>
      </c>
      <c r="H825">
        <v>87</v>
      </c>
      <c r="I825" t="s">
        <v>134</v>
      </c>
      <c r="J825" s="7">
        <f t="shared" si="108"/>
        <v>7</v>
      </c>
      <c r="K825" t="s">
        <v>321</v>
      </c>
      <c r="L825" s="1">
        <f t="shared" si="109"/>
        <v>45683</v>
      </c>
      <c r="M825" t="s">
        <v>701</v>
      </c>
      <c r="N825" s="1">
        <f t="shared" si="110"/>
        <v>45649</v>
      </c>
      <c r="O825" t="s">
        <v>525</v>
      </c>
      <c r="P825" s="1">
        <f t="shared" si="111"/>
        <v>45502</v>
      </c>
      <c r="Q825" t="s">
        <v>3283</v>
      </c>
      <c r="R825">
        <v>65</v>
      </c>
      <c r="S825">
        <v>45</v>
      </c>
      <c r="T825" t="s">
        <v>51</v>
      </c>
      <c r="U825" s="8">
        <v>455</v>
      </c>
      <c r="V825" s="8">
        <f t="shared" si="112"/>
        <v>392</v>
      </c>
      <c r="W825" t="str">
        <f t="shared" si="113"/>
        <v>Reorder Required</v>
      </c>
      <c r="X825" s="9">
        <f t="shared" si="114"/>
        <v>45658</v>
      </c>
      <c r="Y825">
        <f t="shared" si="115"/>
        <v>-181</v>
      </c>
      <c r="Z825" t="str">
        <f t="shared" si="116"/>
        <v>Invalid Data</v>
      </c>
    </row>
    <row r="826" spans="1:26" x14ac:dyDescent="0.4">
      <c r="A826" t="s">
        <v>3284</v>
      </c>
      <c r="B826" t="s">
        <v>1455</v>
      </c>
      <c r="C826" t="s">
        <v>77</v>
      </c>
      <c r="D826" t="s">
        <v>3285</v>
      </c>
      <c r="E826" t="s">
        <v>648</v>
      </c>
      <c r="F826">
        <v>72</v>
      </c>
      <c r="G826">
        <v>3</v>
      </c>
      <c r="H826">
        <v>10</v>
      </c>
      <c r="I826" t="s">
        <v>106</v>
      </c>
      <c r="J826" s="7">
        <f t="shared" si="108"/>
        <v>2</v>
      </c>
      <c r="K826" t="s">
        <v>649</v>
      </c>
      <c r="L826" s="1">
        <f t="shared" si="109"/>
        <v>45675</v>
      </c>
      <c r="M826" t="s">
        <v>609</v>
      </c>
      <c r="N826" s="1">
        <f t="shared" si="110"/>
        <v>45504</v>
      </c>
      <c r="O826" s="1">
        <v>45422</v>
      </c>
      <c r="P826" s="1">
        <f t="shared" si="111"/>
        <v>45422</v>
      </c>
      <c r="Q826" t="s">
        <v>3286</v>
      </c>
      <c r="R826">
        <v>52</v>
      </c>
      <c r="S826">
        <v>14</v>
      </c>
      <c r="T826" t="s">
        <v>42</v>
      </c>
      <c r="U826" s="8">
        <v>104</v>
      </c>
      <c r="V826" s="8">
        <f t="shared" si="112"/>
        <v>144</v>
      </c>
      <c r="W826" t="str">
        <f t="shared" si="113"/>
        <v>Sufficient Stock</v>
      </c>
      <c r="X826" s="9">
        <f t="shared" si="114"/>
        <v>45658</v>
      </c>
      <c r="Y826">
        <f t="shared" si="115"/>
        <v>-253</v>
      </c>
      <c r="Z826" t="str">
        <f t="shared" si="116"/>
        <v>Invalid Data</v>
      </c>
    </row>
    <row r="827" spans="1:26" x14ac:dyDescent="0.4">
      <c r="A827" t="s">
        <v>3287</v>
      </c>
      <c r="B827" t="s">
        <v>210</v>
      </c>
      <c r="C827" t="s">
        <v>54</v>
      </c>
      <c r="D827" t="s">
        <v>3288</v>
      </c>
      <c r="E827" t="s">
        <v>584</v>
      </c>
      <c r="F827">
        <v>65</v>
      </c>
      <c r="G827">
        <v>42</v>
      </c>
      <c r="H827">
        <v>62</v>
      </c>
      <c r="I827" t="s">
        <v>3051</v>
      </c>
      <c r="J827" s="7">
        <f t="shared" si="108"/>
        <v>6.3</v>
      </c>
      <c r="K827" t="s">
        <v>420</v>
      </c>
      <c r="L827" s="1">
        <f t="shared" si="109"/>
        <v>45589</v>
      </c>
      <c r="M827" t="s">
        <v>792</v>
      </c>
      <c r="N827" s="1">
        <f t="shared" si="110"/>
        <v>45462</v>
      </c>
      <c r="O827" t="s">
        <v>866</v>
      </c>
      <c r="P827" s="1">
        <f t="shared" si="111"/>
        <v>45486</v>
      </c>
      <c r="Q827" t="s">
        <v>3289</v>
      </c>
      <c r="R827">
        <v>54</v>
      </c>
      <c r="S827">
        <v>2</v>
      </c>
      <c r="T827" t="s">
        <v>51</v>
      </c>
      <c r="U827" s="8">
        <v>340.2</v>
      </c>
      <c r="V827" s="8">
        <f t="shared" si="112"/>
        <v>409.5</v>
      </c>
      <c r="W827" t="str">
        <f t="shared" si="113"/>
        <v>Sufficient Stock</v>
      </c>
      <c r="X827" s="9">
        <f t="shared" si="114"/>
        <v>45566</v>
      </c>
      <c r="Y827">
        <f t="shared" si="115"/>
        <v>-103</v>
      </c>
      <c r="Z827" t="str">
        <f t="shared" si="116"/>
        <v>Invalid Data</v>
      </c>
    </row>
    <row r="828" spans="1:26" x14ac:dyDescent="0.4">
      <c r="A828" t="s">
        <v>3290</v>
      </c>
      <c r="B828" t="s">
        <v>1383</v>
      </c>
      <c r="C828" t="s">
        <v>54</v>
      </c>
      <c r="D828" t="s">
        <v>3291</v>
      </c>
      <c r="E828" t="s">
        <v>2263</v>
      </c>
      <c r="F828">
        <v>30</v>
      </c>
      <c r="G828">
        <v>66</v>
      </c>
      <c r="H828">
        <v>28</v>
      </c>
      <c r="I828" t="s">
        <v>1386</v>
      </c>
      <c r="J828" s="7">
        <f t="shared" si="108"/>
        <v>5.5</v>
      </c>
      <c r="K828" s="1">
        <v>45543</v>
      </c>
      <c r="L828" s="1">
        <f t="shared" si="109"/>
        <v>45543</v>
      </c>
      <c r="M828" s="1">
        <v>45871</v>
      </c>
      <c r="N828" s="1">
        <f t="shared" si="110"/>
        <v>45871</v>
      </c>
      <c r="O828" t="s">
        <v>158</v>
      </c>
      <c r="P828" s="1">
        <f t="shared" si="111"/>
        <v>45654</v>
      </c>
      <c r="Q828" t="s">
        <v>3292</v>
      </c>
      <c r="R828">
        <v>63</v>
      </c>
      <c r="S828">
        <v>98</v>
      </c>
      <c r="T828" t="s">
        <v>51</v>
      </c>
      <c r="U828" s="8">
        <v>346.5</v>
      </c>
      <c r="V828" s="8">
        <f t="shared" si="112"/>
        <v>165</v>
      </c>
      <c r="W828" t="str">
        <f t="shared" si="113"/>
        <v>Reorder Required</v>
      </c>
      <c r="X828" s="9">
        <f t="shared" si="114"/>
        <v>45536</v>
      </c>
      <c r="Y828">
        <f t="shared" si="115"/>
        <v>111</v>
      </c>
      <c r="Z828" t="str">
        <f t="shared" si="116"/>
        <v>Medium Risk</v>
      </c>
    </row>
    <row r="829" spans="1:26" x14ac:dyDescent="0.4">
      <c r="A829" t="s">
        <v>3293</v>
      </c>
      <c r="B829" t="s">
        <v>271</v>
      </c>
      <c r="C829" t="s">
        <v>54</v>
      </c>
      <c r="D829" t="s">
        <v>3294</v>
      </c>
      <c r="E829" t="s">
        <v>908</v>
      </c>
      <c r="F829">
        <v>39</v>
      </c>
      <c r="G829">
        <v>37</v>
      </c>
      <c r="H829">
        <v>48</v>
      </c>
      <c r="I829" t="s">
        <v>106</v>
      </c>
      <c r="J829" s="7">
        <f t="shared" si="108"/>
        <v>2</v>
      </c>
      <c r="K829" t="s">
        <v>630</v>
      </c>
      <c r="L829" s="1">
        <f t="shared" si="109"/>
        <v>45623</v>
      </c>
      <c r="M829" t="s">
        <v>893</v>
      </c>
      <c r="N829" s="1">
        <f t="shared" si="110"/>
        <v>45530</v>
      </c>
      <c r="O829" t="s">
        <v>213</v>
      </c>
      <c r="P829" s="1">
        <f t="shared" si="111"/>
        <v>45467</v>
      </c>
      <c r="Q829" t="s">
        <v>3295</v>
      </c>
      <c r="R829">
        <v>25</v>
      </c>
      <c r="S829">
        <v>19</v>
      </c>
      <c r="T829" t="s">
        <v>51</v>
      </c>
      <c r="U829" s="8">
        <v>50</v>
      </c>
      <c r="V829" s="8">
        <f t="shared" si="112"/>
        <v>78</v>
      </c>
      <c r="W829" t="str">
        <f t="shared" si="113"/>
        <v>Sufficient Stock</v>
      </c>
      <c r="X829" s="9">
        <f t="shared" si="114"/>
        <v>45597</v>
      </c>
      <c r="Y829">
        <f t="shared" si="115"/>
        <v>-156</v>
      </c>
      <c r="Z829" t="str">
        <f t="shared" si="116"/>
        <v>Invalid Data</v>
      </c>
    </row>
    <row r="830" spans="1:26" x14ac:dyDescent="0.4">
      <c r="A830" t="s">
        <v>3296</v>
      </c>
      <c r="B830" t="s">
        <v>239</v>
      </c>
      <c r="C830" t="s">
        <v>54</v>
      </c>
      <c r="D830" t="s">
        <v>3297</v>
      </c>
      <c r="E830" t="s">
        <v>1585</v>
      </c>
      <c r="F830">
        <v>14</v>
      </c>
      <c r="G830">
        <v>81</v>
      </c>
      <c r="H830">
        <v>65</v>
      </c>
      <c r="I830" t="s">
        <v>242</v>
      </c>
      <c r="J830" s="7">
        <f t="shared" si="108"/>
        <v>3.5</v>
      </c>
      <c r="K830" t="s">
        <v>341</v>
      </c>
      <c r="L830" s="1">
        <f t="shared" si="109"/>
        <v>45613</v>
      </c>
      <c r="M830" t="s">
        <v>1014</v>
      </c>
      <c r="N830" s="1">
        <f t="shared" si="110"/>
        <v>45366</v>
      </c>
      <c r="O830" t="s">
        <v>548</v>
      </c>
      <c r="P830" s="1">
        <f t="shared" si="111"/>
        <v>45587</v>
      </c>
      <c r="Q830" t="s">
        <v>3298</v>
      </c>
      <c r="R830">
        <v>74</v>
      </c>
      <c r="S830">
        <v>84</v>
      </c>
      <c r="T830" t="s">
        <v>51</v>
      </c>
      <c r="U830" s="8">
        <v>259</v>
      </c>
      <c r="V830" s="8">
        <f t="shared" si="112"/>
        <v>49</v>
      </c>
      <c r="W830" t="str">
        <f t="shared" si="113"/>
        <v>Reorder Required</v>
      </c>
      <c r="X830" s="9">
        <f t="shared" si="114"/>
        <v>45597</v>
      </c>
      <c r="Y830">
        <f t="shared" si="115"/>
        <v>-26</v>
      </c>
      <c r="Z830" t="str">
        <f t="shared" si="116"/>
        <v>Invalid Data</v>
      </c>
    </row>
    <row r="831" spans="1:26" x14ac:dyDescent="0.4">
      <c r="A831" t="s">
        <v>3299</v>
      </c>
      <c r="B831" t="s">
        <v>425</v>
      </c>
      <c r="C831" t="s">
        <v>54</v>
      </c>
      <c r="D831" t="s">
        <v>3300</v>
      </c>
      <c r="E831" t="s">
        <v>1347</v>
      </c>
      <c r="F831">
        <v>74</v>
      </c>
      <c r="G831">
        <v>37</v>
      </c>
      <c r="H831">
        <v>57</v>
      </c>
      <c r="I831" t="s">
        <v>47</v>
      </c>
      <c r="J831" s="7">
        <f t="shared" si="108"/>
        <v>1.5</v>
      </c>
      <c r="K831" t="s">
        <v>180</v>
      </c>
      <c r="L831" s="1">
        <f t="shared" si="109"/>
        <v>45702</v>
      </c>
      <c r="M831" s="1">
        <v>45385</v>
      </c>
      <c r="N831" s="1">
        <f t="shared" si="110"/>
        <v>45385</v>
      </c>
      <c r="O831" t="s">
        <v>99</v>
      </c>
      <c r="P831" s="1">
        <f t="shared" si="111"/>
        <v>45644</v>
      </c>
      <c r="Q831" t="s">
        <v>3301</v>
      </c>
      <c r="R831">
        <v>91</v>
      </c>
      <c r="S831">
        <v>18</v>
      </c>
      <c r="T831" t="s">
        <v>51</v>
      </c>
      <c r="U831" s="8">
        <v>136.5</v>
      </c>
      <c r="V831" s="8">
        <f t="shared" si="112"/>
        <v>111</v>
      </c>
      <c r="W831" t="str">
        <f t="shared" si="113"/>
        <v>Sufficient Stock</v>
      </c>
      <c r="X831" s="9">
        <f t="shared" si="114"/>
        <v>45689</v>
      </c>
      <c r="Y831">
        <f t="shared" si="115"/>
        <v>-58</v>
      </c>
      <c r="Z831" t="str">
        <f t="shared" si="116"/>
        <v>Invalid Data</v>
      </c>
    </row>
    <row r="832" spans="1:26" x14ac:dyDescent="0.4">
      <c r="A832" t="s">
        <v>3302</v>
      </c>
      <c r="B832" t="s">
        <v>189</v>
      </c>
      <c r="C832" t="s">
        <v>77</v>
      </c>
      <c r="D832" t="s">
        <v>3303</v>
      </c>
      <c r="E832" t="s">
        <v>2522</v>
      </c>
      <c r="F832">
        <v>63</v>
      </c>
      <c r="G832">
        <v>41</v>
      </c>
      <c r="H832">
        <v>98</v>
      </c>
      <c r="I832" t="s">
        <v>3304</v>
      </c>
      <c r="J832" s="7">
        <f t="shared" si="108"/>
        <v>11.9</v>
      </c>
      <c r="K832" t="s">
        <v>548</v>
      </c>
      <c r="L832" s="1">
        <f t="shared" si="109"/>
        <v>45587</v>
      </c>
      <c r="M832" t="s">
        <v>3305</v>
      </c>
      <c r="N832" s="1">
        <f t="shared" si="110"/>
        <v>45643</v>
      </c>
      <c r="O832" t="s">
        <v>882</v>
      </c>
      <c r="P832" s="1">
        <f t="shared" si="111"/>
        <v>45518</v>
      </c>
      <c r="Q832" t="s">
        <v>3306</v>
      </c>
      <c r="R832">
        <v>37</v>
      </c>
      <c r="S832">
        <v>7</v>
      </c>
      <c r="T832" t="s">
        <v>51</v>
      </c>
      <c r="U832" s="8">
        <v>440.3</v>
      </c>
      <c r="V832" s="8">
        <f t="shared" si="112"/>
        <v>749.7</v>
      </c>
      <c r="W832" t="str">
        <f t="shared" si="113"/>
        <v>Sufficient Stock</v>
      </c>
      <c r="X832" s="9">
        <f t="shared" si="114"/>
        <v>45566</v>
      </c>
      <c r="Y832">
        <f t="shared" si="115"/>
        <v>-69</v>
      </c>
      <c r="Z832" t="str">
        <f t="shared" si="116"/>
        <v>Invalid Data</v>
      </c>
    </row>
    <row r="833" spans="1:26" x14ac:dyDescent="0.4">
      <c r="A833" t="s">
        <v>3307</v>
      </c>
      <c r="B833" t="s">
        <v>733</v>
      </c>
      <c r="C833" t="s">
        <v>54</v>
      </c>
      <c r="D833" t="s">
        <v>3308</v>
      </c>
      <c r="E833" t="s">
        <v>133</v>
      </c>
      <c r="F833">
        <v>47</v>
      </c>
      <c r="G833">
        <v>67</v>
      </c>
      <c r="H833">
        <v>57</v>
      </c>
      <c r="I833" t="s">
        <v>57</v>
      </c>
      <c r="J833" s="7">
        <f t="shared" si="108"/>
        <v>4</v>
      </c>
      <c r="K833" s="1">
        <v>45394</v>
      </c>
      <c r="L833" s="1">
        <f t="shared" si="109"/>
        <v>45394</v>
      </c>
      <c r="M833" t="s">
        <v>322</v>
      </c>
      <c r="N833" s="1">
        <f t="shared" si="110"/>
        <v>45495</v>
      </c>
      <c r="O833" t="s">
        <v>1500</v>
      </c>
      <c r="P833" s="1">
        <f t="shared" si="111"/>
        <v>45711</v>
      </c>
      <c r="Q833" t="s">
        <v>3309</v>
      </c>
      <c r="R833">
        <v>36</v>
      </c>
      <c r="S833">
        <v>48</v>
      </c>
      <c r="T833" t="s">
        <v>42</v>
      </c>
      <c r="U833" s="8">
        <v>144</v>
      </c>
      <c r="V833" s="8">
        <f t="shared" si="112"/>
        <v>188</v>
      </c>
      <c r="W833" t="str">
        <f t="shared" si="113"/>
        <v>Reorder Required</v>
      </c>
      <c r="X833" s="9">
        <f t="shared" si="114"/>
        <v>45383</v>
      </c>
      <c r="Y833">
        <f t="shared" si="115"/>
        <v>317</v>
      </c>
      <c r="Z833" t="str">
        <f t="shared" si="116"/>
        <v>Low Risk</v>
      </c>
    </row>
    <row r="834" spans="1:26" x14ac:dyDescent="0.4">
      <c r="A834" t="s">
        <v>3310</v>
      </c>
      <c r="B834" t="s">
        <v>932</v>
      </c>
      <c r="C834" t="s">
        <v>77</v>
      </c>
      <c r="D834" t="s">
        <v>3311</v>
      </c>
      <c r="E834" t="s">
        <v>939</v>
      </c>
      <c r="F834">
        <v>42</v>
      </c>
      <c r="G834">
        <v>94</v>
      </c>
      <c r="H834">
        <v>79</v>
      </c>
      <c r="I834" t="s">
        <v>71</v>
      </c>
      <c r="J834" s="7">
        <f t="shared" si="108"/>
        <v>2.5</v>
      </c>
      <c r="K834" t="s">
        <v>3305</v>
      </c>
      <c r="L834" s="1">
        <f t="shared" si="109"/>
        <v>45643</v>
      </c>
      <c r="M834" t="s">
        <v>192</v>
      </c>
      <c r="N834" s="1">
        <f t="shared" si="110"/>
        <v>45647</v>
      </c>
      <c r="O834" t="s">
        <v>347</v>
      </c>
      <c r="P834" s="1">
        <f t="shared" si="111"/>
        <v>45428</v>
      </c>
      <c r="Q834" t="s">
        <v>3312</v>
      </c>
      <c r="R834">
        <v>61</v>
      </c>
      <c r="S834">
        <v>92</v>
      </c>
      <c r="T834" t="s">
        <v>42</v>
      </c>
      <c r="U834" s="8">
        <v>152.5</v>
      </c>
      <c r="V834" s="8">
        <f t="shared" si="112"/>
        <v>105</v>
      </c>
      <c r="W834" t="str">
        <f t="shared" si="113"/>
        <v>Reorder Required</v>
      </c>
      <c r="X834" s="9">
        <f t="shared" si="114"/>
        <v>45627</v>
      </c>
      <c r="Y834">
        <f t="shared" si="115"/>
        <v>-215</v>
      </c>
      <c r="Z834" t="str">
        <f t="shared" si="116"/>
        <v>Invalid Data</v>
      </c>
    </row>
    <row r="835" spans="1:26" x14ac:dyDescent="0.4">
      <c r="A835" t="s">
        <v>3313</v>
      </c>
      <c r="B835" t="s">
        <v>1538</v>
      </c>
      <c r="C835" t="s">
        <v>54</v>
      </c>
      <c r="D835" t="s">
        <v>3314</v>
      </c>
      <c r="E835" t="s">
        <v>1315</v>
      </c>
      <c r="F835">
        <v>32</v>
      </c>
      <c r="G835">
        <v>49</v>
      </c>
      <c r="H835">
        <v>73</v>
      </c>
      <c r="I835" t="s">
        <v>71</v>
      </c>
      <c r="J835" s="7">
        <f t="shared" ref="J835:J898" si="117">VALUE(SUBSTITUTE(I835,"$",""))</f>
        <v>2.5</v>
      </c>
      <c r="K835" s="1">
        <v>45450</v>
      </c>
      <c r="L835" s="1">
        <f t="shared" ref="L835:L898" si="118">IF(
ISNUMBER(K835),
K835,
DATE(
RIGHT(K835,4),
LEFT(K835,FIND("/",K835)-1),
MID(K835,FIND("/",K835)+1,FIND("/",K835,FIND("/",K835)+1)-FIND("/",K835)-1)
)
)</f>
        <v>45450</v>
      </c>
      <c r="M835" t="s">
        <v>1884</v>
      </c>
      <c r="N835" s="1">
        <f t="shared" ref="N835:N898" si="119">IF(
ISNUMBER(M835),
M835,
DATE(
RIGHT(M835,4),
LEFT(M835,FIND("/",M835)-1),
MID(M835,FIND("/",M835)+1,FIND("/",M835,FIND("/",M835)+1)-FIND("/",M835)-1)
)
)</f>
        <v>45404</v>
      </c>
      <c r="O835" t="s">
        <v>1129</v>
      </c>
      <c r="P835" s="1">
        <f t="shared" ref="P835:P898" si="120">IF(
ISNUMBER(O835),
O835,
DATE(
RIGHT(O835,4),
LEFT(O835,FIND("/",O835)-1),
MID(O835,FIND("/",O835)+1,FIND("/",O835,FIND("/",O835)+1)-FIND("/",O835)-1)
)
)</f>
        <v>45439</v>
      </c>
      <c r="Q835" t="s">
        <v>3315</v>
      </c>
      <c r="R835">
        <v>80</v>
      </c>
      <c r="S835">
        <v>36</v>
      </c>
      <c r="T835" t="s">
        <v>26</v>
      </c>
      <c r="U835" s="8">
        <v>200</v>
      </c>
      <c r="V835" s="8">
        <f t="shared" ref="V835:V898" si="121">F835*J835</f>
        <v>80</v>
      </c>
      <c r="W835" t="str">
        <f t="shared" ref="W835:W898" si="122">IF(F835&lt;=G835,"Reorder Required","Sufficient Stock")</f>
        <v>Reorder Required</v>
      </c>
      <c r="X835" s="9">
        <f t="shared" ref="X835:X898" si="123">DATE(YEAR(L835),MONTH(L835),1)</f>
        <v>45444</v>
      </c>
      <c r="Y835">
        <f t="shared" ref="Y835:Y898" si="124">P835-L835</f>
        <v>-11</v>
      </c>
      <c r="Z835" t="str">
        <f t="shared" ref="Z835:Z898" si="125">IF(Y835&lt;0,"Invalid Data",
IF(Y835&lt;=30,"Critical",
IF(Y835&lt;=90,"High Risk",
IF(Y835&lt;=180,"Medium Risk",
IF(Y835&lt;=365,"Low Risk",
"Safe")))))</f>
        <v>Invalid Data</v>
      </c>
    </row>
    <row r="836" spans="1:26" x14ac:dyDescent="0.4">
      <c r="A836" t="s">
        <v>3316</v>
      </c>
      <c r="B836" t="s">
        <v>681</v>
      </c>
      <c r="C836" t="s">
        <v>54</v>
      </c>
      <c r="D836" t="s">
        <v>3317</v>
      </c>
      <c r="E836" t="s">
        <v>1027</v>
      </c>
      <c r="F836">
        <v>88</v>
      </c>
      <c r="G836">
        <v>56</v>
      </c>
      <c r="H836">
        <v>72</v>
      </c>
      <c r="I836" t="s">
        <v>106</v>
      </c>
      <c r="J836" s="7">
        <f t="shared" si="117"/>
        <v>2</v>
      </c>
      <c r="K836" s="1">
        <v>45992</v>
      </c>
      <c r="L836" s="1">
        <f t="shared" si="118"/>
        <v>45992</v>
      </c>
      <c r="M836" s="1">
        <v>45630</v>
      </c>
      <c r="N836" s="1">
        <f t="shared" si="119"/>
        <v>45630</v>
      </c>
      <c r="O836" t="s">
        <v>252</v>
      </c>
      <c r="P836" s="1">
        <f t="shared" si="120"/>
        <v>45471</v>
      </c>
      <c r="Q836" t="s">
        <v>3318</v>
      </c>
      <c r="R836">
        <v>25</v>
      </c>
      <c r="S836">
        <v>36</v>
      </c>
      <c r="T836" t="s">
        <v>51</v>
      </c>
      <c r="U836" s="8">
        <v>50</v>
      </c>
      <c r="V836" s="8">
        <f t="shared" si="121"/>
        <v>176</v>
      </c>
      <c r="W836" t="str">
        <f t="shared" si="122"/>
        <v>Sufficient Stock</v>
      </c>
      <c r="X836" s="9">
        <f t="shared" si="123"/>
        <v>45992</v>
      </c>
      <c r="Y836">
        <f t="shared" si="124"/>
        <v>-521</v>
      </c>
      <c r="Z836" t="str">
        <f t="shared" si="125"/>
        <v>Invalid Data</v>
      </c>
    </row>
    <row r="837" spans="1:26" x14ac:dyDescent="0.4">
      <c r="A837" t="s">
        <v>3319</v>
      </c>
      <c r="B837" t="s">
        <v>1485</v>
      </c>
      <c r="C837" t="s">
        <v>77</v>
      </c>
      <c r="D837" t="s">
        <v>3320</v>
      </c>
      <c r="E837" t="s">
        <v>3321</v>
      </c>
      <c r="F837">
        <v>80</v>
      </c>
      <c r="G837">
        <v>69</v>
      </c>
      <c r="H837">
        <v>71</v>
      </c>
      <c r="I837" t="s">
        <v>63</v>
      </c>
      <c r="J837" s="7">
        <f t="shared" si="117"/>
        <v>1.75</v>
      </c>
      <c r="K837" t="s">
        <v>422</v>
      </c>
      <c r="L837" s="1">
        <f t="shared" si="118"/>
        <v>45531</v>
      </c>
      <c r="M837" s="1">
        <v>45356</v>
      </c>
      <c r="N837" s="1">
        <f t="shared" si="119"/>
        <v>45356</v>
      </c>
      <c r="O837" t="s">
        <v>49</v>
      </c>
      <c r="P837" s="1">
        <f t="shared" si="120"/>
        <v>45399</v>
      </c>
      <c r="Q837" t="s">
        <v>3322</v>
      </c>
      <c r="R837">
        <v>41</v>
      </c>
      <c r="S837">
        <v>43</v>
      </c>
      <c r="T837" t="s">
        <v>42</v>
      </c>
      <c r="U837" s="8">
        <v>71.75</v>
      </c>
      <c r="V837" s="8">
        <f t="shared" si="121"/>
        <v>140</v>
      </c>
      <c r="W837" t="str">
        <f t="shared" si="122"/>
        <v>Sufficient Stock</v>
      </c>
      <c r="X837" s="9">
        <f t="shared" si="123"/>
        <v>45505</v>
      </c>
      <c r="Y837">
        <f t="shared" si="124"/>
        <v>-132</v>
      </c>
      <c r="Z837" t="str">
        <f t="shared" si="125"/>
        <v>Invalid Data</v>
      </c>
    </row>
    <row r="838" spans="1:26" x14ac:dyDescent="0.4">
      <c r="A838" t="s">
        <v>3323</v>
      </c>
      <c r="B838" t="s">
        <v>375</v>
      </c>
      <c r="C838" t="s">
        <v>54</v>
      </c>
      <c r="D838" t="s">
        <v>3324</v>
      </c>
      <c r="E838" t="s">
        <v>1852</v>
      </c>
      <c r="F838">
        <v>36</v>
      </c>
      <c r="G838">
        <v>59</v>
      </c>
      <c r="H838">
        <v>90</v>
      </c>
      <c r="I838" t="s">
        <v>85</v>
      </c>
      <c r="J838" s="7">
        <f t="shared" si="117"/>
        <v>3</v>
      </c>
      <c r="K838" s="1">
        <v>45511</v>
      </c>
      <c r="L838" s="1">
        <f t="shared" si="118"/>
        <v>45511</v>
      </c>
      <c r="M838" s="1">
        <v>45547</v>
      </c>
      <c r="N838" s="1">
        <f t="shared" si="119"/>
        <v>45547</v>
      </c>
      <c r="O838" s="1">
        <v>45607</v>
      </c>
      <c r="P838" s="1">
        <f t="shared" si="120"/>
        <v>45607</v>
      </c>
      <c r="Q838" t="s">
        <v>3325</v>
      </c>
      <c r="R838">
        <v>25</v>
      </c>
      <c r="S838">
        <v>60</v>
      </c>
      <c r="T838" t="s">
        <v>26</v>
      </c>
      <c r="U838" s="8">
        <v>75</v>
      </c>
      <c r="V838" s="8">
        <f t="shared" si="121"/>
        <v>108</v>
      </c>
      <c r="W838" t="str">
        <f t="shared" si="122"/>
        <v>Reorder Required</v>
      </c>
      <c r="X838" s="9">
        <f t="shared" si="123"/>
        <v>45505</v>
      </c>
      <c r="Y838">
        <f t="shared" si="124"/>
        <v>96</v>
      </c>
      <c r="Z838" t="str">
        <f t="shared" si="125"/>
        <v>Medium Risk</v>
      </c>
    </row>
    <row r="839" spans="1:26" x14ac:dyDescent="0.4">
      <c r="A839" t="s">
        <v>3326</v>
      </c>
      <c r="B839" t="s">
        <v>138</v>
      </c>
      <c r="C839" t="s">
        <v>18</v>
      </c>
      <c r="D839" t="s">
        <v>3327</v>
      </c>
      <c r="E839" t="s">
        <v>427</v>
      </c>
      <c r="F839">
        <v>11</v>
      </c>
      <c r="G839">
        <v>77</v>
      </c>
      <c r="H839">
        <v>7</v>
      </c>
      <c r="I839" t="s">
        <v>47</v>
      </c>
      <c r="J839" s="7">
        <f t="shared" si="117"/>
        <v>1.5</v>
      </c>
      <c r="K839" t="s">
        <v>1272</v>
      </c>
      <c r="L839" s="1">
        <f t="shared" si="118"/>
        <v>45591</v>
      </c>
      <c r="M839" s="1">
        <v>45423</v>
      </c>
      <c r="N839" s="1">
        <f t="shared" si="119"/>
        <v>45423</v>
      </c>
      <c r="O839" s="1">
        <v>45572</v>
      </c>
      <c r="P839" s="1">
        <f t="shared" si="120"/>
        <v>45572</v>
      </c>
      <c r="Q839" t="s">
        <v>3328</v>
      </c>
      <c r="R839">
        <v>77</v>
      </c>
      <c r="S839">
        <v>46</v>
      </c>
      <c r="T839" t="s">
        <v>42</v>
      </c>
      <c r="U839" s="8">
        <v>115.5</v>
      </c>
      <c r="V839" s="8">
        <f t="shared" si="121"/>
        <v>16.5</v>
      </c>
      <c r="W839" t="str">
        <f t="shared" si="122"/>
        <v>Reorder Required</v>
      </c>
      <c r="X839" s="9">
        <f t="shared" si="123"/>
        <v>45566</v>
      </c>
      <c r="Y839">
        <f t="shared" si="124"/>
        <v>-19</v>
      </c>
      <c r="Z839" t="str">
        <f t="shared" si="125"/>
        <v>Invalid Data</v>
      </c>
    </row>
    <row r="840" spans="1:26" x14ac:dyDescent="0.4">
      <c r="A840" t="s">
        <v>3329</v>
      </c>
      <c r="B840" t="s">
        <v>733</v>
      </c>
      <c r="C840" t="s">
        <v>54</v>
      </c>
      <c r="D840" t="s">
        <v>3330</v>
      </c>
      <c r="E840" t="s">
        <v>1461</v>
      </c>
      <c r="F840">
        <v>40</v>
      </c>
      <c r="G840">
        <v>83</v>
      </c>
      <c r="H840">
        <v>50</v>
      </c>
      <c r="I840" t="s">
        <v>57</v>
      </c>
      <c r="J840" s="7">
        <f t="shared" si="117"/>
        <v>4</v>
      </c>
      <c r="K840" s="1">
        <v>45418</v>
      </c>
      <c r="L840" s="1">
        <f t="shared" si="118"/>
        <v>45418</v>
      </c>
      <c r="M840" s="1">
        <v>45360</v>
      </c>
      <c r="N840" s="1">
        <f t="shared" si="119"/>
        <v>45360</v>
      </c>
      <c r="O840" t="s">
        <v>688</v>
      </c>
      <c r="P840" s="1">
        <f t="shared" si="120"/>
        <v>45459</v>
      </c>
      <c r="Q840" t="s">
        <v>3331</v>
      </c>
      <c r="R840">
        <v>92</v>
      </c>
      <c r="S840">
        <v>50</v>
      </c>
      <c r="T840" t="s">
        <v>51</v>
      </c>
      <c r="U840" s="8">
        <v>368</v>
      </c>
      <c r="V840" s="8">
        <f t="shared" si="121"/>
        <v>160</v>
      </c>
      <c r="W840" t="str">
        <f t="shared" si="122"/>
        <v>Reorder Required</v>
      </c>
      <c r="X840" s="9">
        <f t="shared" si="123"/>
        <v>45413</v>
      </c>
      <c r="Y840">
        <f t="shared" si="124"/>
        <v>41</v>
      </c>
      <c r="Z840" t="str">
        <f t="shared" si="125"/>
        <v>High Risk</v>
      </c>
    </row>
    <row r="841" spans="1:26" x14ac:dyDescent="0.4">
      <c r="A841" t="s">
        <v>3332</v>
      </c>
      <c r="B841" t="s">
        <v>138</v>
      </c>
      <c r="C841" t="s">
        <v>18</v>
      </c>
      <c r="D841" t="s">
        <v>3333</v>
      </c>
      <c r="E841" t="s">
        <v>3169</v>
      </c>
      <c r="F841">
        <v>63</v>
      </c>
      <c r="G841">
        <v>43</v>
      </c>
      <c r="H841">
        <v>8</v>
      </c>
      <c r="I841" t="s">
        <v>47</v>
      </c>
      <c r="J841" s="7">
        <f t="shared" si="117"/>
        <v>1.5</v>
      </c>
      <c r="K841" t="s">
        <v>421</v>
      </c>
      <c r="L841" s="1">
        <f t="shared" si="118"/>
        <v>45524</v>
      </c>
      <c r="M841" t="s">
        <v>635</v>
      </c>
      <c r="N841" s="1">
        <f t="shared" si="119"/>
        <v>45402</v>
      </c>
      <c r="O841" s="1">
        <v>45516</v>
      </c>
      <c r="P841" s="1">
        <f t="shared" si="120"/>
        <v>45516</v>
      </c>
      <c r="Q841" t="s">
        <v>3334</v>
      </c>
      <c r="R841">
        <v>55</v>
      </c>
      <c r="S841">
        <v>72</v>
      </c>
      <c r="T841" t="s">
        <v>51</v>
      </c>
      <c r="U841" s="8">
        <v>82.5</v>
      </c>
      <c r="V841" s="8">
        <f t="shared" si="121"/>
        <v>94.5</v>
      </c>
      <c r="W841" t="str">
        <f t="shared" si="122"/>
        <v>Sufficient Stock</v>
      </c>
      <c r="X841" s="9">
        <f t="shared" si="123"/>
        <v>45505</v>
      </c>
      <c r="Y841">
        <f t="shared" si="124"/>
        <v>-8</v>
      </c>
      <c r="Z841" t="str">
        <f t="shared" si="125"/>
        <v>Invalid Data</v>
      </c>
    </row>
    <row r="842" spans="1:26" x14ac:dyDescent="0.4">
      <c r="A842" t="s">
        <v>3335</v>
      </c>
      <c r="B842" t="s">
        <v>196</v>
      </c>
      <c r="C842" t="s">
        <v>18</v>
      </c>
      <c r="D842" t="s">
        <v>3336</v>
      </c>
      <c r="E842" t="s">
        <v>2681</v>
      </c>
      <c r="F842">
        <v>90</v>
      </c>
      <c r="G842">
        <v>75</v>
      </c>
      <c r="H842">
        <v>43</v>
      </c>
      <c r="I842" t="s">
        <v>47</v>
      </c>
      <c r="J842" s="7">
        <f t="shared" si="117"/>
        <v>1.5</v>
      </c>
      <c r="K842" t="s">
        <v>164</v>
      </c>
      <c r="L842" s="1">
        <f t="shared" si="118"/>
        <v>45440</v>
      </c>
      <c r="M842" t="s">
        <v>514</v>
      </c>
      <c r="N842" s="1">
        <f t="shared" si="119"/>
        <v>45553</v>
      </c>
      <c r="O842" t="s">
        <v>1500</v>
      </c>
      <c r="P842" s="1">
        <f t="shared" si="120"/>
        <v>45711</v>
      </c>
      <c r="Q842" t="s">
        <v>3337</v>
      </c>
      <c r="R842">
        <v>80</v>
      </c>
      <c r="S842">
        <v>57</v>
      </c>
      <c r="T842" t="s">
        <v>26</v>
      </c>
      <c r="U842" s="8">
        <v>120</v>
      </c>
      <c r="V842" s="8">
        <f t="shared" si="121"/>
        <v>135</v>
      </c>
      <c r="W842" t="str">
        <f t="shared" si="122"/>
        <v>Sufficient Stock</v>
      </c>
      <c r="X842" s="9">
        <f t="shared" si="123"/>
        <v>45413</v>
      </c>
      <c r="Y842">
        <f t="shared" si="124"/>
        <v>271</v>
      </c>
      <c r="Z842" t="str">
        <f t="shared" si="125"/>
        <v>Low Risk</v>
      </c>
    </row>
    <row r="843" spans="1:26" x14ac:dyDescent="0.4">
      <c r="A843" t="s">
        <v>3338</v>
      </c>
      <c r="B843" t="s">
        <v>332</v>
      </c>
      <c r="C843" t="s">
        <v>112</v>
      </c>
      <c r="D843" t="s">
        <v>3339</v>
      </c>
      <c r="E843" t="s">
        <v>1216</v>
      </c>
      <c r="F843">
        <v>47</v>
      </c>
      <c r="G843">
        <v>26</v>
      </c>
      <c r="H843">
        <v>40</v>
      </c>
      <c r="I843" t="s">
        <v>3340</v>
      </c>
      <c r="J843" s="7">
        <f t="shared" si="117"/>
        <v>3.25</v>
      </c>
      <c r="K843" t="s">
        <v>115</v>
      </c>
      <c r="L843" s="1">
        <f t="shared" si="118"/>
        <v>45639</v>
      </c>
      <c r="M843" s="1">
        <v>45992</v>
      </c>
      <c r="N843" s="1">
        <f t="shared" si="119"/>
        <v>45992</v>
      </c>
      <c r="O843" t="s">
        <v>402</v>
      </c>
      <c r="P843" s="1">
        <f t="shared" si="120"/>
        <v>45622</v>
      </c>
      <c r="Q843" t="s">
        <v>3341</v>
      </c>
      <c r="R843">
        <v>30</v>
      </c>
      <c r="S843">
        <v>72</v>
      </c>
      <c r="T843" t="s">
        <v>51</v>
      </c>
      <c r="U843" s="8">
        <v>97.5</v>
      </c>
      <c r="V843" s="8">
        <f t="shared" si="121"/>
        <v>152.75</v>
      </c>
      <c r="W843" t="str">
        <f t="shared" si="122"/>
        <v>Sufficient Stock</v>
      </c>
      <c r="X843" s="9">
        <f t="shared" si="123"/>
        <v>45627</v>
      </c>
      <c r="Y843">
        <f t="shared" si="124"/>
        <v>-17</v>
      </c>
      <c r="Z843" t="str">
        <f t="shared" si="125"/>
        <v>Invalid Data</v>
      </c>
    </row>
    <row r="844" spans="1:26" x14ac:dyDescent="0.4">
      <c r="A844" t="s">
        <v>3342</v>
      </c>
      <c r="B844" t="s">
        <v>1228</v>
      </c>
      <c r="C844" t="s">
        <v>112</v>
      </c>
      <c r="D844" t="s">
        <v>3343</v>
      </c>
      <c r="E844" t="s">
        <v>1499</v>
      </c>
      <c r="F844">
        <v>29</v>
      </c>
      <c r="G844">
        <v>2</v>
      </c>
      <c r="H844">
        <v>84</v>
      </c>
      <c r="I844" t="s">
        <v>57</v>
      </c>
      <c r="J844" s="7">
        <f t="shared" si="117"/>
        <v>4</v>
      </c>
      <c r="K844" t="s">
        <v>549</v>
      </c>
      <c r="L844" s="1">
        <f t="shared" si="118"/>
        <v>45372</v>
      </c>
      <c r="M844" t="s">
        <v>637</v>
      </c>
      <c r="N844" s="1">
        <f t="shared" si="119"/>
        <v>45401</v>
      </c>
      <c r="O844" t="s">
        <v>935</v>
      </c>
      <c r="P844" s="1">
        <f t="shared" si="120"/>
        <v>45560</v>
      </c>
      <c r="Q844" t="s">
        <v>3344</v>
      </c>
      <c r="R844">
        <v>80</v>
      </c>
      <c r="S844">
        <v>85</v>
      </c>
      <c r="T844" t="s">
        <v>42</v>
      </c>
      <c r="U844" s="8">
        <v>320</v>
      </c>
      <c r="V844" s="8">
        <f t="shared" si="121"/>
        <v>116</v>
      </c>
      <c r="W844" t="str">
        <f t="shared" si="122"/>
        <v>Sufficient Stock</v>
      </c>
      <c r="X844" s="9">
        <f t="shared" si="123"/>
        <v>45352</v>
      </c>
      <c r="Y844">
        <f t="shared" si="124"/>
        <v>188</v>
      </c>
      <c r="Z844" t="str">
        <f t="shared" si="125"/>
        <v>Low Risk</v>
      </c>
    </row>
    <row r="845" spans="1:26" x14ac:dyDescent="0.4">
      <c r="A845" t="s">
        <v>3345</v>
      </c>
      <c r="B845" t="s">
        <v>733</v>
      </c>
      <c r="C845" t="s">
        <v>54</v>
      </c>
      <c r="D845" t="s">
        <v>3346</v>
      </c>
      <c r="E845" t="s">
        <v>2438</v>
      </c>
      <c r="F845">
        <v>94</v>
      </c>
      <c r="G845">
        <v>69</v>
      </c>
      <c r="H845">
        <v>68</v>
      </c>
      <c r="I845" t="s">
        <v>57</v>
      </c>
      <c r="J845" s="7">
        <f t="shared" si="117"/>
        <v>4</v>
      </c>
      <c r="K845" s="1">
        <v>45511</v>
      </c>
      <c r="L845" s="1">
        <f t="shared" si="118"/>
        <v>45511</v>
      </c>
      <c r="M845" t="s">
        <v>467</v>
      </c>
      <c r="N845" s="1">
        <f t="shared" si="119"/>
        <v>45673</v>
      </c>
      <c r="O845" t="s">
        <v>827</v>
      </c>
      <c r="P845" s="1">
        <f t="shared" si="120"/>
        <v>45701</v>
      </c>
      <c r="Q845" t="s">
        <v>3347</v>
      </c>
      <c r="R845">
        <v>24</v>
      </c>
      <c r="S845">
        <v>20</v>
      </c>
      <c r="T845" t="s">
        <v>26</v>
      </c>
      <c r="U845" s="8">
        <v>96</v>
      </c>
      <c r="V845" s="8">
        <f t="shared" si="121"/>
        <v>376</v>
      </c>
      <c r="W845" t="str">
        <f t="shared" si="122"/>
        <v>Sufficient Stock</v>
      </c>
      <c r="X845" s="9">
        <f t="shared" si="123"/>
        <v>45505</v>
      </c>
      <c r="Y845">
        <f t="shared" si="124"/>
        <v>190</v>
      </c>
      <c r="Z845" t="str">
        <f t="shared" si="125"/>
        <v>Low Risk</v>
      </c>
    </row>
    <row r="846" spans="1:26" x14ac:dyDescent="0.4">
      <c r="A846" t="s">
        <v>3348</v>
      </c>
      <c r="B846" t="s">
        <v>304</v>
      </c>
      <c r="C846" t="s">
        <v>54</v>
      </c>
      <c r="D846" t="s">
        <v>3349</v>
      </c>
      <c r="E846" t="s">
        <v>513</v>
      </c>
      <c r="F846">
        <v>32</v>
      </c>
      <c r="G846">
        <v>63</v>
      </c>
      <c r="H846">
        <v>92</v>
      </c>
      <c r="I846" t="s">
        <v>3350</v>
      </c>
      <c r="J846" s="7">
        <f t="shared" si="117"/>
        <v>4.9000000000000004</v>
      </c>
      <c r="K846" t="s">
        <v>341</v>
      </c>
      <c r="L846" s="1">
        <f t="shared" si="118"/>
        <v>45613</v>
      </c>
      <c r="M846" t="s">
        <v>915</v>
      </c>
      <c r="N846" s="1">
        <f t="shared" si="119"/>
        <v>45498</v>
      </c>
      <c r="O846" s="1">
        <v>45546</v>
      </c>
      <c r="P846" s="1">
        <f t="shared" si="120"/>
        <v>45546</v>
      </c>
      <c r="Q846" t="s">
        <v>3351</v>
      </c>
      <c r="R846">
        <v>84</v>
      </c>
      <c r="S846">
        <v>34</v>
      </c>
      <c r="T846" t="s">
        <v>26</v>
      </c>
      <c r="U846" s="8">
        <v>411.6</v>
      </c>
      <c r="V846" s="8">
        <f t="shared" si="121"/>
        <v>156.80000000000001</v>
      </c>
      <c r="W846" t="str">
        <f t="shared" si="122"/>
        <v>Reorder Required</v>
      </c>
      <c r="X846" s="9">
        <f t="shared" si="123"/>
        <v>45597</v>
      </c>
      <c r="Y846">
        <f t="shared" si="124"/>
        <v>-67</v>
      </c>
      <c r="Z846" t="str">
        <f t="shared" si="125"/>
        <v>Invalid Data</v>
      </c>
    </row>
    <row r="847" spans="1:26" x14ac:dyDescent="0.4">
      <c r="A847" t="s">
        <v>3352</v>
      </c>
      <c r="B847" t="s">
        <v>53</v>
      </c>
      <c r="C847" t="s">
        <v>54</v>
      </c>
      <c r="D847" t="s">
        <v>3353</v>
      </c>
      <c r="E847" t="s">
        <v>1553</v>
      </c>
      <c r="F847">
        <v>40</v>
      </c>
      <c r="G847">
        <v>3</v>
      </c>
      <c r="H847">
        <v>5</v>
      </c>
      <c r="I847" t="s">
        <v>57</v>
      </c>
      <c r="J847" s="7">
        <f t="shared" si="117"/>
        <v>4</v>
      </c>
      <c r="K847" s="1">
        <v>45385</v>
      </c>
      <c r="L847" s="1">
        <f t="shared" si="118"/>
        <v>45385</v>
      </c>
      <c r="M847" t="s">
        <v>1005</v>
      </c>
      <c r="N847" s="1">
        <f t="shared" si="119"/>
        <v>45458</v>
      </c>
      <c r="O847" t="s">
        <v>213</v>
      </c>
      <c r="P847" s="1">
        <f t="shared" si="120"/>
        <v>45467</v>
      </c>
      <c r="Q847" t="s">
        <v>3354</v>
      </c>
      <c r="R847">
        <v>45</v>
      </c>
      <c r="S847">
        <v>69</v>
      </c>
      <c r="T847" t="s">
        <v>26</v>
      </c>
      <c r="U847" s="8">
        <v>180</v>
      </c>
      <c r="V847" s="8">
        <f t="shared" si="121"/>
        <v>160</v>
      </c>
      <c r="W847" t="str">
        <f t="shared" si="122"/>
        <v>Sufficient Stock</v>
      </c>
      <c r="X847" s="9">
        <f t="shared" si="123"/>
        <v>45383</v>
      </c>
      <c r="Y847">
        <f t="shared" si="124"/>
        <v>82</v>
      </c>
      <c r="Z847" t="str">
        <f t="shared" si="125"/>
        <v>High Risk</v>
      </c>
    </row>
    <row r="848" spans="1:26" x14ac:dyDescent="0.4">
      <c r="A848" t="s">
        <v>3355</v>
      </c>
      <c r="B848" t="s">
        <v>76</v>
      </c>
      <c r="C848" t="s">
        <v>77</v>
      </c>
      <c r="D848" t="s">
        <v>3356</v>
      </c>
      <c r="E848" t="s">
        <v>1743</v>
      </c>
      <c r="F848">
        <v>50</v>
      </c>
      <c r="G848">
        <v>66</v>
      </c>
      <c r="H848">
        <v>1</v>
      </c>
      <c r="I848" t="s">
        <v>71</v>
      </c>
      <c r="J848" s="7">
        <f t="shared" si="117"/>
        <v>2.5</v>
      </c>
      <c r="K848" t="s">
        <v>548</v>
      </c>
      <c r="L848" s="1">
        <f t="shared" si="118"/>
        <v>45587</v>
      </c>
      <c r="M848" s="1">
        <v>45485</v>
      </c>
      <c r="N848" s="1">
        <f t="shared" si="119"/>
        <v>45485</v>
      </c>
      <c r="O848" s="1">
        <v>45749</v>
      </c>
      <c r="P848" s="1">
        <f t="shared" si="120"/>
        <v>45749</v>
      </c>
      <c r="Q848" t="s">
        <v>3357</v>
      </c>
      <c r="R848">
        <v>76</v>
      </c>
      <c r="S848">
        <v>73</v>
      </c>
      <c r="T848" t="s">
        <v>51</v>
      </c>
      <c r="U848" s="8">
        <v>190</v>
      </c>
      <c r="V848" s="8">
        <f t="shared" si="121"/>
        <v>125</v>
      </c>
      <c r="W848" t="str">
        <f t="shared" si="122"/>
        <v>Reorder Required</v>
      </c>
      <c r="X848" s="9">
        <f t="shared" si="123"/>
        <v>45566</v>
      </c>
      <c r="Y848">
        <f t="shared" si="124"/>
        <v>162</v>
      </c>
      <c r="Z848" t="str">
        <f t="shared" si="125"/>
        <v>Medium Risk</v>
      </c>
    </row>
    <row r="849" spans="1:26" x14ac:dyDescent="0.4">
      <c r="A849" t="s">
        <v>3358</v>
      </c>
      <c r="B849" t="s">
        <v>704</v>
      </c>
      <c r="C849" t="s">
        <v>169</v>
      </c>
      <c r="D849" t="s">
        <v>3359</v>
      </c>
      <c r="E849" t="s">
        <v>1962</v>
      </c>
      <c r="F849">
        <v>72</v>
      </c>
      <c r="G849">
        <v>29</v>
      </c>
      <c r="H849">
        <v>10</v>
      </c>
      <c r="I849" t="s">
        <v>147</v>
      </c>
      <c r="J849" s="7">
        <f t="shared" si="117"/>
        <v>8</v>
      </c>
      <c r="K849" s="1">
        <v>45446</v>
      </c>
      <c r="L849" s="1">
        <f t="shared" si="118"/>
        <v>45446</v>
      </c>
      <c r="M849" s="1">
        <v>45477</v>
      </c>
      <c r="N849" s="1">
        <f t="shared" si="119"/>
        <v>45477</v>
      </c>
      <c r="O849" t="s">
        <v>561</v>
      </c>
      <c r="P849" s="1">
        <f t="shared" si="120"/>
        <v>45375</v>
      </c>
      <c r="Q849" t="s">
        <v>3360</v>
      </c>
      <c r="R849">
        <v>54</v>
      </c>
      <c r="S849">
        <v>38</v>
      </c>
      <c r="T849" t="s">
        <v>26</v>
      </c>
      <c r="U849" s="8">
        <v>432</v>
      </c>
      <c r="V849" s="8">
        <f t="shared" si="121"/>
        <v>576</v>
      </c>
      <c r="W849" t="str">
        <f t="shared" si="122"/>
        <v>Sufficient Stock</v>
      </c>
      <c r="X849" s="9">
        <f t="shared" si="123"/>
        <v>45444</v>
      </c>
      <c r="Y849">
        <f t="shared" si="124"/>
        <v>-71</v>
      </c>
      <c r="Z849" t="str">
        <f t="shared" si="125"/>
        <v>Invalid Data</v>
      </c>
    </row>
    <row r="850" spans="1:26" x14ac:dyDescent="0.4">
      <c r="A850" t="s">
        <v>3361</v>
      </c>
      <c r="B850" t="s">
        <v>722</v>
      </c>
      <c r="C850" t="s">
        <v>54</v>
      </c>
      <c r="D850" t="s">
        <v>3362</v>
      </c>
      <c r="E850" t="s">
        <v>530</v>
      </c>
      <c r="F850">
        <v>22</v>
      </c>
      <c r="G850">
        <v>35</v>
      </c>
      <c r="H850">
        <v>55</v>
      </c>
      <c r="I850" t="s">
        <v>39</v>
      </c>
      <c r="J850" s="7">
        <f t="shared" si="117"/>
        <v>6</v>
      </c>
      <c r="K850" t="s">
        <v>382</v>
      </c>
      <c r="L850" s="1">
        <f t="shared" si="118"/>
        <v>45534</v>
      </c>
      <c r="M850" t="s">
        <v>422</v>
      </c>
      <c r="N850" s="1">
        <f t="shared" si="119"/>
        <v>45531</v>
      </c>
      <c r="O850" t="s">
        <v>1272</v>
      </c>
      <c r="P850" s="1">
        <f t="shared" si="120"/>
        <v>45591</v>
      </c>
      <c r="Q850" t="s">
        <v>3363</v>
      </c>
      <c r="R850">
        <v>41</v>
      </c>
      <c r="S850">
        <v>27</v>
      </c>
      <c r="T850" t="s">
        <v>51</v>
      </c>
      <c r="U850" s="8">
        <v>246</v>
      </c>
      <c r="V850" s="8">
        <f t="shared" si="121"/>
        <v>132</v>
      </c>
      <c r="W850" t="str">
        <f t="shared" si="122"/>
        <v>Reorder Required</v>
      </c>
      <c r="X850" s="9">
        <f t="shared" si="123"/>
        <v>45505</v>
      </c>
      <c r="Y850">
        <f t="shared" si="124"/>
        <v>57</v>
      </c>
      <c r="Z850" t="str">
        <f t="shared" si="125"/>
        <v>High Risk</v>
      </c>
    </row>
    <row r="851" spans="1:26" x14ac:dyDescent="0.4">
      <c r="A851" t="s">
        <v>3364</v>
      </c>
      <c r="B851" t="s">
        <v>595</v>
      </c>
      <c r="C851" t="s">
        <v>112</v>
      </c>
      <c r="D851" t="s">
        <v>3365</v>
      </c>
      <c r="E851" t="s">
        <v>1732</v>
      </c>
      <c r="F851">
        <v>23</v>
      </c>
      <c r="G851">
        <v>76</v>
      </c>
      <c r="H851">
        <v>70</v>
      </c>
      <c r="I851" t="s">
        <v>220</v>
      </c>
      <c r="J851" s="7">
        <f t="shared" si="117"/>
        <v>5</v>
      </c>
      <c r="K851" s="1">
        <v>45839</v>
      </c>
      <c r="L851" s="1">
        <f t="shared" si="118"/>
        <v>45839</v>
      </c>
      <c r="M851" t="s">
        <v>24</v>
      </c>
      <c r="N851" s="1">
        <f t="shared" si="119"/>
        <v>45554</v>
      </c>
      <c r="O851" s="1">
        <v>45300</v>
      </c>
      <c r="P851" s="1">
        <f t="shared" si="120"/>
        <v>45300</v>
      </c>
      <c r="Q851" t="s">
        <v>3366</v>
      </c>
      <c r="R851">
        <v>97</v>
      </c>
      <c r="S851">
        <v>38</v>
      </c>
      <c r="T851" t="s">
        <v>42</v>
      </c>
      <c r="U851" s="8">
        <v>485</v>
      </c>
      <c r="V851" s="8">
        <f t="shared" si="121"/>
        <v>115</v>
      </c>
      <c r="W851" t="str">
        <f t="shared" si="122"/>
        <v>Reorder Required</v>
      </c>
      <c r="X851" s="9">
        <f t="shared" si="123"/>
        <v>45839</v>
      </c>
      <c r="Y851">
        <f t="shared" si="124"/>
        <v>-539</v>
      </c>
      <c r="Z851" t="str">
        <f t="shared" si="125"/>
        <v>Invalid Data</v>
      </c>
    </row>
    <row r="852" spans="1:26" x14ac:dyDescent="0.4">
      <c r="A852" t="s">
        <v>3367</v>
      </c>
      <c r="B852" t="s">
        <v>1428</v>
      </c>
      <c r="C852" t="s">
        <v>169</v>
      </c>
      <c r="D852" t="s">
        <v>3368</v>
      </c>
      <c r="E852" t="s">
        <v>1607</v>
      </c>
      <c r="F852">
        <v>35</v>
      </c>
      <c r="G852">
        <v>72</v>
      </c>
      <c r="H852">
        <v>70</v>
      </c>
      <c r="I852" t="s">
        <v>32</v>
      </c>
      <c r="J852" s="7">
        <f t="shared" si="117"/>
        <v>20</v>
      </c>
      <c r="K852" t="s">
        <v>49</v>
      </c>
      <c r="L852" s="1">
        <f t="shared" si="118"/>
        <v>45399</v>
      </c>
      <c r="M852" s="1">
        <v>45386</v>
      </c>
      <c r="N852" s="1">
        <f t="shared" si="119"/>
        <v>45386</v>
      </c>
      <c r="O852" s="1">
        <v>45932</v>
      </c>
      <c r="P852" s="1">
        <f t="shared" si="120"/>
        <v>45932</v>
      </c>
      <c r="Q852" t="s">
        <v>3369</v>
      </c>
      <c r="R852">
        <v>74</v>
      </c>
      <c r="S852">
        <v>15</v>
      </c>
      <c r="T852" t="s">
        <v>42</v>
      </c>
      <c r="U852" s="8">
        <v>1480</v>
      </c>
      <c r="V852" s="8">
        <f t="shared" si="121"/>
        <v>700</v>
      </c>
      <c r="W852" t="str">
        <f t="shared" si="122"/>
        <v>Reorder Required</v>
      </c>
      <c r="X852" s="9">
        <f t="shared" si="123"/>
        <v>45383</v>
      </c>
      <c r="Y852">
        <f t="shared" si="124"/>
        <v>533</v>
      </c>
      <c r="Z852" t="str">
        <f t="shared" si="125"/>
        <v>Safe</v>
      </c>
    </row>
    <row r="853" spans="1:26" x14ac:dyDescent="0.4">
      <c r="A853" t="s">
        <v>3370</v>
      </c>
      <c r="B853" t="s">
        <v>233</v>
      </c>
      <c r="C853" t="s">
        <v>54</v>
      </c>
      <c r="D853" t="s">
        <v>3371</v>
      </c>
      <c r="E853" t="s">
        <v>1990</v>
      </c>
      <c r="F853">
        <v>12</v>
      </c>
      <c r="G853">
        <v>93</v>
      </c>
      <c r="H853">
        <v>29</v>
      </c>
      <c r="I853" t="s">
        <v>63</v>
      </c>
      <c r="J853" s="7">
        <f t="shared" si="117"/>
        <v>1.75</v>
      </c>
      <c r="K853" t="s">
        <v>599</v>
      </c>
      <c r="L853" s="1">
        <f t="shared" si="118"/>
        <v>45708</v>
      </c>
      <c r="M853" s="1">
        <v>45455</v>
      </c>
      <c r="N853" s="1">
        <f t="shared" si="119"/>
        <v>45455</v>
      </c>
      <c r="O853" t="s">
        <v>700</v>
      </c>
      <c r="P853" s="1">
        <f t="shared" si="120"/>
        <v>45519</v>
      </c>
      <c r="Q853" t="s">
        <v>3372</v>
      </c>
      <c r="R853">
        <v>45</v>
      </c>
      <c r="S853">
        <v>12</v>
      </c>
      <c r="T853" t="s">
        <v>42</v>
      </c>
      <c r="U853" s="8">
        <v>78.75</v>
      </c>
      <c r="V853" s="8">
        <f t="shared" si="121"/>
        <v>21</v>
      </c>
      <c r="W853" t="str">
        <f t="shared" si="122"/>
        <v>Reorder Required</v>
      </c>
      <c r="X853" s="9">
        <f t="shared" si="123"/>
        <v>45689</v>
      </c>
      <c r="Y853">
        <f t="shared" si="124"/>
        <v>-189</v>
      </c>
      <c r="Z853" t="str">
        <f t="shared" si="125"/>
        <v>Invalid Data</v>
      </c>
    </row>
    <row r="854" spans="1:26" x14ac:dyDescent="0.4">
      <c r="A854" t="s">
        <v>3373</v>
      </c>
      <c r="B854" t="s">
        <v>923</v>
      </c>
      <c r="C854" t="s">
        <v>77</v>
      </c>
      <c r="D854" t="s">
        <v>3374</v>
      </c>
      <c r="E854" t="s">
        <v>1330</v>
      </c>
      <c r="F854">
        <v>86</v>
      </c>
      <c r="G854">
        <v>23</v>
      </c>
      <c r="H854">
        <v>1</v>
      </c>
      <c r="I854" t="s">
        <v>266</v>
      </c>
      <c r="J854" s="7">
        <f t="shared" si="117"/>
        <v>9</v>
      </c>
      <c r="K854" t="s">
        <v>73</v>
      </c>
      <c r="L854" s="1">
        <f t="shared" si="118"/>
        <v>45463</v>
      </c>
      <c r="M854" t="s">
        <v>148</v>
      </c>
      <c r="N854" s="1">
        <f t="shared" si="119"/>
        <v>45431</v>
      </c>
      <c r="O854" t="s">
        <v>1630</v>
      </c>
      <c r="P854" s="1">
        <f t="shared" si="120"/>
        <v>45374</v>
      </c>
      <c r="Q854" t="s">
        <v>3375</v>
      </c>
      <c r="R854">
        <v>100</v>
      </c>
      <c r="S854">
        <v>86</v>
      </c>
      <c r="T854" t="s">
        <v>42</v>
      </c>
      <c r="U854" s="8">
        <v>900</v>
      </c>
      <c r="V854" s="8">
        <f t="shared" si="121"/>
        <v>774</v>
      </c>
      <c r="W854" t="str">
        <f t="shared" si="122"/>
        <v>Sufficient Stock</v>
      </c>
      <c r="X854" s="9">
        <f t="shared" si="123"/>
        <v>45444</v>
      </c>
      <c r="Y854">
        <f t="shared" si="124"/>
        <v>-89</v>
      </c>
      <c r="Z854" t="str">
        <f t="shared" si="125"/>
        <v>Invalid Data</v>
      </c>
    </row>
    <row r="855" spans="1:26" x14ac:dyDescent="0.4">
      <c r="A855" t="s">
        <v>3376</v>
      </c>
      <c r="B855" t="s">
        <v>1290</v>
      </c>
      <c r="C855" t="s">
        <v>169</v>
      </c>
      <c r="D855" t="s">
        <v>3377</v>
      </c>
      <c r="E855" t="s">
        <v>653</v>
      </c>
      <c r="F855">
        <v>91</v>
      </c>
      <c r="G855">
        <v>96</v>
      </c>
      <c r="H855">
        <v>90</v>
      </c>
      <c r="I855" t="s">
        <v>1293</v>
      </c>
      <c r="J855" s="7">
        <f t="shared" si="117"/>
        <v>7.5</v>
      </c>
      <c r="K855" t="s">
        <v>180</v>
      </c>
      <c r="L855" s="1">
        <f t="shared" si="118"/>
        <v>45702</v>
      </c>
      <c r="M855" s="1">
        <v>45604</v>
      </c>
      <c r="N855" s="1">
        <f t="shared" si="119"/>
        <v>45604</v>
      </c>
      <c r="O855" t="s">
        <v>898</v>
      </c>
      <c r="P855" s="1">
        <f t="shared" si="120"/>
        <v>45650</v>
      </c>
      <c r="Q855" t="s">
        <v>3378</v>
      </c>
      <c r="R855">
        <v>90</v>
      </c>
      <c r="S855">
        <v>75</v>
      </c>
      <c r="T855" t="s">
        <v>42</v>
      </c>
      <c r="U855" s="8">
        <v>675</v>
      </c>
      <c r="V855" s="8">
        <f t="shared" si="121"/>
        <v>682.5</v>
      </c>
      <c r="W855" t="str">
        <f t="shared" si="122"/>
        <v>Reorder Required</v>
      </c>
      <c r="X855" s="9">
        <f t="shared" si="123"/>
        <v>45689</v>
      </c>
      <c r="Y855">
        <f t="shared" si="124"/>
        <v>-52</v>
      </c>
      <c r="Z855" t="str">
        <f t="shared" si="125"/>
        <v>Invalid Data</v>
      </c>
    </row>
    <row r="856" spans="1:26" x14ac:dyDescent="0.4">
      <c r="A856" t="s">
        <v>3379</v>
      </c>
      <c r="B856" t="s">
        <v>1455</v>
      </c>
      <c r="C856" t="s">
        <v>77</v>
      </c>
      <c r="D856" t="s">
        <v>3380</v>
      </c>
      <c r="E856" t="s">
        <v>2280</v>
      </c>
      <c r="F856">
        <v>23</v>
      </c>
      <c r="G856">
        <v>99</v>
      </c>
      <c r="H856">
        <v>97</v>
      </c>
      <c r="I856" t="s">
        <v>106</v>
      </c>
      <c r="J856" s="7">
        <f t="shared" si="117"/>
        <v>2</v>
      </c>
      <c r="K856" s="1">
        <v>45541</v>
      </c>
      <c r="L856" s="1">
        <f t="shared" si="118"/>
        <v>45541</v>
      </c>
      <c r="M856" s="1">
        <v>45447</v>
      </c>
      <c r="N856" s="1">
        <f t="shared" si="119"/>
        <v>45447</v>
      </c>
      <c r="O856" s="1">
        <v>45569</v>
      </c>
      <c r="P856" s="1">
        <f t="shared" si="120"/>
        <v>45569</v>
      </c>
      <c r="Q856" t="s">
        <v>3381</v>
      </c>
      <c r="R856">
        <v>68</v>
      </c>
      <c r="S856">
        <v>76</v>
      </c>
      <c r="T856" t="s">
        <v>26</v>
      </c>
      <c r="U856" s="8">
        <v>136</v>
      </c>
      <c r="V856" s="8">
        <f t="shared" si="121"/>
        <v>46</v>
      </c>
      <c r="W856" t="str">
        <f t="shared" si="122"/>
        <v>Reorder Required</v>
      </c>
      <c r="X856" s="9">
        <f t="shared" si="123"/>
        <v>45536</v>
      </c>
      <c r="Y856">
        <f t="shared" si="124"/>
        <v>28</v>
      </c>
      <c r="Z856" t="str">
        <f t="shared" si="125"/>
        <v>Critical</v>
      </c>
    </row>
    <row r="857" spans="1:26" x14ac:dyDescent="0.4">
      <c r="A857" t="s">
        <v>3382</v>
      </c>
      <c r="B857" t="s">
        <v>271</v>
      </c>
      <c r="C857" t="s">
        <v>54</v>
      </c>
      <c r="D857" t="s">
        <v>3383</v>
      </c>
      <c r="E857" t="s">
        <v>508</v>
      </c>
      <c r="F857">
        <v>98</v>
      </c>
      <c r="G857">
        <v>40</v>
      </c>
      <c r="H857">
        <v>100</v>
      </c>
      <c r="I857" t="s">
        <v>106</v>
      </c>
      <c r="J857" s="7">
        <f t="shared" si="117"/>
        <v>2</v>
      </c>
      <c r="K857" s="1">
        <v>45718</v>
      </c>
      <c r="L857" s="1">
        <f t="shared" si="118"/>
        <v>45718</v>
      </c>
      <c r="M857" t="s">
        <v>287</v>
      </c>
      <c r="N857" s="1">
        <f t="shared" si="119"/>
        <v>45595</v>
      </c>
      <c r="O857" t="s">
        <v>1057</v>
      </c>
      <c r="P857" s="1">
        <f t="shared" si="120"/>
        <v>45645</v>
      </c>
      <c r="Q857" t="s">
        <v>3384</v>
      </c>
      <c r="R857">
        <v>46</v>
      </c>
      <c r="S857">
        <v>9</v>
      </c>
      <c r="T857" t="s">
        <v>51</v>
      </c>
      <c r="U857" s="8">
        <v>92</v>
      </c>
      <c r="V857" s="8">
        <f t="shared" si="121"/>
        <v>196</v>
      </c>
      <c r="W857" t="str">
        <f t="shared" si="122"/>
        <v>Sufficient Stock</v>
      </c>
      <c r="X857" s="9">
        <f t="shared" si="123"/>
        <v>45717</v>
      </c>
      <c r="Y857">
        <f t="shared" si="124"/>
        <v>-73</v>
      </c>
      <c r="Z857" t="str">
        <f t="shared" si="125"/>
        <v>Invalid Data</v>
      </c>
    </row>
    <row r="858" spans="1:26" x14ac:dyDescent="0.4">
      <c r="A858" t="s">
        <v>3385</v>
      </c>
      <c r="B858" t="s">
        <v>2561</v>
      </c>
      <c r="C858" t="s">
        <v>54</v>
      </c>
      <c r="D858" t="s">
        <v>3386</v>
      </c>
      <c r="E858" t="s">
        <v>120</v>
      </c>
      <c r="F858">
        <v>29</v>
      </c>
      <c r="G858">
        <v>66</v>
      </c>
      <c r="H858">
        <v>21</v>
      </c>
      <c r="I858" t="s">
        <v>147</v>
      </c>
      <c r="J858" s="7">
        <f t="shared" si="117"/>
        <v>8</v>
      </c>
      <c r="K858" t="s">
        <v>654</v>
      </c>
      <c r="L858" s="1">
        <f t="shared" si="118"/>
        <v>45594</v>
      </c>
      <c r="M858" s="1">
        <v>45603</v>
      </c>
      <c r="N858" s="1">
        <f t="shared" si="119"/>
        <v>45603</v>
      </c>
      <c r="O858" s="1">
        <v>45484</v>
      </c>
      <c r="P858" s="1">
        <f t="shared" si="120"/>
        <v>45484</v>
      </c>
      <c r="Q858" t="s">
        <v>3387</v>
      </c>
      <c r="R858">
        <v>74</v>
      </c>
      <c r="S858">
        <v>93</v>
      </c>
      <c r="T858" t="s">
        <v>26</v>
      </c>
      <c r="U858" s="8">
        <v>592</v>
      </c>
      <c r="V858" s="8">
        <f t="shared" si="121"/>
        <v>232</v>
      </c>
      <c r="W858" t="str">
        <f t="shared" si="122"/>
        <v>Reorder Required</v>
      </c>
      <c r="X858" s="9">
        <f t="shared" si="123"/>
        <v>45566</v>
      </c>
      <c r="Y858">
        <f t="shared" si="124"/>
        <v>-110</v>
      </c>
      <c r="Z858" t="str">
        <f t="shared" si="125"/>
        <v>Invalid Data</v>
      </c>
    </row>
    <row r="859" spans="1:26" x14ac:dyDescent="0.4">
      <c r="A859" t="s">
        <v>3388</v>
      </c>
      <c r="B859" t="s">
        <v>698</v>
      </c>
      <c r="C859" t="s">
        <v>54</v>
      </c>
      <c r="D859" t="s">
        <v>3389</v>
      </c>
      <c r="E859" t="s">
        <v>3390</v>
      </c>
      <c r="F859">
        <v>32</v>
      </c>
      <c r="G859">
        <v>27</v>
      </c>
      <c r="H859">
        <v>26</v>
      </c>
      <c r="I859" t="s">
        <v>220</v>
      </c>
      <c r="J859" s="7">
        <f t="shared" si="117"/>
        <v>5</v>
      </c>
      <c r="K859" t="s">
        <v>200</v>
      </c>
      <c r="L859" s="1">
        <f t="shared" si="118"/>
        <v>45442</v>
      </c>
      <c r="M859" t="s">
        <v>473</v>
      </c>
      <c r="N859" s="1">
        <f t="shared" si="119"/>
        <v>45616</v>
      </c>
      <c r="O859" t="s">
        <v>1217</v>
      </c>
      <c r="P859" s="1">
        <f t="shared" si="120"/>
        <v>45671</v>
      </c>
      <c r="Q859" t="s">
        <v>3391</v>
      </c>
      <c r="R859">
        <v>38</v>
      </c>
      <c r="S859">
        <v>79</v>
      </c>
      <c r="T859" t="s">
        <v>42</v>
      </c>
      <c r="U859" s="8">
        <v>190</v>
      </c>
      <c r="V859" s="8">
        <f t="shared" si="121"/>
        <v>160</v>
      </c>
      <c r="W859" t="str">
        <f t="shared" si="122"/>
        <v>Sufficient Stock</v>
      </c>
      <c r="X859" s="9">
        <f t="shared" si="123"/>
        <v>45413</v>
      </c>
      <c r="Y859">
        <f t="shared" si="124"/>
        <v>229</v>
      </c>
      <c r="Z859" t="str">
        <f t="shared" si="125"/>
        <v>Low Risk</v>
      </c>
    </row>
    <row r="860" spans="1:26" x14ac:dyDescent="0.4">
      <c r="A860" t="s">
        <v>3392</v>
      </c>
      <c r="B860" t="s">
        <v>225</v>
      </c>
      <c r="C860" t="s">
        <v>54</v>
      </c>
      <c r="D860" t="s">
        <v>3393</v>
      </c>
      <c r="E860" t="s">
        <v>1242</v>
      </c>
      <c r="F860">
        <v>84</v>
      </c>
      <c r="G860">
        <v>74</v>
      </c>
      <c r="H860">
        <v>48</v>
      </c>
      <c r="I860" t="s">
        <v>21</v>
      </c>
      <c r="J860" s="7">
        <f t="shared" si="117"/>
        <v>4.5</v>
      </c>
      <c r="K860" t="s">
        <v>898</v>
      </c>
      <c r="L860" s="1">
        <f t="shared" si="118"/>
        <v>45650</v>
      </c>
      <c r="M860" t="s">
        <v>383</v>
      </c>
      <c r="N860" s="1">
        <f t="shared" si="119"/>
        <v>45582</v>
      </c>
      <c r="O860" t="s">
        <v>100</v>
      </c>
      <c r="P860" s="1">
        <f t="shared" si="120"/>
        <v>45436</v>
      </c>
      <c r="Q860" t="s">
        <v>3394</v>
      </c>
      <c r="R860">
        <v>64</v>
      </c>
      <c r="S860">
        <v>32</v>
      </c>
      <c r="T860" t="s">
        <v>42</v>
      </c>
      <c r="U860" s="8">
        <v>288</v>
      </c>
      <c r="V860" s="8">
        <f t="shared" si="121"/>
        <v>378</v>
      </c>
      <c r="W860" t="str">
        <f t="shared" si="122"/>
        <v>Sufficient Stock</v>
      </c>
      <c r="X860" s="9">
        <f t="shared" si="123"/>
        <v>45627</v>
      </c>
      <c r="Y860">
        <f t="shared" si="124"/>
        <v>-214</v>
      </c>
      <c r="Z860" t="str">
        <f t="shared" si="125"/>
        <v>Invalid Data</v>
      </c>
    </row>
    <row r="861" spans="1:26" x14ac:dyDescent="0.4">
      <c r="A861" t="s">
        <v>3395</v>
      </c>
      <c r="B861" t="s">
        <v>1485</v>
      </c>
      <c r="C861" t="s">
        <v>77</v>
      </c>
      <c r="D861" t="s">
        <v>3396</v>
      </c>
      <c r="E861" t="s">
        <v>806</v>
      </c>
      <c r="F861">
        <v>86</v>
      </c>
      <c r="G861">
        <v>20</v>
      </c>
      <c r="H861">
        <v>67</v>
      </c>
      <c r="I861" t="s">
        <v>63</v>
      </c>
      <c r="J861" s="7">
        <f t="shared" si="117"/>
        <v>1.75</v>
      </c>
      <c r="K861" s="1">
        <v>45993</v>
      </c>
      <c r="L861" s="1">
        <f t="shared" si="118"/>
        <v>45993</v>
      </c>
      <c r="M861" s="1">
        <v>45480</v>
      </c>
      <c r="N861" s="1">
        <f t="shared" si="119"/>
        <v>45480</v>
      </c>
      <c r="O861" s="1">
        <v>45359</v>
      </c>
      <c r="P861" s="1">
        <f t="shared" si="120"/>
        <v>45359</v>
      </c>
      <c r="Q861" t="s">
        <v>3397</v>
      </c>
      <c r="R861">
        <v>83</v>
      </c>
      <c r="S861">
        <v>82</v>
      </c>
      <c r="T861" t="s">
        <v>26</v>
      </c>
      <c r="U861" s="8">
        <v>145.25</v>
      </c>
      <c r="V861" s="8">
        <f t="shared" si="121"/>
        <v>150.5</v>
      </c>
      <c r="W861" t="str">
        <f t="shared" si="122"/>
        <v>Sufficient Stock</v>
      </c>
      <c r="X861" s="9">
        <f t="shared" si="123"/>
        <v>45992</v>
      </c>
      <c r="Y861">
        <f t="shared" si="124"/>
        <v>-634</v>
      </c>
      <c r="Z861" t="str">
        <f t="shared" si="125"/>
        <v>Invalid Data</v>
      </c>
    </row>
    <row r="862" spans="1:26" x14ac:dyDescent="0.4">
      <c r="A862" t="s">
        <v>3398</v>
      </c>
      <c r="B862" t="s">
        <v>36</v>
      </c>
      <c r="C862" t="s">
        <v>18</v>
      </c>
      <c r="D862" t="s">
        <v>3399</v>
      </c>
      <c r="E862" t="s">
        <v>3189</v>
      </c>
      <c r="F862">
        <v>11</v>
      </c>
      <c r="G862">
        <v>58</v>
      </c>
      <c r="H862">
        <v>26</v>
      </c>
      <c r="I862" t="s">
        <v>1829</v>
      </c>
      <c r="J862" s="7">
        <f t="shared" si="117"/>
        <v>6.2</v>
      </c>
      <c r="K862" s="1">
        <v>45449</v>
      </c>
      <c r="L862" s="1">
        <f t="shared" si="118"/>
        <v>45449</v>
      </c>
      <c r="M862" s="1">
        <v>45363</v>
      </c>
      <c r="N862" s="1">
        <f t="shared" si="119"/>
        <v>45363</v>
      </c>
      <c r="O862" s="1">
        <v>45511</v>
      </c>
      <c r="P862" s="1">
        <f t="shared" si="120"/>
        <v>45511</v>
      </c>
      <c r="Q862" t="s">
        <v>3400</v>
      </c>
      <c r="R862">
        <v>49</v>
      </c>
      <c r="S862">
        <v>34</v>
      </c>
      <c r="T862" t="s">
        <v>51</v>
      </c>
      <c r="U862" s="8">
        <v>303.8</v>
      </c>
      <c r="V862" s="8">
        <f t="shared" si="121"/>
        <v>68.2</v>
      </c>
      <c r="W862" t="str">
        <f t="shared" si="122"/>
        <v>Reorder Required</v>
      </c>
      <c r="X862" s="9">
        <f t="shared" si="123"/>
        <v>45444</v>
      </c>
      <c r="Y862">
        <f t="shared" si="124"/>
        <v>62</v>
      </c>
      <c r="Z862" t="str">
        <f t="shared" si="125"/>
        <v>High Risk</v>
      </c>
    </row>
    <row r="863" spans="1:26" x14ac:dyDescent="0.4">
      <c r="A863" t="s">
        <v>3401</v>
      </c>
      <c r="B863" t="s">
        <v>984</v>
      </c>
      <c r="C863" t="s">
        <v>18</v>
      </c>
      <c r="D863" t="s">
        <v>3402</v>
      </c>
      <c r="E863" t="s">
        <v>1136</v>
      </c>
      <c r="F863">
        <v>60</v>
      </c>
      <c r="G863">
        <v>69</v>
      </c>
      <c r="H863">
        <v>64</v>
      </c>
      <c r="I863" t="s">
        <v>986</v>
      </c>
      <c r="J863" s="7">
        <f t="shared" si="117"/>
        <v>2.75</v>
      </c>
      <c r="K863" t="s">
        <v>1500</v>
      </c>
      <c r="L863" s="1">
        <f t="shared" si="118"/>
        <v>45711</v>
      </c>
      <c r="M863" s="1">
        <v>45538</v>
      </c>
      <c r="N863" s="1">
        <f t="shared" si="119"/>
        <v>45538</v>
      </c>
      <c r="O863" s="1">
        <v>45689</v>
      </c>
      <c r="P863" s="1">
        <f t="shared" si="120"/>
        <v>45689</v>
      </c>
      <c r="Q863" t="s">
        <v>3403</v>
      </c>
      <c r="R863">
        <v>51</v>
      </c>
      <c r="S863">
        <v>6</v>
      </c>
      <c r="T863" t="s">
        <v>51</v>
      </c>
      <c r="U863" s="8">
        <v>140.25</v>
      </c>
      <c r="V863" s="8">
        <f t="shared" si="121"/>
        <v>165</v>
      </c>
      <c r="W863" t="str">
        <f t="shared" si="122"/>
        <v>Reorder Required</v>
      </c>
      <c r="X863" s="9">
        <f t="shared" si="123"/>
        <v>45689</v>
      </c>
      <c r="Y863">
        <f t="shared" si="124"/>
        <v>-22</v>
      </c>
      <c r="Z863" t="str">
        <f t="shared" si="125"/>
        <v>Invalid Data</v>
      </c>
    </row>
    <row r="864" spans="1:26" x14ac:dyDescent="0.4">
      <c r="A864" t="s">
        <v>3404</v>
      </c>
      <c r="B864" t="s">
        <v>1835</v>
      </c>
      <c r="C864" t="s">
        <v>112</v>
      </c>
      <c r="D864" t="s">
        <v>3405</v>
      </c>
      <c r="E864" t="s">
        <v>1553</v>
      </c>
      <c r="F864">
        <v>58</v>
      </c>
      <c r="G864">
        <v>48</v>
      </c>
      <c r="H864">
        <v>9</v>
      </c>
      <c r="I864" t="s">
        <v>242</v>
      </c>
      <c r="J864" s="7">
        <f t="shared" si="117"/>
        <v>3.5</v>
      </c>
      <c r="K864" s="1">
        <v>45485</v>
      </c>
      <c r="L864" s="1">
        <f t="shared" si="118"/>
        <v>45485</v>
      </c>
      <c r="M864" s="1">
        <v>45359</v>
      </c>
      <c r="N864" s="1">
        <f t="shared" si="119"/>
        <v>45359</v>
      </c>
      <c r="O864" t="s">
        <v>409</v>
      </c>
      <c r="P864" s="1">
        <f t="shared" si="120"/>
        <v>45370</v>
      </c>
      <c r="Q864" t="s">
        <v>3406</v>
      </c>
      <c r="R864">
        <v>98</v>
      </c>
      <c r="S864">
        <v>69</v>
      </c>
      <c r="T864" t="s">
        <v>51</v>
      </c>
      <c r="U864" s="8">
        <v>343</v>
      </c>
      <c r="V864" s="8">
        <f t="shared" si="121"/>
        <v>203</v>
      </c>
      <c r="W864" t="str">
        <f t="shared" si="122"/>
        <v>Sufficient Stock</v>
      </c>
      <c r="X864" s="9">
        <f t="shared" si="123"/>
        <v>45474</v>
      </c>
      <c r="Y864">
        <f t="shared" si="124"/>
        <v>-115</v>
      </c>
      <c r="Z864" t="str">
        <f t="shared" si="125"/>
        <v>Invalid Data</v>
      </c>
    </row>
    <row r="865" spans="1:26" x14ac:dyDescent="0.4">
      <c r="A865" t="s">
        <v>3407</v>
      </c>
      <c r="B865" t="s">
        <v>447</v>
      </c>
      <c r="C865" t="s">
        <v>77</v>
      </c>
      <c r="D865" t="s">
        <v>3408</v>
      </c>
      <c r="E865" t="s">
        <v>763</v>
      </c>
      <c r="F865">
        <v>64</v>
      </c>
      <c r="G865">
        <v>95</v>
      </c>
      <c r="H865">
        <v>62</v>
      </c>
      <c r="I865" t="s">
        <v>39</v>
      </c>
      <c r="J865" s="7">
        <f t="shared" si="117"/>
        <v>6</v>
      </c>
      <c r="K865" t="s">
        <v>100</v>
      </c>
      <c r="L865" s="1">
        <f t="shared" si="118"/>
        <v>45436</v>
      </c>
      <c r="M865" t="s">
        <v>1173</v>
      </c>
      <c r="N865" s="1">
        <f t="shared" si="119"/>
        <v>45526</v>
      </c>
      <c r="O865" t="s">
        <v>807</v>
      </c>
      <c r="P865" s="1">
        <f t="shared" si="120"/>
        <v>45429</v>
      </c>
      <c r="Q865" t="s">
        <v>3409</v>
      </c>
      <c r="R865">
        <v>55</v>
      </c>
      <c r="S865">
        <v>1</v>
      </c>
      <c r="T865" t="s">
        <v>26</v>
      </c>
      <c r="U865" s="8">
        <v>330</v>
      </c>
      <c r="V865" s="8">
        <f t="shared" si="121"/>
        <v>384</v>
      </c>
      <c r="W865" t="str">
        <f t="shared" si="122"/>
        <v>Reorder Required</v>
      </c>
      <c r="X865" s="9">
        <f t="shared" si="123"/>
        <v>45413</v>
      </c>
      <c r="Y865">
        <f t="shared" si="124"/>
        <v>-7</v>
      </c>
      <c r="Z865" t="str">
        <f t="shared" si="125"/>
        <v>Invalid Data</v>
      </c>
    </row>
    <row r="866" spans="1:26" x14ac:dyDescent="0.4">
      <c r="A866" t="s">
        <v>3410</v>
      </c>
      <c r="B866" t="s">
        <v>784</v>
      </c>
      <c r="C866" t="s">
        <v>68</v>
      </c>
      <c r="D866" t="s">
        <v>3411</v>
      </c>
      <c r="E866" t="s">
        <v>1192</v>
      </c>
      <c r="F866">
        <v>19</v>
      </c>
      <c r="G866">
        <v>80</v>
      </c>
      <c r="H866">
        <v>87</v>
      </c>
      <c r="I866" t="s">
        <v>314</v>
      </c>
      <c r="J866" s="7">
        <f t="shared" si="117"/>
        <v>2.2999999999999998</v>
      </c>
      <c r="K866" s="1">
        <v>45606</v>
      </c>
      <c r="L866" s="1">
        <f t="shared" si="118"/>
        <v>45606</v>
      </c>
      <c r="M866" t="s">
        <v>415</v>
      </c>
      <c r="N866" s="1">
        <f t="shared" si="119"/>
        <v>45588</v>
      </c>
      <c r="O866" t="s">
        <v>2285</v>
      </c>
      <c r="P866" s="1">
        <f t="shared" si="120"/>
        <v>45656</v>
      </c>
      <c r="Q866" t="s">
        <v>3412</v>
      </c>
      <c r="R866">
        <v>33</v>
      </c>
      <c r="S866">
        <v>38</v>
      </c>
      <c r="T866" t="s">
        <v>42</v>
      </c>
      <c r="U866" s="8">
        <v>75.899999999999991</v>
      </c>
      <c r="V866" s="8">
        <f t="shared" si="121"/>
        <v>43.699999999999996</v>
      </c>
      <c r="W866" t="str">
        <f t="shared" si="122"/>
        <v>Reorder Required</v>
      </c>
      <c r="X866" s="9">
        <f t="shared" si="123"/>
        <v>45597</v>
      </c>
      <c r="Y866">
        <f t="shared" si="124"/>
        <v>50</v>
      </c>
      <c r="Z866" t="str">
        <f t="shared" si="125"/>
        <v>High Risk</v>
      </c>
    </row>
    <row r="867" spans="1:26" x14ac:dyDescent="0.4">
      <c r="A867" t="s">
        <v>3413</v>
      </c>
      <c r="B867" t="s">
        <v>2561</v>
      </c>
      <c r="C867" t="s">
        <v>54</v>
      </c>
      <c r="D867" t="s">
        <v>3414</v>
      </c>
      <c r="E867" t="s">
        <v>178</v>
      </c>
      <c r="F867">
        <v>43</v>
      </c>
      <c r="G867">
        <v>41</v>
      </c>
      <c r="H867">
        <v>100</v>
      </c>
      <c r="I867" t="s">
        <v>147</v>
      </c>
      <c r="J867" s="7">
        <f t="shared" si="117"/>
        <v>8</v>
      </c>
      <c r="K867" t="s">
        <v>688</v>
      </c>
      <c r="L867" s="1">
        <f t="shared" si="118"/>
        <v>45459</v>
      </c>
      <c r="M867" s="1">
        <v>45508</v>
      </c>
      <c r="N867" s="1">
        <f t="shared" si="119"/>
        <v>45508</v>
      </c>
      <c r="O867" s="1">
        <v>45297</v>
      </c>
      <c r="P867" s="1">
        <f t="shared" si="120"/>
        <v>45297</v>
      </c>
      <c r="Q867" t="s">
        <v>3415</v>
      </c>
      <c r="R867">
        <v>27</v>
      </c>
      <c r="S867">
        <v>78</v>
      </c>
      <c r="T867" t="s">
        <v>51</v>
      </c>
      <c r="U867" s="8">
        <v>216</v>
      </c>
      <c r="V867" s="8">
        <f t="shared" si="121"/>
        <v>344</v>
      </c>
      <c r="W867" t="str">
        <f t="shared" si="122"/>
        <v>Sufficient Stock</v>
      </c>
      <c r="X867" s="9">
        <f t="shared" si="123"/>
        <v>45444</v>
      </c>
      <c r="Y867">
        <f t="shared" si="124"/>
        <v>-162</v>
      </c>
      <c r="Z867" t="str">
        <f t="shared" si="125"/>
        <v>Invalid Data</v>
      </c>
    </row>
    <row r="868" spans="1:26" x14ac:dyDescent="0.4">
      <c r="A868" t="s">
        <v>3416</v>
      </c>
      <c r="B868" t="s">
        <v>582</v>
      </c>
      <c r="C868" t="s">
        <v>68</v>
      </c>
      <c r="D868" t="s">
        <v>3417</v>
      </c>
      <c r="E868" t="s">
        <v>530</v>
      </c>
      <c r="F868">
        <v>38</v>
      </c>
      <c r="G868">
        <v>62</v>
      </c>
      <c r="H868">
        <v>47</v>
      </c>
      <c r="I868" t="s">
        <v>57</v>
      </c>
      <c r="J868" s="7">
        <f t="shared" si="117"/>
        <v>4</v>
      </c>
      <c r="K868" s="1">
        <v>45334</v>
      </c>
      <c r="L868" s="1">
        <f t="shared" si="118"/>
        <v>45334</v>
      </c>
      <c r="M868" s="1">
        <v>45638</v>
      </c>
      <c r="N868" s="1">
        <f t="shared" si="119"/>
        <v>45638</v>
      </c>
      <c r="O868" t="s">
        <v>408</v>
      </c>
      <c r="P868" s="1">
        <f t="shared" si="120"/>
        <v>45609</v>
      </c>
      <c r="Q868" t="s">
        <v>3418</v>
      </c>
      <c r="R868">
        <v>41</v>
      </c>
      <c r="S868">
        <v>34</v>
      </c>
      <c r="T868" t="s">
        <v>26</v>
      </c>
      <c r="U868" s="8">
        <v>164</v>
      </c>
      <c r="V868" s="8">
        <f t="shared" si="121"/>
        <v>152</v>
      </c>
      <c r="W868" t="str">
        <f t="shared" si="122"/>
        <v>Reorder Required</v>
      </c>
      <c r="X868" s="9">
        <f t="shared" si="123"/>
        <v>45323</v>
      </c>
      <c r="Y868">
        <f t="shared" si="124"/>
        <v>275</v>
      </c>
      <c r="Z868" t="str">
        <f t="shared" si="125"/>
        <v>Low Risk</v>
      </c>
    </row>
    <row r="869" spans="1:26" x14ac:dyDescent="0.4">
      <c r="A869" t="s">
        <v>3419</v>
      </c>
      <c r="B869" t="s">
        <v>820</v>
      </c>
      <c r="C869" t="s">
        <v>77</v>
      </c>
      <c r="D869" t="s">
        <v>3420</v>
      </c>
      <c r="E869" t="s">
        <v>1799</v>
      </c>
      <c r="F869">
        <v>70</v>
      </c>
      <c r="G869">
        <v>66</v>
      </c>
      <c r="H869">
        <v>74</v>
      </c>
      <c r="I869" t="s">
        <v>71</v>
      </c>
      <c r="J869" s="7">
        <f t="shared" si="117"/>
        <v>2.5</v>
      </c>
      <c r="K869" s="1">
        <v>45607</v>
      </c>
      <c r="L869" s="1">
        <f t="shared" si="118"/>
        <v>45607</v>
      </c>
      <c r="M869" s="1">
        <v>45603</v>
      </c>
      <c r="N869" s="1">
        <f t="shared" si="119"/>
        <v>45603</v>
      </c>
      <c r="O869" t="s">
        <v>236</v>
      </c>
      <c r="P869" s="1">
        <f t="shared" si="120"/>
        <v>45379</v>
      </c>
      <c r="Q869" t="s">
        <v>3421</v>
      </c>
      <c r="R869">
        <v>47</v>
      </c>
      <c r="S869">
        <v>77</v>
      </c>
      <c r="T869" t="s">
        <v>51</v>
      </c>
      <c r="U869" s="8">
        <v>117.5</v>
      </c>
      <c r="V869" s="8">
        <f t="shared" si="121"/>
        <v>175</v>
      </c>
      <c r="W869" t="str">
        <f t="shared" si="122"/>
        <v>Sufficient Stock</v>
      </c>
      <c r="X869" s="9">
        <f t="shared" si="123"/>
        <v>45597</v>
      </c>
      <c r="Y869">
        <f t="shared" si="124"/>
        <v>-228</v>
      </c>
      <c r="Z869" t="str">
        <f t="shared" si="125"/>
        <v>Invalid Data</v>
      </c>
    </row>
    <row r="870" spans="1:26" x14ac:dyDescent="0.4">
      <c r="A870" t="s">
        <v>3422</v>
      </c>
      <c r="B870" t="s">
        <v>962</v>
      </c>
      <c r="C870" t="s">
        <v>54</v>
      </c>
      <c r="D870" t="s">
        <v>3423</v>
      </c>
      <c r="E870" t="s">
        <v>1019</v>
      </c>
      <c r="F870">
        <v>18</v>
      </c>
      <c r="G870">
        <v>3</v>
      </c>
      <c r="H870">
        <v>39</v>
      </c>
      <c r="I870" t="s">
        <v>220</v>
      </c>
      <c r="J870" s="7">
        <f t="shared" si="117"/>
        <v>5</v>
      </c>
      <c r="K870" t="s">
        <v>359</v>
      </c>
      <c r="L870" s="1">
        <f t="shared" si="118"/>
        <v>45583</v>
      </c>
      <c r="M870" t="s">
        <v>280</v>
      </c>
      <c r="N870" s="1">
        <f t="shared" si="119"/>
        <v>45704</v>
      </c>
      <c r="O870" t="s">
        <v>485</v>
      </c>
      <c r="P870" s="1">
        <f t="shared" si="120"/>
        <v>45620</v>
      </c>
      <c r="Q870" t="s">
        <v>3424</v>
      </c>
      <c r="R870">
        <v>58</v>
      </c>
      <c r="S870">
        <v>61</v>
      </c>
      <c r="T870" t="s">
        <v>42</v>
      </c>
      <c r="U870" s="8">
        <v>290</v>
      </c>
      <c r="V870" s="8">
        <f t="shared" si="121"/>
        <v>90</v>
      </c>
      <c r="W870" t="str">
        <f t="shared" si="122"/>
        <v>Sufficient Stock</v>
      </c>
      <c r="X870" s="9">
        <f t="shared" si="123"/>
        <v>45566</v>
      </c>
      <c r="Y870">
        <f t="shared" si="124"/>
        <v>37</v>
      </c>
      <c r="Z870" t="str">
        <f t="shared" si="125"/>
        <v>High Risk</v>
      </c>
    </row>
    <row r="871" spans="1:26" x14ac:dyDescent="0.4">
      <c r="A871" t="s">
        <v>3425</v>
      </c>
      <c r="B871" t="s">
        <v>1406</v>
      </c>
      <c r="C871" t="s">
        <v>18</v>
      </c>
      <c r="D871" t="s">
        <v>3426</v>
      </c>
      <c r="E871" t="s">
        <v>97</v>
      </c>
      <c r="F871">
        <v>46</v>
      </c>
      <c r="G871">
        <v>81</v>
      </c>
      <c r="H871">
        <v>47</v>
      </c>
      <c r="I871" t="s">
        <v>71</v>
      </c>
      <c r="J871" s="7">
        <f t="shared" si="117"/>
        <v>2.5</v>
      </c>
      <c r="K871" s="1">
        <v>45421</v>
      </c>
      <c r="L871" s="1">
        <f t="shared" si="118"/>
        <v>45421</v>
      </c>
      <c r="M871" s="1">
        <v>45605</v>
      </c>
      <c r="N871" s="1">
        <f t="shared" si="119"/>
        <v>45605</v>
      </c>
      <c r="O871" t="s">
        <v>467</v>
      </c>
      <c r="P871" s="1">
        <f t="shared" si="120"/>
        <v>45673</v>
      </c>
      <c r="Q871" t="s">
        <v>3427</v>
      </c>
      <c r="R871">
        <v>48</v>
      </c>
      <c r="S871">
        <v>48</v>
      </c>
      <c r="T871" t="s">
        <v>51</v>
      </c>
      <c r="U871" s="8">
        <v>120</v>
      </c>
      <c r="V871" s="8">
        <f t="shared" si="121"/>
        <v>115</v>
      </c>
      <c r="W871" t="str">
        <f t="shared" si="122"/>
        <v>Reorder Required</v>
      </c>
      <c r="X871" s="9">
        <f t="shared" si="123"/>
        <v>45413</v>
      </c>
      <c r="Y871">
        <f t="shared" si="124"/>
        <v>252</v>
      </c>
      <c r="Z871" t="str">
        <f t="shared" si="125"/>
        <v>Low Risk</v>
      </c>
    </row>
    <row r="872" spans="1:26" x14ac:dyDescent="0.4">
      <c r="A872" t="s">
        <v>3428</v>
      </c>
      <c r="B872" t="s">
        <v>28</v>
      </c>
      <c r="C872" t="s">
        <v>29</v>
      </c>
      <c r="D872" t="s">
        <v>3429</v>
      </c>
      <c r="E872" t="s">
        <v>3430</v>
      </c>
      <c r="F872">
        <v>78</v>
      </c>
      <c r="G872">
        <v>34</v>
      </c>
      <c r="H872">
        <v>39</v>
      </c>
      <c r="I872" t="s">
        <v>3431</v>
      </c>
      <c r="J872" s="7">
        <f t="shared" si="117"/>
        <v>20.5</v>
      </c>
      <c r="K872" t="s">
        <v>408</v>
      </c>
      <c r="L872" s="1">
        <f t="shared" si="118"/>
        <v>45609</v>
      </c>
      <c r="M872" t="s">
        <v>893</v>
      </c>
      <c r="N872" s="1">
        <f t="shared" si="119"/>
        <v>45530</v>
      </c>
      <c r="O872" t="s">
        <v>243</v>
      </c>
      <c r="P872" s="1">
        <f t="shared" si="120"/>
        <v>45527</v>
      </c>
      <c r="Q872" t="s">
        <v>3432</v>
      </c>
      <c r="R872">
        <v>62</v>
      </c>
      <c r="S872">
        <v>2</v>
      </c>
      <c r="T872" t="s">
        <v>51</v>
      </c>
      <c r="U872" s="8">
        <v>1271</v>
      </c>
      <c r="V872" s="8">
        <f t="shared" si="121"/>
        <v>1599</v>
      </c>
      <c r="W872" t="str">
        <f t="shared" si="122"/>
        <v>Sufficient Stock</v>
      </c>
      <c r="X872" s="9">
        <f t="shared" si="123"/>
        <v>45597</v>
      </c>
      <c r="Y872">
        <f t="shared" si="124"/>
        <v>-82</v>
      </c>
      <c r="Z872" t="str">
        <f t="shared" si="125"/>
        <v>Invalid Data</v>
      </c>
    </row>
    <row r="873" spans="1:26" x14ac:dyDescent="0.4">
      <c r="A873" t="s">
        <v>3433</v>
      </c>
      <c r="B873" t="s">
        <v>784</v>
      </c>
      <c r="C873" t="s">
        <v>68</v>
      </c>
      <c r="D873" t="s">
        <v>3434</v>
      </c>
      <c r="E873" t="s">
        <v>530</v>
      </c>
      <c r="F873">
        <v>53</v>
      </c>
      <c r="G873">
        <v>20</v>
      </c>
      <c r="H873">
        <v>75</v>
      </c>
      <c r="I873" t="s">
        <v>314</v>
      </c>
      <c r="J873" s="7">
        <f t="shared" si="117"/>
        <v>2.2999999999999998</v>
      </c>
      <c r="K873" s="1">
        <v>45632</v>
      </c>
      <c r="L873" s="1">
        <f t="shared" si="118"/>
        <v>45632</v>
      </c>
      <c r="M873" s="1">
        <v>45301</v>
      </c>
      <c r="N873" s="1">
        <f t="shared" si="119"/>
        <v>45301</v>
      </c>
      <c r="O873" s="1">
        <v>45748</v>
      </c>
      <c r="P873" s="1">
        <f t="shared" si="120"/>
        <v>45748</v>
      </c>
      <c r="Q873" t="s">
        <v>3435</v>
      </c>
      <c r="R873">
        <v>83</v>
      </c>
      <c r="S873">
        <v>77</v>
      </c>
      <c r="T873" t="s">
        <v>42</v>
      </c>
      <c r="U873" s="8">
        <v>190.89999999999998</v>
      </c>
      <c r="V873" s="8">
        <f t="shared" si="121"/>
        <v>121.89999999999999</v>
      </c>
      <c r="W873" t="str">
        <f t="shared" si="122"/>
        <v>Sufficient Stock</v>
      </c>
      <c r="X873" s="9">
        <f t="shared" si="123"/>
        <v>45627</v>
      </c>
      <c r="Y873">
        <f t="shared" si="124"/>
        <v>116</v>
      </c>
      <c r="Z873" t="str">
        <f t="shared" si="125"/>
        <v>Medium Risk</v>
      </c>
    </row>
    <row r="874" spans="1:26" x14ac:dyDescent="0.4">
      <c r="A874" t="s">
        <v>3436</v>
      </c>
      <c r="B874" t="s">
        <v>263</v>
      </c>
      <c r="C874" t="s">
        <v>169</v>
      </c>
      <c r="D874" t="s">
        <v>3437</v>
      </c>
      <c r="E874" t="s">
        <v>850</v>
      </c>
      <c r="F874">
        <v>67</v>
      </c>
      <c r="G874">
        <v>71</v>
      </c>
      <c r="H874">
        <v>4</v>
      </c>
      <c r="I874" t="s">
        <v>266</v>
      </c>
      <c r="J874" s="7">
        <f t="shared" si="117"/>
        <v>9</v>
      </c>
      <c r="K874" t="s">
        <v>1057</v>
      </c>
      <c r="L874" s="1">
        <f t="shared" si="118"/>
        <v>45645</v>
      </c>
      <c r="M874" t="s">
        <v>1482</v>
      </c>
      <c r="N874" s="1">
        <f t="shared" si="119"/>
        <v>45396</v>
      </c>
      <c r="O874" s="1">
        <v>45511</v>
      </c>
      <c r="P874" s="1">
        <f t="shared" si="120"/>
        <v>45511</v>
      </c>
      <c r="Q874" t="s">
        <v>3438</v>
      </c>
      <c r="R874">
        <v>76</v>
      </c>
      <c r="S874">
        <v>34</v>
      </c>
      <c r="T874" t="s">
        <v>42</v>
      </c>
      <c r="U874" s="8">
        <v>684</v>
      </c>
      <c r="V874" s="8">
        <f t="shared" si="121"/>
        <v>603</v>
      </c>
      <c r="W874" t="str">
        <f t="shared" si="122"/>
        <v>Reorder Required</v>
      </c>
      <c r="X874" s="9">
        <f t="shared" si="123"/>
        <v>45627</v>
      </c>
      <c r="Y874">
        <f t="shared" si="124"/>
        <v>-134</v>
      </c>
      <c r="Z874" t="str">
        <f t="shared" si="125"/>
        <v>Invalid Data</v>
      </c>
    </row>
    <row r="875" spans="1:26" x14ac:dyDescent="0.4">
      <c r="A875" t="s">
        <v>3439</v>
      </c>
      <c r="B875" t="s">
        <v>2592</v>
      </c>
      <c r="C875" t="s">
        <v>77</v>
      </c>
      <c r="D875" t="s">
        <v>3440</v>
      </c>
      <c r="E875" t="s">
        <v>2785</v>
      </c>
      <c r="F875">
        <v>36</v>
      </c>
      <c r="G875">
        <v>30</v>
      </c>
      <c r="H875">
        <v>44</v>
      </c>
      <c r="I875" t="s">
        <v>2595</v>
      </c>
      <c r="J875" s="7">
        <f t="shared" si="117"/>
        <v>0.2</v>
      </c>
      <c r="K875" s="1">
        <v>45600</v>
      </c>
      <c r="L875" s="1">
        <f t="shared" si="118"/>
        <v>45600</v>
      </c>
      <c r="M875" s="1">
        <v>45354</v>
      </c>
      <c r="N875" s="1">
        <f t="shared" si="119"/>
        <v>45354</v>
      </c>
      <c r="O875" t="s">
        <v>64</v>
      </c>
      <c r="P875" s="1">
        <f t="shared" si="120"/>
        <v>45438</v>
      </c>
      <c r="Q875" t="s">
        <v>3441</v>
      </c>
      <c r="R875">
        <v>68</v>
      </c>
      <c r="S875">
        <v>88</v>
      </c>
      <c r="T875" t="s">
        <v>42</v>
      </c>
      <c r="U875" s="8">
        <v>13.600000000000001</v>
      </c>
      <c r="V875" s="8">
        <f t="shared" si="121"/>
        <v>7.2</v>
      </c>
      <c r="W875" t="str">
        <f t="shared" si="122"/>
        <v>Sufficient Stock</v>
      </c>
      <c r="X875" s="9">
        <f t="shared" si="123"/>
        <v>45597</v>
      </c>
      <c r="Y875">
        <f t="shared" si="124"/>
        <v>-162</v>
      </c>
      <c r="Z875" t="str">
        <f t="shared" si="125"/>
        <v>Invalid Data</v>
      </c>
    </row>
    <row r="876" spans="1:26" x14ac:dyDescent="0.4">
      <c r="A876" t="s">
        <v>3442</v>
      </c>
      <c r="B876" t="s">
        <v>984</v>
      </c>
      <c r="C876" t="s">
        <v>18</v>
      </c>
      <c r="D876" t="s">
        <v>3443</v>
      </c>
      <c r="E876" t="s">
        <v>3390</v>
      </c>
      <c r="F876">
        <v>39</v>
      </c>
      <c r="G876">
        <v>53</v>
      </c>
      <c r="H876">
        <v>64</v>
      </c>
      <c r="I876" t="s">
        <v>986</v>
      </c>
      <c r="J876" s="7">
        <f t="shared" si="117"/>
        <v>2.75</v>
      </c>
      <c r="K876" t="s">
        <v>165</v>
      </c>
      <c r="L876" s="1">
        <f t="shared" si="118"/>
        <v>45465</v>
      </c>
      <c r="M876" s="1">
        <v>45329</v>
      </c>
      <c r="N876" s="1">
        <f t="shared" si="119"/>
        <v>45329</v>
      </c>
      <c r="O876" t="s">
        <v>1508</v>
      </c>
      <c r="P876" s="1">
        <f t="shared" si="120"/>
        <v>45653</v>
      </c>
      <c r="Q876" t="s">
        <v>3444</v>
      </c>
      <c r="R876">
        <v>92</v>
      </c>
      <c r="S876">
        <v>8</v>
      </c>
      <c r="T876" t="s">
        <v>51</v>
      </c>
      <c r="U876" s="8">
        <v>253</v>
      </c>
      <c r="V876" s="8">
        <f t="shared" si="121"/>
        <v>107.25</v>
      </c>
      <c r="W876" t="str">
        <f t="shared" si="122"/>
        <v>Reorder Required</v>
      </c>
      <c r="X876" s="9">
        <f t="shared" si="123"/>
        <v>45444</v>
      </c>
      <c r="Y876">
        <f t="shared" si="124"/>
        <v>188</v>
      </c>
      <c r="Z876" t="str">
        <f t="shared" si="125"/>
        <v>Low Risk</v>
      </c>
    </row>
    <row r="877" spans="1:26" x14ac:dyDescent="0.4">
      <c r="A877" t="s">
        <v>3445</v>
      </c>
      <c r="B877" t="s">
        <v>1814</v>
      </c>
      <c r="C877" t="s">
        <v>54</v>
      </c>
      <c r="D877" t="s">
        <v>3446</v>
      </c>
      <c r="E877" t="s">
        <v>2785</v>
      </c>
      <c r="F877">
        <v>95</v>
      </c>
      <c r="G877">
        <v>87</v>
      </c>
      <c r="H877">
        <v>13</v>
      </c>
      <c r="I877" t="s">
        <v>106</v>
      </c>
      <c r="J877" s="7">
        <f t="shared" si="117"/>
        <v>2</v>
      </c>
      <c r="K877" s="1">
        <v>45636</v>
      </c>
      <c r="L877" s="1">
        <f t="shared" si="118"/>
        <v>45636</v>
      </c>
      <c r="M877" s="1">
        <v>45325</v>
      </c>
      <c r="N877" s="1">
        <f t="shared" si="119"/>
        <v>45325</v>
      </c>
      <c r="O877" s="1">
        <v>45390</v>
      </c>
      <c r="P877" s="1">
        <f t="shared" si="120"/>
        <v>45390</v>
      </c>
      <c r="Q877" t="s">
        <v>3447</v>
      </c>
      <c r="R877">
        <v>61</v>
      </c>
      <c r="S877">
        <v>4</v>
      </c>
      <c r="T877" t="s">
        <v>42</v>
      </c>
      <c r="U877" s="8">
        <v>122</v>
      </c>
      <c r="V877" s="8">
        <f t="shared" si="121"/>
        <v>190</v>
      </c>
      <c r="W877" t="str">
        <f t="shared" si="122"/>
        <v>Sufficient Stock</v>
      </c>
      <c r="X877" s="9">
        <f t="shared" si="123"/>
        <v>45627</v>
      </c>
      <c r="Y877">
        <f t="shared" si="124"/>
        <v>-246</v>
      </c>
      <c r="Z877" t="str">
        <f t="shared" si="125"/>
        <v>Invalid Data</v>
      </c>
    </row>
    <row r="878" spans="1:26" x14ac:dyDescent="0.4">
      <c r="A878" t="s">
        <v>3448</v>
      </c>
      <c r="B878" t="s">
        <v>669</v>
      </c>
      <c r="C878" t="s">
        <v>18</v>
      </c>
      <c r="D878" t="s">
        <v>3449</v>
      </c>
      <c r="E878" t="s">
        <v>604</v>
      </c>
      <c r="F878">
        <v>12</v>
      </c>
      <c r="G878">
        <v>56</v>
      </c>
      <c r="H878">
        <v>92</v>
      </c>
      <c r="I878" t="s">
        <v>671</v>
      </c>
      <c r="J878" s="7">
        <f t="shared" si="117"/>
        <v>9.5</v>
      </c>
      <c r="K878" s="1">
        <v>45509</v>
      </c>
      <c r="L878" s="1">
        <f t="shared" si="118"/>
        <v>45509</v>
      </c>
      <c r="M878" t="s">
        <v>1179</v>
      </c>
      <c r="N878" s="1">
        <f t="shared" si="119"/>
        <v>45641</v>
      </c>
      <c r="O878" t="s">
        <v>725</v>
      </c>
      <c r="P878" s="1">
        <f t="shared" si="120"/>
        <v>45425</v>
      </c>
      <c r="Q878" t="s">
        <v>3450</v>
      </c>
      <c r="R878">
        <v>56</v>
      </c>
      <c r="S878">
        <v>6</v>
      </c>
      <c r="T878" t="s">
        <v>51</v>
      </c>
      <c r="U878" s="8">
        <v>532</v>
      </c>
      <c r="V878" s="8">
        <f t="shared" si="121"/>
        <v>114</v>
      </c>
      <c r="W878" t="str">
        <f t="shared" si="122"/>
        <v>Reorder Required</v>
      </c>
      <c r="X878" s="9">
        <f t="shared" si="123"/>
        <v>45505</v>
      </c>
      <c r="Y878">
        <f t="shared" si="124"/>
        <v>-84</v>
      </c>
      <c r="Z878" t="str">
        <f t="shared" si="125"/>
        <v>Invalid Data</v>
      </c>
    </row>
    <row r="879" spans="1:26" x14ac:dyDescent="0.4">
      <c r="A879" t="s">
        <v>3451</v>
      </c>
      <c r="B879" t="s">
        <v>1750</v>
      </c>
      <c r="C879" t="s">
        <v>18</v>
      </c>
      <c r="D879" t="s">
        <v>3452</v>
      </c>
      <c r="E879" t="s">
        <v>1258</v>
      </c>
      <c r="F879">
        <v>98</v>
      </c>
      <c r="G879">
        <v>30</v>
      </c>
      <c r="H879">
        <v>39</v>
      </c>
      <c r="I879" t="s">
        <v>591</v>
      </c>
      <c r="J879" s="7">
        <f t="shared" si="117"/>
        <v>10</v>
      </c>
      <c r="K879" t="s">
        <v>308</v>
      </c>
      <c r="L879" s="1">
        <f t="shared" si="118"/>
        <v>45621</v>
      </c>
      <c r="M879" t="s">
        <v>1482</v>
      </c>
      <c r="N879" s="1">
        <f t="shared" si="119"/>
        <v>45396</v>
      </c>
      <c r="O879" s="1">
        <v>45573</v>
      </c>
      <c r="P879" s="1">
        <f t="shared" si="120"/>
        <v>45573</v>
      </c>
      <c r="Q879" t="s">
        <v>3453</v>
      </c>
      <c r="R879">
        <v>31</v>
      </c>
      <c r="S879">
        <v>26</v>
      </c>
      <c r="T879" t="s">
        <v>51</v>
      </c>
      <c r="U879" s="8">
        <v>310</v>
      </c>
      <c r="V879" s="8">
        <f t="shared" si="121"/>
        <v>980</v>
      </c>
      <c r="W879" t="str">
        <f t="shared" si="122"/>
        <v>Sufficient Stock</v>
      </c>
      <c r="X879" s="9">
        <f t="shared" si="123"/>
        <v>45597</v>
      </c>
      <c r="Y879">
        <f t="shared" si="124"/>
        <v>-48</v>
      </c>
      <c r="Z879" t="str">
        <f t="shared" si="125"/>
        <v>Invalid Data</v>
      </c>
    </row>
    <row r="880" spans="1:26" x14ac:dyDescent="0.4">
      <c r="A880" t="s">
        <v>3454</v>
      </c>
      <c r="B880" t="s">
        <v>621</v>
      </c>
      <c r="C880" t="s">
        <v>18</v>
      </c>
      <c r="D880" t="s">
        <v>3455</v>
      </c>
      <c r="E880" t="s">
        <v>1564</v>
      </c>
      <c r="F880">
        <v>50</v>
      </c>
      <c r="G880">
        <v>14</v>
      </c>
      <c r="H880">
        <v>99</v>
      </c>
      <c r="I880" t="s">
        <v>624</v>
      </c>
      <c r="J880" s="7">
        <f t="shared" si="117"/>
        <v>4.75</v>
      </c>
      <c r="K880" s="1">
        <v>45901</v>
      </c>
      <c r="L880" s="1">
        <f t="shared" si="118"/>
        <v>45901</v>
      </c>
      <c r="M880" t="s">
        <v>236</v>
      </c>
      <c r="N880" s="1">
        <f t="shared" si="119"/>
        <v>45379</v>
      </c>
      <c r="O880" t="s">
        <v>643</v>
      </c>
      <c r="P880" s="1">
        <f t="shared" si="120"/>
        <v>45397</v>
      </c>
      <c r="Q880" t="s">
        <v>3456</v>
      </c>
      <c r="R880">
        <v>52</v>
      </c>
      <c r="S880">
        <v>75</v>
      </c>
      <c r="T880" t="s">
        <v>51</v>
      </c>
      <c r="U880" s="8">
        <v>247</v>
      </c>
      <c r="V880" s="8">
        <f t="shared" si="121"/>
        <v>237.5</v>
      </c>
      <c r="W880" t="str">
        <f t="shared" si="122"/>
        <v>Sufficient Stock</v>
      </c>
      <c r="X880" s="9">
        <f t="shared" si="123"/>
        <v>45901</v>
      </c>
      <c r="Y880">
        <f t="shared" si="124"/>
        <v>-504</v>
      </c>
      <c r="Z880" t="str">
        <f t="shared" si="125"/>
        <v>Invalid Data</v>
      </c>
    </row>
    <row r="881" spans="1:26" x14ac:dyDescent="0.4">
      <c r="A881" t="s">
        <v>3457</v>
      </c>
      <c r="B881" t="s">
        <v>290</v>
      </c>
      <c r="C881" t="s">
        <v>54</v>
      </c>
      <c r="D881" t="s">
        <v>3458</v>
      </c>
      <c r="E881" t="s">
        <v>597</v>
      </c>
      <c r="F881">
        <v>98</v>
      </c>
      <c r="G881">
        <v>14</v>
      </c>
      <c r="H881">
        <v>11</v>
      </c>
      <c r="I881" t="s">
        <v>71</v>
      </c>
      <c r="J881" s="7">
        <f t="shared" si="117"/>
        <v>2.5</v>
      </c>
      <c r="K881" t="s">
        <v>49</v>
      </c>
      <c r="L881" s="1">
        <f t="shared" si="118"/>
        <v>45399</v>
      </c>
      <c r="M881" s="1">
        <v>45303</v>
      </c>
      <c r="N881" s="1">
        <f t="shared" si="119"/>
        <v>45303</v>
      </c>
      <c r="O881" t="s">
        <v>300</v>
      </c>
      <c r="P881" s="1">
        <f t="shared" si="120"/>
        <v>45371</v>
      </c>
      <c r="Q881" t="s">
        <v>3459</v>
      </c>
      <c r="R881">
        <v>48</v>
      </c>
      <c r="S881">
        <v>38</v>
      </c>
      <c r="T881" t="s">
        <v>26</v>
      </c>
      <c r="U881" s="8">
        <v>120</v>
      </c>
      <c r="V881" s="8">
        <f t="shared" si="121"/>
        <v>245</v>
      </c>
      <c r="W881" t="str">
        <f t="shared" si="122"/>
        <v>Sufficient Stock</v>
      </c>
      <c r="X881" s="9">
        <f t="shared" si="123"/>
        <v>45383</v>
      </c>
      <c r="Y881">
        <f t="shared" si="124"/>
        <v>-28</v>
      </c>
      <c r="Z881" t="str">
        <f t="shared" si="125"/>
        <v>Invalid Data</v>
      </c>
    </row>
    <row r="882" spans="1:26" x14ac:dyDescent="0.4">
      <c r="A882" t="s">
        <v>3460</v>
      </c>
      <c r="B882" t="s">
        <v>67</v>
      </c>
      <c r="C882" t="s">
        <v>68</v>
      </c>
      <c r="D882" t="s">
        <v>3461</v>
      </c>
      <c r="E882" t="s">
        <v>706</v>
      </c>
      <c r="F882">
        <v>28</v>
      </c>
      <c r="G882">
        <v>32</v>
      </c>
      <c r="H882">
        <v>71</v>
      </c>
      <c r="I882" t="s">
        <v>71</v>
      </c>
      <c r="J882" s="7">
        <f t="shared" si="117"/>
        <v>2.5</v>
      </c>
      <c r="K882" t="s">
        <v>293</v>
      </c>
      <c r="L882" s="1">
        <f t="shared" si="118"/>
        <v>45648</v>
      </c>
      <c r="M882" s="1">
        <v>45327</v>
      </c>
      <c r="N882" s="1">
        <f t="shared" si="119"/>
        <v>45327</v>
      </c>
      <c r="O882" s="1">
        <v>45455</v>
      </c>
      <c r="P882" s="1">
        <f t="shared" si="120"/>
        <v>45455</v>
      </c>
      <c r="Q882" t="s">
        <v>3462</v>
      </c>
      <c r="R882">
        <v>32</v>
      </c>
      <c r="S882">
        <v>49</v>
      </c>
      <c r="T882" t="s">
        <v>26</v>
      </c>
      <c r="U882" s="8">
        <v>80</v>
      </c>
      <c r="V882" s="8">
        <f t="shared" si="121"/>
        <v>70</v>
      </c>
      <c r="W882" t="str">
        <f t="shared" si="122"/>
        <v>Reorder Required</v>
      </c>
      <c r="X882" s="9">
        <f t="shared" si="123"/>
        <v>45627</v>
      </c>
      <c r="Y882">
        <f t="shared" si="124"/>
        <v>-193</v>
      </c>
      <c r="Z882" t="str">
        <f t="shared" si="125"/>
        <v>Invalid Data</v>
      </c>
    </row>
    <row r="883" spans="1:26" x14ac:dyDescent="0.4">
      <c r="A883" t="s">
        <v>3463</v>
      </c>
      <c r="B883" t="s">
        <v>233</v>
      </c>
      <c r="C883" t="s">
        <v>54</v>
      </c>
      <c r="D883" t="s">
        <v>3464</v>
      </c>
      <c r="E883" t="s">
        <v>825</v>
      </c>
      <c r="F883">
        <v>67</v>
      </c>
      <c r="G883">
        <v>14</v>
      </c>
      <c r="H883">
        <v>25</v>
      </c>
      <c r="I883" t="s">
        <v>466</v>
      </c>
      <c r="J883" s="7">
        <f t="shared" si="117"/>
        <v>1.8</v>
      </c>
      <c r="K883" s="1">
        <v>45327</v>
      </c>
      <c r="L883" s="1">
        <f t="shared" si="118"/>
        <v>45327</v>
      </c>
      <c r="M883" t="s">
        <v>421</v>
      </c>
      <c r="N883" s="1">
        <f t="shared" si="119"/>
        <v>45524</v>
      </c>
      <c r="O883" t="s">
        <v>2918</v>
      </c>
      <c r="P883" s="1">
        <f t="shared" si="120"/>
        <v>45581</v>
      </c>
      <c r="Q883" t="s">
        <v>3465</v>
      </c>
      <c r="R883">
        <v>81</v>
      </c>
      <c r="S883">
        <v>77</v>
      </c>
      <c r="T883" t="s">
        <v>51</v>
      </c>
      <c r="U883" s="8">
        <v>145.80000000000001</v>
      </c>
      <c r="V883" s="8">
        <f t="shared" si="121"/>
        <v>120.60000000000001</v>
      </c>
      <c r="W883" t="str">
        <f t="shared" si="122"/>
        <v>Sufficient Stock</v>
      </c>
      <c r="X883" s="9">
        <f t="shared" si="123"/>
        <v>45323</v>
      </c>
      <c r="Y883">
        <f t="shared" si="124"/>
        <v>254</v>
      </c>
      <c r="Z883" t="str">
        <f t="shared" si="125"/>
        <v>Low Risk</v>
      </c>
    </row>
    <row r="884" spans="1:26" x14ac:dyDescent="0.4">
      <c r="A884" t="s">
        <v>3466</v>
      </c>
      <c r="B884" t="s">
        <v>271</v>
      </c>
      <c r="C884" t="s">
        <v>54</v>
      </c>
      <c r="D884" t="s">
        <v>3467</v>
      </c>
      <c r="E884" t="s">
        <v>1891</v>
      </c>
      <c r="F884">
        <v>20</v>
      </c>
      <c r="G884">
        <v>93</v>
      </c>
      <c r="H884">
        <v>37</v>
      </c>
      <c r="I884" t="s">
        <v>106</v>
      </c>
      <c r="J884" s="7">
        <f t="shared" si="117"/>
        <v>2</v>
      </c>
      <c r="K884" t="s">
        <v>1035</v>
      </c>
      <c r="L884" s="1">
        <f t="shared" si="118"/>
        <v>45585</v>
      </c>
      <c r="M884" s="1">
        <v>45476</v>
      </c>
      <c r="N884" s="1">
        <f t="shared" si="119"/>
        <v>45476</v>
      </c>
      <c r="O884" t="s">
        <v>315</v>
      </c>
      <c r="P884" s="1">
        <f t="shared" si="120"/>
        <v>45651</v>
      </c>
      <c r="Q884" t="s">
        <v>3468</v>
      </c>
      <c r="R884">
        <v>23</v>
      </c>
      <c r="S884">
        <v>2</v>
      </c>
      <c r="T884" t="s">
        <v>26</v>
      </c>
      <c r="U884" s="8">
        <v>46</v>
      </c>
      <c r="V884" s="8">
        <f t="shared" si="121"/>
        <v>40</v>
      </c>
      <c r="W884" t="str">
        <f t="shared" si="122"/>
        <v>Reorder Required</v>
      </c>
      <c r="X884" s="9">
        <f t="shared" si="123"/>
        <v>45566</v>
      </c>
      <c r="Y884">
        <f t="shared" si="124"/>
        <v>66</v>
      </c>
      <c r="Z884" t="str">
        <f t="shared" si="125"/>
        <v>High Risk</v>
      </c>
    </row>
    <row r="885" spans="1:26" x14ac:dyDescent="0.4">
      <c r="A885" t="s">
        <v>3469</v>
      </c>
      <c r="B885" t="s">
        <v>168</v>
      </c>
      <c r="C885" t="s">
        <v>169</v>
      </c>
      <c r="D885" t="s">
        <v>3470</v>
      </c>
      <c r="E885" t="s">
        <v>613</v>
      </c>
      <c r="F885">
        <v>67</v>
      </c>
      <c r="G885">
        <v>83</v>
      </c>
      <c r="H885">
        <v>90</v>
      </c>
      <c r="I885" t="s">
        <v>3471</v>
      </c>
      <c r="J885" s="7">
        <f t="shared" si="117"/>
        <v>11.6</v>
      </c>
      <c r="K885" t="s">
        <v>526</v>
      </c>
      <c r="L885" s="1">
        <f t="shared" si="118"/>
        <v>45592</v>
      </c>
      <c r="M885" t="s">
        <v>179</v>
      </c>
      <c r="N885" s="1">
        <f t="shared" si="119"/>
        <v>45565</v>
      </c>
      <c r="O885" t="s">
        <v>802</v>
      </c>
      <c r="P885" s="1">
        <f t="shared" si="120"/>
        <v>45533</v>
      </c>
      <c r="Q885" t="s">
        <v>3472</v>
      </c>
      <c r="R885">
        <v>66</v>
      </c>
      <c r="S885">
        <v>77</v>
      </c>
      <c r="T885" t="s">
        <v>51</v>
      </c>
      <c r="U885" s="8">
        <v>765.6</v>
      </c>
      <c r="V885" s="8">
        <f t="shared" si="121"/>
        <v>777.19999999999993</v>
      </c>
      <c r="W885" t="str">
        <f t="shared" si="122"/>
        <v>Reorder Required</v>
      </c>
      <c r="X885" s="9">
        <f t="shared" si="123"/>
        <v>45566</v>
      </c>
      <c r="Y885">
        <f t="shared" si="124"/>
        <v>-59</v>
      </c>
      <c r="Z885" t="str">
        <f t="shared" si="125"/>
        <v>Invalid Data</v>
      </c>
    </row>
    <row r="886" spans="1:26" x14ac:dyDescent="0.4">
      <c r="A886" t="s">
        <v>3473</v>
      </c>
      <c r="B886" t="s">
        <v>203</v>
      </c>
      <c r="C886" t="s">
        <v>77</v>
      </c>
      <c r="D886" t="s">
        <v>3474</v>
      </c>
      <c r="E886" t="s">
        <v>1276</v>
      </c>
      <c r="F886">
        <v>94</v>
      </c>
      <c r="G886">
        <v>60</v>
      </c>
      <c r="H886">
        <v>78</v>
      </c>
      <c r="I886" t="s">
        <v>206</v>
      </c>
      <c r="J886" s="7">
        <f t="shared" si="117"/>
        <v>0.8</v>
      </c>
      <c r="K886" s="1">
        <v>45516</v>
      </c>
      <c r="L886" s="1">
        <f t="shared" si="118"/>
        <v>45516</v>
      </c>
      <c r="M886" s="1">
        <v>45476</v>
      </c>
      <c r="N886" s="1">
        <f t="shared" si="119"/>
        <v>45476</v>
      </c>
      <c r="O886" t="s">
        <v>567</v>
      </c>
      <c r="P886" s="1">
        <f t="shared" si="120"/>
        <v>45555</v>
      </c>
      <c r="Q886" t="s">
        <v>3475</v>
      </c>
      <c r="R886">
        <v>100</v>
      </c>
      <c r="S886">
        <v>42</v>
      </c>
      <c r="T886" t="s">
        <v>51</v>
      </c>
      <c r="U886" s="8">
        <v>80</v>
      </c>
      <c r="V886" s="8">
        <f t="shared" si="121"/>
        <v>75.2</v>
      </c>
      <c r="W886" t="str">
        <f t="shared" si="122"/>
        <v>Sufficient Stock</v>
      </c>
      <c r="X886" s="9">
        <f t="shared" si="123"/>
        <v>45505</v>
      </c>
      <c r="Y886">
        <f t="shared" si="124"/>
        <v>39</v>
      </c>
      <c r="Z886" t="str">
        <f t="shared" si="125"/>
        <v>High Risk</v>
      </c>
    </row>
    <row r="887" spans="1:26" x14ac:dyDescent="0.4">
      <c r="A887" t="s">
        <v>3476</v>
      </c>
      <c r="B887" t="s">
        <v>431</v>
      </c>
      <c r="C887" t="s">
        <v>29</v>
      </c>
      <c r="D887" t="s">
        <v>3477</v>
      </c>
      <c r="E887" t="s">
        <v>3478</v>
      </c>
      <c r="F887">
        <v>45</v>
      </c>
      <c r="G887">
        <v>58</v>
      </c>
      <c r="H887">
        <v>84</v>
      </c>
      <c r="I887" t="s">
        <v>220</v>
      </c>
      <c r="J887" s="7">
        <f t="shared" si="117"/>
        <v>5</v>
      </c>
      <c r="K887" s="1">
        <v>45809</v>
      </c>
      <c r="L887" s="1">
        <f t="shared" si="118"/>
        <v>45809</v>
      </c>
      <c r="M887" t="s">
        <v>549</v>
      </c>
      <c r="N887" s="1">
        <f t="shared" si="119"/>
        <v>45372</v>
      </c>
      <c r="O887" t="s">
        <v>666</v>
      </c>
      <c r="P887" s="1">
        <f t="shared" si="120"/>
        <v>45381</v>
      </c>
      <c r="Q887" t="s">
        <v>3479</v>
      </c>
      <c r="R887">
        <v>90</v>
      </c>
      <c r="S887">
        <v>67</v>
      </c>
      <c r="T887" t="s">
        <v>51</v>
      </c>
      <c r="U887" s="8">
        <v>450</v>
      </c>
      <c r="V887" s="8">
        <f t="shared" si="121"/>
        <v>225</v>
      </c>
      <c r="W887" t="str">
        <f t="shared" si="122"/>
        <v>Reorder Required</v>
      </c>
      <c r="X887" s="9">
        <f t="shared" si="123"/>
        <v>45809</v>
      </c>
      <c r="Y887">
        <f t="shared" si="124"/>
        <v>-428</v>
      </c>
      <c r="Z887" t="str">
        <f t="shared" si="125"/>
        <v>Invalid Data</v>
      </c>
    </row>
    <row r="888" spans="1:26" x14ac:dyDescent="0.4">
      <c r="A888" t="s">
        <v>3480</v>
      </c>
      <c r="B888" t="s">
        <v>1017</v>
      </c>
      <c r="C888" t="s">
        <v>169</v>
      </c>
      <c r="D888" t="s">
        <v>3481</v>
      </c>
      <c r="E888" t="s">
        <v>508</v>
      </c>
      <c r="F888">
        <v>86</v>
      </c>
      <c r="G888">
        <v>55</v>
      </c>
      <c r="H888">
        <v>96</v>
      </c>
      <c r="I888" t="s">
        <v>591</v>
      </c>
      <c r="J888" s="7">
        <f t="shared" si="117"/>
        <v>10</v>
      </c>
      <c r="K888" t="s">
        <v>1057</v>
      </c>
      <c r="L888" s="1">
        <f t="shared" si="118"/>
        <v>45645</v>
      </c>
      <c r="M888" s="1">
        <v>45542</v>
      </c>
      <c r="N888" s="1">
        <f t="shared" si="119"/>
        <v>45542</v>
      </c>
      <c r="O888" t="s">
        <v>842</v>
      </c>
      <c r="P888" s="1">
        <f t="shared" si="120"/>
        <v>45564</v>
      </c>
      <c r="Q888" t="s">
        <v>3482</v>
      </c>
      <c r="R888">
        <v>37</v>
      </c>
      <c r="S888">
        <v>53</v>
      </c>
      <c r="T888" t="s">
        <v>42</v>
      </c>
      <c r="U888" s="8">
        <v>370</v>
      </c>
      <c r="V888" s="8">
        <f t="shared" si="121"/>
        <v>860</v>
      </c>
      <c r="W888" t="str">
        <f t="shared" si="122"/>
        <v>Sufficient Stock</v>
      </c>
      <c r="X888" s="9">
        <f t="shared" si="123"/>
        <v>45627</v>
      </c>
      <c r="Y888">
        <f t="shared" si="124"/>
        <v>-81</v>
      </c>
      <c r="Z888" t="str">
        <f t="shared" si="125"/>
        <v>Invalid Data</v>
      </c>
    </row>
    <row r="889" spans="1:26" x14ac:dyDescent="0.4">
      <c r="A889" t="s">
        <v>3483</v>
      </c>
      <c r="B889" t="s">
        <v>1750</v>
      </c>
      <c r="C889" t="s">
        <v>18</v>
      </c>
      <c r="D889" t="s">
        <v>3484</v>
      </c>
      <c r="E889" t="s">
        <v>327</v>
      </c>
      <c r="F889">
        <v>72</v>
      </c>
      <c r="G889">
        <v>82</v>
      </c>
      <c r="H889">
        <v>52</v>
      </c>
      <c r="I889" t="s">
        <v>3105</v>
      </c>
      <c r="J889" s="7">
        <f t="shared" si="117"/>
        <v>9.75</v>
      </c>
      <c r="K889" s="1">
        <v>45359</v>
      </c>
      <c r="L889" s="1">
        <f t="shared" si="118"/>
        <v>45359</v>
      </c>
      <c r="M889" s="1">
        <v>45542</v>
      </c>
      <c r="N889" s="1">
        <f t="shared" si="119"/>
        <v>45542</v>
      </c>
      <c r="O889" t="s">
        <v>245</v>
      </c>
      <c r="P889" s="1">
        <f t="shared" si="120"/>
        <v>45563</v>
      </c>
      <c r="Q889" t="s">
        <v>3485</v>
      </c>
      <c r="R889">
        <v>51</v>
      </c>
      <c r="S889">
        <v>95</v>
      </c>
      <c r="T889" t="s">
        <v>42</v>
      </c>
      <c r="U889" s="8">
        <v>497.25</v>
      </c>
      <c r="V889" s="8">
        <f t="shared" si="121"/>
        <v>702</v>
      </c>
      <c r="W889" t="str">
        <f t="shared" si="122"/>
        <v>Reorder Required</v>
      </c>
      <c r="X889" s="9">
        <f t="shared" si="123"/>
        <v>45352</v>
      </c>
      <c r="Y889">
        <f t="shared" si="124"/>
        <v>204</v>
      </c>
      <c r="Z889" t="str">
        <f t="shared" si="125"/>
        <v>Low Risk</v>
      </c>
    </row>
    <row r="890" spans="1:26" x14ac:dyDescent="0.4">
      <c r="A890" t="s">
        <v>3486</v>
      </c>
      <c r="B890" t="s">
        <v>176</v>
      </c>
      <c r="C890" t="s">
        <v>54</v>
      </c>
      <c r="D890" t="s">
        <v>3487</v>
      </c>
      <c r="E890" t="s">
        <v>1023</v>
      </c>
      <c r="F890">
        <v>31</v>
      </c>
      <c r="G890">
        <v>61</v>
      </c>
      <c r="H890">
        <v>28</v>
      </c>
      <c r="I890" t="s">
        <v>1876</v>
      </c>
      <c r="J890" s="7">
        <f t="shared" si="117"/>
        <v>2.1</v>
      </c>
      <c r="K890" s="1">
        <v>45568</v>
      </c>
      <c r="L890" s="1">
        <f t="shared" si="118"/>
        <v>45568</v>
      </c>
      <c r="M890" s="1">
        <v>45542</v>
      </c>
      <c r="N890" s="1">
        <f t="shared" si="119"/>
        <v>45542</v>
      </c>
      <c r="O890" t="s">
        <v>173</v>
      </c>
      <c r="P890" s="1">
        <f t="shared" si="120"/>
        <v>45521</v>
      </c>
      <c r="Q890" t="s">
        <v>3488</v>
      </c>
      <c r="R890">
        <v>55</v>
      </c>
      <c r="S890">
        <v>70</v>
      </c>
      <c r="T890" t="s">
        <v>51</v>
      </c>
      <c r="U890" s="8">
        <v>115.5</v>
      </c>
      <c r="V890" s="8">
        <f t="shared" si="121"/>
        <v>65.100000000000009</v>
      </c>
      <c r="W890" t="str">
        <f t="shared" si="122"/>
        <v>Reorder Required</v>
      </c>
      <c r="X890" s="9">
        <f t="shared" si="123"/>
        <v>45566</v>
      </c>
      <c r="Y890">
        <f t="shared" si="124"/>
        <v>-47</v>
      </c>
      <c r="Z890" t="str">
        <f t="shared" si="125"/>
        <v>Invalid Data</v>
      </c>
    </row>
    <row r="891" spans="1:26" x14ac:dyDescent="0.4">
      <c r="A891" t="s">
        <v>3489</v>
      </c>
      <c r="B891" t="s">
        <v>533</v>
      </c>
      <c r="C891" t="s">
        <v>112</v>
      </c>
      <c r="D891" t="s">
        <v>3490</v>
      </c>
      <c r="E891" t="s">
        <v>3491</v>
      </c>
      <c r="F891">
        <v>12</v>
      </c>
      <c r="G891">
        <v>7</v>
      </c>
      <c r="H891">
        <v>23</v>
      </c>
      <c r="I891" t="s">
        <v>39</v>
      </c>
      <c r="J891" s="7">
        <f t="shared" si="117"/>
        <v>6</v>
      </c>
      <c r="K891" s="1">
        <v>45810</v>
      </c>
      <c r="L891" s="1">
        <f t="shared" si="118"/>
        <v>45810</v>
      </c>
      <c r="M891" t="s">
        <v>598</v>
      </c>
      <c r="N891" s="1">
        <f t="shared" si="119"/>
        <v>45705</v>
      </c>
      <c r="O891" t="s">
        <v>260</v>
      </c>
      <c r="P891" s="1">
        <f t="shared" si="120"/>
        <v>45466</v>
      </c>
      <c r="Q891" t="s">
        <v>3492</v>
      </c>
      <c r="R891">
        <v>72</v>
      </c>
      <c r="S891">
        <v>16</v>
      </c>
      <c r="T891" t="s">
        <v>26</v>
      </c>
      <c r="U891" s="8">
        <v>432</v>
      </c>
      <c r="V891" s="8">
        <f t="shared" si="121"/>
        <v>72</v>
      </c>
      <c r="W891" t="str">
        <f t="shared" si="122"/>
        <v>Sufficient Stock</v>
      </c>
      <c r="X891" s="9">
        <f t="shared" si="123"/>
        <v>45809</v>
      </c>
      <c r="Y891">
        <f t="shared" si="124"/>
        <v>-344</v>
      </c>
      <c r="Z891" t="str">
        <f t="shared" si="125"/>
        <v>Invalid Data</v>
      </c>
    </row>
    <row r="892" spans="1:26" x14ac:dyDescent="0.4">
      <c r="A892" t="s">
        <v>3493</v>
      </c>
      <c r="B892" t="s">
        <v>799</v>
      </c>
      <c r="C892" t="s">
        <v>77</v>
      </c>
      <c r="D892" t="s">
        <v>3494</v>
      </c>
      <c r="E892" t="s">
        <v>2009</v>
      </c>
      <c r="F892">
        <v>71</v>
      </c>
      <c r="G892">
        <v>93</v>
      </c>
      <c r="H892">
        <v>75</v>
      </c>
      <c r="I892" t="s">
        <v>134</v>
      </c>
      <c r="J892" s="7">
        <f t="shared" si="117"/>
        <v>7</v>
      </c>
      <c r="K892" s="1">
        <v>45545</v>
      </c>
      <c r="L892" s="1">
        <f t="shared" si="118"/>
        <v>45545</v>
      </c>
      <c r="M892" t="s">
        <v>259</v>
      </c>
      <c r="N892" s="1">
        <f t="shared" si="119"/>
        <v>45523</v>
      </c>
      <c r="O892" s="1">
        <v>45718</v>
      </c>
      <c r="P892" s="1">
        <f t="shared" si="120"/>
        <v>45718</v>
      </c>
      <c r="Q892" t="s">
        <v>3495</v>
      </c>
      <c r="R892">
        <v>77</v>
      </c>
      <c r="S892">
        <v>58</v>
      </c>
      <c r="T892" t="s">
        <v>26</v>
      </c>
      <c r="U892" s="8">
        <v>539</v>
      </c>
      <c r="V892" s="8">
        <f t="shared" si="121"/>
        <v>497</v>
      </c>
      <c r="W892" t="str">
        <f t="shared" si="122"/>
        <v>Reorder Required</v>
      </c>
      <c r="X892" s="9">
        <f t="shared" si="123"/>
        <v>45536</v>
      </c>
      <c r="Y892">
        <f t="shared" si="124"/>
        <v>173</v>
      </c>
      <c r="Z892" t="str">
        <f t="shared" si="125"/>
        <v>Medium Risk</v>
      </c>
    </row>
    <row r="893" spans="1:26" x14ac:dyDescent="0.4">
      <c r="A893" t="s">
        <v>3496</v>
      </c>
      <c r="B893" t="s">
        <v>1017</v>
      </c>
      <c r="C893" t="s">
        <v>169</v>
      </c>
      <c r="D893" t="s">
        <v>3497</v>
      </c>
      <c r="E893" t="s">
        <v>1411</v>
      </c>
      <c r="F893">
        <v>64</v>
      </c>
      <c r="G893">
        <v>1</v>
      </c>
      <c r="H893">
        <v>92</v>
      </c>
      <c r="I893" t="s">
        <v>591</v>
      </c>
      <c r="J893" s="7">
        <f t="shared" si="117"/>
        <v>10</v>
      </c>
      <c r="K893" s="1">
        <v>45416</v>
      </c>
      <c r="L893" s="1">
        <f t="shared" si="118"/>
        <v>45416</v>
      </c>
      <c r="M893" t="s">
        <v>956</v>
      </c>
      <c r="N893" s="1">
        <f t="shared" si="119"/>
        <v>45405</v>
      </c>
      <c r="O893" t="s">
        <v>336</v>
      </c>
      <c r="P893" s="1">
        <f t="shared" si="120"/>
        <v>45681</v>
      </c>
      <c r="Q893" t="s">
        <v>3498</v>
      </c>
      <c r="R893">
        <v>49</v>
      </c>
      <c r="S893">
        <v>15</v>
      </c>
      <c r="T893" t="s">
        <v>51</v>
      </c>
      <c r="U893" s="8">
        <v>490</v>
      </c>
      <c r="V893" s="8">
        <f t="shared" si="121"/>
        <v>640</v>
      </c>
      <c r="W893" t="str">
        <f t="shared" si="122"/>
        <v>Sufficient Stock</v>
      </c>
      <c r="X893" s="9">
        <f t="shared" si="123"/>
        <v>45413</v>
      </c>
      <c r="Y893">
        <f t="shared" si="124"/>
        <v>265</v>
      </c>
      <c r="Z893" t="str">
        <f t="shared" si="125"/>
        <v>Low Risk</v>
      </c>
    </row>
    <row r="894" spans="1:26" x14ac:dyDescent="0.4">
      <c r="A894" t="s">
        <v>3499</v>
      </c>
      <c r="B894" t="s">
        <v>1821</v>
      </c>
      <c r="C894" t="s">
        <v>68</v>
      </c>
      <c r="D894" t="s">
        <v>3500</v>
      </c>
      <c r="E894" t="s">
        <v>345</v>
      </c>
      <c r="F894">
        <v>89</v>
      </c>
      <c r="G894">
        <v>79</v>
      </c>
      <c r="H894">
        <v>66</v>
      </c>
      <c r="I894" t="s">
        <v>220</v>
      </c>
      <c r="J894" s="7">
        <f t="shared" si="117"/>
        <v>5</v>
      </c>
      <c r="K894" t="s">
        <v>609</v>
      </c>
      <c r="L894" s="1">
        <f t="shared" si="118"/>
        <v>45504</v>
      </c>
      <c r="M894" t="s">
        <v>230</v>
      </c>
      <c r="N894" s="1">
        <f t="shared" si="119"/>
        <v>45646</v>
      </c>
      <c r="O894" t="s">
        <v>383</v>
      </c>
      <c r="P894" s="1">
        <f t="shared" si="120"/>
        <v>45582</v>
      </c>
      <c r="Q894" t="s">
        <v>3501</v>
      </c>
      <c r="R894">
        <v>91</v>
      </c>
      <c r="S894">
        <v>31</v>
      </c>
      <c r="T894" t="s">
        <v>26</v>
      </c>
      <c r="U894" s="8">
        <v>455</v>
      </c>
      <c r="V894" s="8">
        <f t="shared" si="121"/>
        <v>445</v>
      </c>
      <c r="W894" t="str">
        <f t="shared" si="122"/>
        <v>Sufficient Stock</v>
      </c>
      <c r="X894" s="9">
        <f t="shared" si="123"/>
        <v>45474</v>
      </c>
      <c r="Y894">
        <f t="shared" si="124"/>
        <v>78</v>
      </c>
      <c r="Z894" t="str">
        <f t="shared" si="125"/>
        <v>High Risk</v>
      </c>
    </row>
    <row r="895" spans="1:26" x14ac:dyDescent="0.4">
      <c r="A895" t="s">
        <v>3502</v>
      </c>
      <c r="B895" t="s">
        <v>943</v>
      </c>
      <c r="C895" t="s">
        <v>68</v>
      </c>
      <c r="D895" t="s">
        <v>3503</v>
      </c>
      <c r="E895" t="s">
        <v>2909</v>
      </c>
      <c r="F895">
        <v>50</v>
      </c>
      <c r="G895">
        <v>36</v>
      </c>
      <c r="H895">
        <v>96</v>
      </c>
      <c r="I895" t="s">
        <v>945</v>
      </c>
      <c r="J895" s="7">
        <f t="shared" si="117"/>
        <v>6.5</v>
      </c>
      <c r="K895" s="1">
        <v>45638</v>
      </c>
      <c r="L895" s="1">
        <f t="shared" si="118"/>
        <v>45638</v>
      </c>
      <c r="M895" s="1">
        <v>45634</v>
      </c>
      <c r="N895" s="1">
        <f t="shared" si="119"/>
        <v>45634</v>
      </c>
      <c r="O895" s="1">
        <v>45298</v>
      </c>
      <c r="P895" s="1">
        <f t="shared" si="120"/>
        <v>45298</v>
      </c>
      <c r="Q895" t="s">
        <v>3504</v>
      </c>
      <c r="R895">
        <v>53</v>
      </c>
      <c r="S895">
        <v>73</v>
      </c>
      <c r="T895" t="s">
        <v>42</v>
      </c>
      <c r="U895" s="8">
        <v>344.5</v>
      </c>
      <c r="V895" s="8">
        <f t="shared" si="121"/>
        <v>325</v>
      </c>
      <c r="W895" t="str">
        <f t="shared" si="122"/>
        <v>Sufficient Stock</v>
      </c>
      <c r="X895" s="9">
        <f t="shared" si="123"/>
        <v>45627</v>
      </c>
      <c r="Y895">
        <f t="shared" si="124"/>
        <v>-340</v>
      </c>
      <c r="Z895" t="str">
        <f t="shared" si="125"/>
        <v>Invalid Data</v>
      </c>
    </row>
    <row r="896" spans="1:26" x14ac:dyDescent="0.4">
      <c r="A896" t="s">
        <v>3505</v>
      </c>
      <c r="B896" t="s">
        <v>304</v>
      </c>
      <c r="C896" t="s">
        <v>54</v>
      </c>
      <c r="D896" t="s">
        <v>3506</v>
      </c>
      <c r="E896" t="s">
        <v>1891</v>
      </c>
      <c r="F896">
        <v>53</v>
      </c>
      <c r="G896">
        <v>98</v>
      </c>
      <c r="H896">
        <v>23</v>
      </c>
      <c r="I896" t="s">
        <v>220</v>
      </c>
      <c r="J896" s="7">
        <f t="shared" si="117"/>
        <v>5</v>
      </c>
      <c r="K896" t="s">
        <v>214</v>
      </c>
      <c r="L896" s="1">
        <f t="shared" si="118"/>
        <v>45712</v>
      </c>
      <c r="M896" s="1">
        <v>45389</v>
      </c>
      <c r="N896" s="1">
        <f t="shared" si="119"/>
        <v>45389</v>
      </c>
      <c r="O896" t="s">
        <v>842</v>
      </c>
      <c r="P896" s="1">
        <f t="shared" si="120"/>
        <v>45564</v>
      </c>
      <c r="Q896" t="s">
        <v>3507</v>
      </c>
      <c r="R896">
        <v>41</v>
      </c>
      <c r="S896">
        <v>84</v>
      </c>
      <c r="T896" t="s">
        <v>42</v>
      </c>
      <c r="U896" s="8">
        <v>205</v>
      </c>
      <c r="V896" s="8">
        <f t="shared" si="121"/>
        <v>265</v>
      </c>
      <c r="W896" t="str">
        <f t="shared" si="122"/>
        <v>Reorder Required</v>
      </c>
      <c r="X896" s="9">
        <f t="shared" si="123"/>
        <v>45689</v>
      </c>
      <c r="Y896">
        <f t="shared" si="124"/>
        <v>-148</v>
      </c>
      <c r="Z896" t="str">
        <f t="shared" si="125"/>
        <v>Invalid Data</v>
      </c>
    </row>
    <row r="897" spans="1:26" x14ac:dyDescent="0.4">
      <c r="A897" t="s">
        <v>3508</v>
      </c>
      <c r="B897" t="s">
        <v>263</v>
      </c>
      <c r="C897" t="s">
        <v>169</v>
      </c>
      <c r="D897" t="s">
        <v>3509</v>
      </c>
      <c r="E897" t="s">
        <v>2970</v>
      </c>
      <c r="F897">
        <v>19</v>
      </c>
      <c r="G897">
        <v>99</v>
      </c>
      <c r="H897">
        <v>78</v>
      </c>
      <c r="I897" t="s">
        <v>266</v>
      </c>
      <c r="J897" s="7">
        <f t="shared" si="117"/>
        <v>9</v>
      </c>
      <c r="K897" t="s">
        <v>1343</v>
      </c>
      <c r="L897" s="1">
        <f t="shared" si="118"/>
        <v>45617</v>
      </c>
      <c r="M897" t="s">
        <v>598</v>
      </c>
      <c r="N897" s="1">
        <f t="shared" si="119"/>
        <v>45705</v>
      </c>
      <c r="O897" t="s">
        <v>2285</v>
      </c>
      <c r="P897" s="1">
        <f t="shared" si="120"/>
        <v>45656</v>
      </c>
      <c r="Q897" t="s">
        <v>3510</v>
      </c>
      <c r="R897">
        <v>29</v>
      </c>
      <c r="S897">
        <v>54</v>
      </c>
      <c r="T897" t="s">
        <v>26</v>
      </c>
      <c r="U897" s="8">
        <v>261</v>
      </c>
      <c r="V897" s="8">
        <f t="shared" si="121"/>
        <v>171</v>
      </c>
      <c r="W897" t="str">
        <f t="shared" si="122"/>
        <v>Reorder Required</v>
      </c>
      <c r="X897" s="9">
        <f t="shared" si="123"/>
        <v>45597</v>
      </c>
      <c r="Y897">
        <f t="shared" si="124"/>
        <v>39</v>
      </c>
      <c r="Z897" t="str">
        <f t="shared" si="125"/>
        <v>High Risk</v>
      </c>
    </row>
    <row r="898" spans="1:26" x14ac:dyDescent="0.4">
      <c r="A898" t="s">
        <v>3511</v>
      </c>
      <c r="B898" t="s">
        <v>476</v>
      </c>
      <c r="C898" t="s">
        <v>54</v>
      </c>
      <c r="D898" t="s">
        <v>3512</v>
      </c>
      <c r="E898" t="s">
        <v>1880</v>
      </c>
      <c r="F898">
        <v>89</v>
      </c>
      <c r="G898">
        <v>40</v>
      </c>
      <c r="H898">
        <v>64</v>
      </c>
      <c r="I898" t="s">
        <v>57</v>
      </c>
      <c r="J898" s="7">
        <f t="shared" si="117"/>
        <v>4</v>
      </c>
      <c r="K898" t="s">
        <v>2918</v>
      </c>
      <c r="L898" s="1">
        <f t="shared" si="118"/>
        <v>45581</v>
      </c>
      <c r="M898" s="1">
        <v>45993</v>
      </c>
      <c r="N898" s="1">
        <f t="shared" si="119"/>
        <v>45993</v>
      </c>
      <c r="O898" t="s">
        <v>24</v>
      </c>
      <c r="P898" s="1">
        <f t="shared" si="120"/>
        <v>45554</v>
      </c>
      <c r="Q898" t="s">
        <v>3513</v>
      </c>
      <c r="R898">
        <v>93</v>
      </c>
      <c r="S898">
        <v>48</v>
      </c>
      <c r="T898" t="s">
        <v>51</v>
      </c>
      <c r="U898" s="8">
        <v>372</v>
      </c>
      <c r="V898" s="8">
        <f t="shared" si="121"/>
        <v>356</v>
      </c>
      <c r="W898" t="str">
        <f t="shared" si="122"/>
        <v>Sufficient Stock</v>
      </c>
      <c r="X898" s="9">
        <f t="shared" si="123"/>
        <v>45566</v>
      </c>
      <c r="Y898">
        <f t="shared" si="124"/>
        <v>-27</v>
      </c>
      <c r="Z898" t="str">
        <f t="shared" si="125"/>
        <v>Invalid Data</v>
      </c>
    </row>
    <row r="899" spans="1:26" x14ac:dyDescent="0.4">
      <c r="A899" t="s">
        <v>3514</v>
      </c>
      <c r="B899" t="s">
        <v>704</v>
      </c>
      <c r="C899" t="s">
        <v>169</v>
      </c>
      <c r="D899" t="s">
        <v>3515</v>
      </c>
      <c r="E899" t="s">
        <v>371</v>
      </c>
      <c r="F899">
        <v>96</v>
      </c>
      <c r="G899">
        <v>12</v>
      </c>
      <c r="H899">
        <v>8</v>
      </c>
      <c r="I899" t="s">
        <v>147</v>
      </c>
      <c r="J899" s="7">
        <f t="shared" ref="J899:J962" si="126">VALUE(SUBSTITUTE(I899,"$",""))</f>
        <v>8</v>
      </c>
      <c r="K899" s="1">
        <v>45601</v>
      </c>
      <c r="L899" s="1">
        <f t="shared" ref="L899:L962" si="127">IF(
ISNUMBER(K899),
K899,
DATE(
RIGHT(K899,4),
LEFT(K899,FIND("/",K899)-1),
MID(K899,FIND("/",K899)+1,FIND("/",K899,FIND("/",K899)+1)-FIND("/",K899)-1)
)
)</f>
        <v>45601</v>
      </c>
      <c r="M899" t="s">
        <v>100</v>
      </c>
      <c r="N899" s="1">
        <f t="shared" ref="N899:N962" si="128">IF(
ISNUMBER(M899),
M899,
DATE(
RIGHT(M899,4),
LEFT(M899,FIND("/",M899)-1),
MID(M899,FIND("/",M899)+1,FIND("/",M899,FIND("/",M899)+1)-FIND("/",M899)-1)
)
)</f>
        <v>45436</v>
      </c>
      <c r="O899" t="s">
        <v>421</v>
      </c>
      <c r="P899" s="1">
        <f t="shared" ref="P899:P962" si="129">IF(
ISNUMBER(O899),
O899,
DATE(
RIGHT(O899,4),
LEFT(O899,FIND("/",O899)-1),
MID(O899,FIND("/",O899)+1,FIND("/",O899,FIND("/",O899)+1)-FIND("/",O899)-1)
)
)</f>
        <v>45524</v>
      </c>
      <c r="Q899" t="s">
        <v>3516</v>
      </c>
      <c r="R899">
        <v>97</v>
      </c>
      <c r="S899">
        <v>92</v>
      </c>
      <c r="T899" t="s">
        <v>51</v>
      </c>
      <c r="U899" s="8">
        <v>776</v>
      </c>
      <c r="V899" s="8">
        <f t="shared" ref="V899:V962" si="130">F899*J899</f>
        <v>768</v>
      </c>
      <c r="W899" t="str">
        <f t="shared" ref="W899:W962" si="131">IF(F899&lt;=G899,"Reorder Required","Sufficient Stock")</f>
        <v>Sufficient Stock</v>
      </c>
      <c r="X899" s="9">
        <f t="shared" ref="X899:X962" si="132">DATE(YEAR(L899),MONTH(L899),1)</f>
        <v>45597</v>
      </c>
      <c r="Y899">
        <f t="shared" ref="Y899:Y962" si="133">P899-L899</f>
        <v>-77</v>
      </c>
      <c r="Z899" t="str">
        <f t="shared" ref="Z899:Z962" si="134">IF(Y899&lt;0,"Invalid Data",
IF(Y899&lt;=30,"Critical",
IF(Y899&lt;=90,"High Risk",
IF(Y899&lt;=180,"Medium Risk",
IF(Y899&lt;=365,"Low Risk",
"Safe")))))</f>
        <v>Invalid Data</v>
      </c>
    </row>
    <row r="900" spans="1:26" x14ac:dyDescent="0.4">
      <c r="A900" t="s">
        <v>3517</v>
      </c>
      <c r="B900" t="s">
        <v>189</v>
      </c>
      <c r="C900" t="s">
        <v>77</v>
      </c>
      <c r="D900" t="s">
        <v>3518</v>
      </c>
      <c r="E900" t="s">
        <v>3519</v>
      </c>
      <c r="F900">
        <v>52</v>
      </c>
      <c r="G900">
        <v>56</v>
      </c>
      <c r="H900">
        <v>34</v>
      </c>
      <c r="I900" t="s">
        <v>172</v>
      </c>
      <c r="J900" s="7">
        <f t="shared" si="126"/>
        <v>12</v>
      </c>
      <c r="K900" t="s">
        <v>1351</v>
      </c>
      <c r="L900" s="1">
        <f t="shared" si="127"/>
        <v>45562</v>
      </c>
      <c r="M900" s="1">
        <v>45392</v>
      </c>
      <c r="N900" s="1">
        <f t="shared" si="128"/>
        <v>45392</v>
      </c>
      <c r="O900" t="s">
        <v>358</v>
      </c>
      <c r="P900" s="1">
        <f t="shared" si="129"/>
        <v>45501</v>
      </c>
      <c r="Q900" t="s">
        <v>3520</v>
      </c>
      <c r="R900">
        <v>31</v>
      </c>
      <c r="S900">
        <v>69</v>
      </c>
      <c r="T900" t="s">
        <v>42</v>
      </c>
      <c r="U900" s="8">
        <v>372</v>
      </c>
      <c r="V900" s="8">
        <f t="shared" si="130"/>
        <v>624</v>
      </c>
      <c r="W900" t="str">
        <f t="shared" si="131"/>
        <v>Reorder Required</v>
      </c>
      <c r="X900" s="9">
        <f t="shared" si="132"/>
        <v>45536</v>
      </c>
      <c r="Y900">
        <f t="shared" si="133"/>
        <v>-61</v>
      </c>
      <c r="Z900" t="str">
        <f t="shared" si="134"/>
        <v>Invalid Data</v>
      </c>
    </row>
    <row r="901" spans="1:26" x14ac:dyDescent="0.4">
      <c r="A901" t="s">
        <v>3521</v>
      </c>
      <c r="B901" t="s">
        <v>943</v>
      </c>
      <c r="C901" t="s">
        <v>68</v>
      </c>
      <c r="D901" t="s">
        <v>3522</v>
      </c>
      <c r="E901" t="s">
        <v>1975</v>
      </c>
      <c r="F901">
        <v>97</v>
      </c>
      <c r="G901">
        <v>20</v>
      </c>
      <c r="H901">
        <v>8</v>
      </c>
      <c r="I901" t="s">
        <v>945</v>
      </c>
      <c r="J901" s="7">
        <f t="shared" si="126"/>
        <v>6.5</v>
      </c>
      <c r="K901" t="s">
        <v>688</v>
      </c>
      <c r="L901" s="1">
        <f t="shared" si="127"/>
        <v>45459</v>
      </c>
      <c r="M901" s="1">
        <v>45454</v>
      </c>
      <c r="N901" s="1">
        <f t="shared" si="128"/>
        <v>45454</v>
      </c>
      <c r="O901" s="1">
        <v>45546</v>
      </c>
      <c r="P901" s="1">
        <f t="shared" si="129"/>
        <v>45546</v>
      </c>
      <c r="Q901" t="s">
        <v>3523</v>
      </c>
      <c r="R901">
        <v>51</v>
      </c>
      <c r="S901">
        <v>51</v>
      </c>
      <c r="T901" t="s">
        <v>51</v>
      </c>
      <c r="U901" s="8">
        <v>331.5</v>
      </c>
      <c r="V901" s="8">
        <f t="shared" si="130"/>
        <v>630.5</v>
      </c>
      <c r="W901" t="str">
        <f t="shared" si="131"/>
        <v>Sufficient Stock</v>
      </c>
      <c r="X901" s="9">
        <f t="shared" si="132"/>
        <v>45444</v>
      </c>
      <c r="Y901">
        <f t="shared" si="133"/>
        <v>87</v>
      </c>
      <c r="Z901" t="str">
        <f t="shared" si="134"/>
        <v>High Risk</v>
      </c>
    </row>
    <row r="902" spans="1:26" x14ac:dyDescent="0.4">
      <c r="A902" t="s">
        <v>3524</v>
      </c>
      <c r="B902" t="s">
        <v>1428</v>
      </c>
      <c r="C902" t="s">
        <v>169</v>
      </c>
      <c r="D902" t="s">
        <v>3525</v>
      </c>
      <c r="E902" t="s">
        <v>1718</v>
      </c>
      <c r="F902">
        <v>88</v>
      </c>
      <c r="G902">
        <v>42</v>
      </c>
      <c r="H902">
        <v>68</v>
      </c>
      <c r="I902" t="s">
        <v>32</v>
      </c>
      <c r="J902" s="7">
        <f t="shared" si="126"/>
        <v>20</v>
      </c>
      <c r="K902" t="s">
        <v>260</v>
      </c>
      <c r="L902" s="1">
        <f t="shared" si="127"/>
        <v>45466</v>
      </c>
      <c r="M902" t="s">
        <v>1188</v>
      </c>
      <c r="N902" s="1">
        <f t="shared" si="128"/>
        <v>45625</v>
      </c>
      <c r="O902" s="1">
        <v>45539</v>
      </c>
      <c r="P902" s="1">
        <f t="shared" si="129"/>
        <v>45539</v>
      </c>
      <c r="Q902" t="s">
        <v>3526</v>
      </c>
      <c r="R902">
        <v>92</v>
      </c>
      <c r="S902">
        <v>29</v>
      </c>
      <c r="T902" t="s">
        <v>51</v>
      </c>
      <c r="U902" s="8">
        <v>1840</v>
      </c>
      <c r="V902" s="8">
        <f t="shared" si="130"/>
        <v>1760</v>
      </c>
      <c r="W902" t="str">
        <f t="shared" si="131"/>
        <v>Sufficient Stock</v>
      </c>
      <c r="X902" s="9">
        <f t="shared" si="132"/>
        <v>45444</v>
      </c>
      <c r="Y902">
        <f t="shared" si="133"/>
        <v>73</v>
      </c>
      <c r="Z902" t="str">
        <f t="shared" si="134"/>
        <v>High Risk</v>
      </c>
    </row>
    <row r="903" spans="1:26" x14ac:dyDescent="0.4">
      <c r="A903" t="s">
        <v>3527</v>
      </c>
      <c r="B903" t="s">
        <v>621</v>
      </c>
      <c r="C903" t="s">
        <v>18</v>
      </c>
      <c r="D903" t="s">
        <v>3528</v>
      </c>
      <c r="E903" t="s">
        <v>2833</v>
      </c>
      <c r="F903">
        <v>33</v>
      </c>
      <c r="G903">
        <v>44</v>
      </c>
      <c r="H903">
        <v>89</v>
      </c>
      <c r="I903" t="s">
        <v>624</v>
      </c>
      <c r="J903" s="7">
        <f t="shared" si="126"/>
        <v>4.75</v>
      </c>
      <c r="K903" t="s">
        <v>1014</v>
      </c>
      <c r="L903" s="1">
        <f t="shared" si="127"/>
        <v>45366</v>
      </c>
      <c r="M903" s="1">
        <v>45421</v>
      </c>
      <c r="N903" s="1">
        <f t="shared" si="128"/>
        <v>45421</v>
      </c>
      <c r="O903" t="s">
        <v>49</v>
      </c>
      <c r="P903" s="1">
        <f t="shared" si="129"/>
        <v>45399</v>
      </c>
      <c r="Q903" t="s">
        <v>3529</v>
      </c>
      <c r="R903">
        <v>93</v>
      </c>
      <c r="S903">
        <v>19</v>
      </c>
      <c r="T903" t="s">
        <v>26</v>
      </c>
      <c r="U903" s="8">
        <v>441.75</v>
      </c>
      <c r="V903" s="8">
        <f t="shared" si="130"/>
        <v>156.75</v>
      </c>
      <c r="W903" t="str">
        <f t="shared" si="131"/>
        <v>Reorder Required</v>
      </c>
      <c r="X903" s="9">
        <f t="shared" si="132"/>
        <v>45352</v>
      </c>
      <c r="Y903">
        <f t="shared" si="133"/>
        <v>33</v>
      </c>
      <c r="Z903" t="str">
        <f t="shared" si="134"/>
        <v>High Risk</v>
      </c>
    </row>
    <row r="904" spans="1:26" x14ac:dyDescent="0.4">
      <c r="A904" t="s">
        <v>3530</v>
      </c>
      <c r="B904" t="s">
        <v>621</v>
      </c>
      <c r="C904" t="s">
        <v>18</v>
      </c>
      <c r="D904" t="s">
        <v>3531</v>
      </c>
      <c r="E904" t="s">
        <v>371</v>
      </c>
      <c r="F904">
        <v>98</v>
      </c>
      <c r="G904">
        <v>20</v>
      </c>
      <c r="H904">
        <v>81</v>
      </c>
      <c r="I904" t="s">
        <v>624</v>
      </c>
      <c r="J904" s="7">
        <f t="shared" si="126"/>
        <v>4.75</v>
      </c>
      <c r="K904" t="s">
        <v>882</v>
      </c>
      <c r="L904" s="1">
        <f t="shared" si="127"/>
        <v>45518</v>
      </c>
      <c r="M904" s="1">
        <v>45572</v>
      </c>
      <c r="N904" s="1">
        <f t="shared" si="128"/>
        <v>45572</v>
      </c>
      <c r="O904" t="s">
        <v>2285</v>
      </c>
      <c r="P904" s="1">
        <f t="shared" si="129"/>
        <v>45656</v>
      </c>
      <c r="Q904" t="s">
        <v>3532</v>
      </c>
      <c r="R904">
        <v>51</v>
      </c>
      <c r="S904">
        <v>23</v>
      </c>
      <c r="T904" t="s">
        <v>42</v>
      </c>
      <c r="U904" s="8">
        <v>242.25</v>
      </c>
      <c r="V904" s="8">
        <f t="shared" si="130"/>
        <v>465.5</v>
      </c>
      <c r="W904" t="str">
        <f t="shared" si="131"/>
        <v>Sufficient Stock</v>
      </c>
      <c r="X904" s="9">
        <f t="shared" si="132"/>
        <v>45505</v>
      </c>
      <c r="Y904">
        <f t="shared" si="133"/>
        <v>138</v>
      </c>
      <c r="Z904" t="str">
        <f t="shared" si="134"/>
        <v>Medium Risk</v>
      </c>
    </row>
    <row r="905" spans="1:26" x14ac:dyDescent="0.4">
      <c r="A905" t="s">
        <v>3533</v>
      </c>
      <c r="B905" t="s">
        <v>733</v>
      </c>
      <c r="C905" t="s">
        <v>54</v>
      </c>
      <c r="D905" t="s">
        <v>3534</v>
      </c>
      <c r="E905" t="s">
        <v>560</v>
      </c>
      <c r="F905">
        <v>45</v>
      </c>
      <c r="G905">
        <v>79</v>
      </c>
      <c r="H905">
        <v>95</v>
      </c>
      <c r="I905" t="s">
        <v>57</v>
      </c>
      <c r="J905" s="7">
        <f t="shared" si="126"/>
        <v>4</v>
      </c>
      <c r="K905" s="1">
        <v>45455</v>
      </c>
      <c r="L905" s="1">
        <f t="shared" si="127"/>
        <v>45455</v>
      </c>
      <c r="M905" t="s">
        <v>207</v>
      </c>
      <c r="N905" s="1">
        <f t="shared" si="128"/>
        <v>45469</v>
      </c>
      <c r="O905" t="s">
        <v>755</v>
      </c>
      <c r="P905" s="1">
        <f t="shared" si="129"/>
        <v>45611</v>
      </c>
      <c r="Q905" t="s">
        <v>3535</v>
      </c>
      <c r="R905">
        <v>84</v>
      </c>
      <c r="S905">
        <v>62</v>
      </c>
      <c r="T905" t="s">
        <v>42</v>
      </c>
      <c r="U905" s="8">
        <v>336</v>
      </c>
      <c r="V905" s="8">
        <f t="shared" si="130"/>
        <v>180</v>
      </c>
      <c r="W905" t="str">
        <f t="shared" si="131"/>
        <v>Reorder Required</v>
      </c>
      <c r="X905" s="9">
        <f t="shared" si="132"/>
        <v>45444</v>
      </c>
      <c r="Y905">
        <f t="shared" si="133"/>
        <v>156</v>
      </c>
      <c r="Z905" t="str">
        <f t="shared" si="134"/>
        <v>Medium Risk</v>
      </c>
    </row>
    <row r="906" spans="1:26" x14ac:dyDescent="0.4">
      <c r="A906" t="s">
        <v>3536</v>
      </c>
      <c r="B906" t="s">
        <v>774</v>
      </c>
      <c r="C906" t="s">
        <v>18</v>
      </c>
      <c r="D906" t="s">
        <v>3537</v>
      </c>
      <c r="E906" t="s">
        <v>2572</v>
      </c>
      <c r="F906">
        <v>80</v>
      </c>
      <c r="G906">
        <v>86</v>
      </c>
      <c r="H906">
        <v>50</v>
      </c>
      <c r="I906" t="s">
        <v>466</v>
      </c>
      <c r="J906" s="7">
        <f t="shared" si="126"/>
        <v>1.8</v>
      </c>
      <c r="K906" s="1">
        <v>45417</v>
      </c>
      <c r="L906" s="1">
        <f t="shared" si="127"/>
        <v>45417</v>
      </c>
      <c r="M906" t="s">
        <v>322</v>
      </c>
      <c r="N906" s="1">
        <f t="shared" si="128"/>
        <v>45495</v>
      </c>
      <c r="O906" t="s">
        <v>214</v>
      </c>
      <c r="P906" s="1">
        <f t="shared" si="129"/>
        <v>45712</v>
      </c>
      <c r="Q906" t="s">
        <v>3538</v>
      </c>
      <c r="R906">
        <v>46</v>
      </c>
      <c r="S906">
        <v>69</v>
      </c>
      <c r="T906" t="s">
        <v>26</v>
      </c>
      <c r="U906" s="8">
        <v>82.8</v>
      </c>
      <c r="V906" s="8">
        <f t="shared" si="130"/>
        <v>144</v>
      </c>
      <c r="W906" t="str">
        <f t="shared" si="131"/>
        <v>Reorder Required</v>
      </c>
      <c r="X906" s="9">
        <f t="shared" si="132"/>
        <v>45413</v>
      </c>
      <c r="Y906">
        <f t="shared" si="133"/>
        <v>295</v>
      </c>
      <c r="Z906" t="str">
        <f t="shared" si="134"/>
        <v>Low Risk</v>
      </c>
    </row>
    <row r="907" spans="1:26" x14ac:dyDescent="0.4">
      <c r="A907" t="s">
        <v>3539</v>
      </c>
      <c r="B907" t="s">
        <v>1428</v>
      </c>
      <c r="C907" t="s">
        <v>169</v>
      </c>
      <c r="D907" t="s">
        <v>3540</v>
      </c>
      <c r="E907" t="s">
        <v>891</v>
      </c>
      <c r="F907">
        <v>68</v>
      </c>
      <c r="G907">
        <v>43</v>
      </c>
      <c r="H907">
        <v>96</v>
      </c>
      <c r="I907" t="s">
        <v>32</v>
      </c>
      <c r="J907" s="7">
        <f t="shared" si="126"/>
        <v>20</v>
      </c>
      <c r="K907" t="s">
        <v>341</v>
      </c>
      <c r="L907" s="1">
        <f t="shared" si="127"/>
        <v>45613</v>
      </c>
      <c r="M907" t="s">
        <v>828</v>
      </c>
      <c r="N907" s="1">
        <f t="shared" si="128"/>
        <v>45410</v>
      </c>
      <c r="O907" t="s">
        <v>1205</v>
      </c>
      <c r="P907" s="1">
        <f t="shared" si="129"/>
        <v>45580</v>
      </c>
      <c r="Q907" t="s">
        <v>3541</v>
      </c>
      <c r="R907">
        <v>75</v>
      </c>
      <c r="S907">
        <v>35</v>
      </c>
      <c r="T907" t="s">
        <v>42</v>
      </c>
      <c r="U907" s="8">
        <v>1500</v>
      </c>
      <c r="V907" s="8">
        <f t="shared" si="130"/>
        <v>1360</v>
      </c>
      <c r="W907" t="str">
        <f t="shared" si="131"/>
        <v>Sufficient Stock</v>
      </c>
      <c r="X907" s="9">
        <f t="shared" si="132"/>
        <v>45597</v>
      </c>
      <c r="Y907">
        <f t="shared" si="133"/>
        <v>-33</v>
      </c>
      <c r="Z907" t="str">
        <f t="shared" si="134"/>
        <v>Invalid Data</v>
      </c>
    </row>
    <row r="908" spans="1:26" x14ac:dyDescent="0.4">
      <c r="A908" t="s">
        <v>3542</v>
      </c>
      <c r="B908" t="s">
        <v>1447</v>
      </c>
      <c r="C908" t="s">
        <v>54</v>
      </c>
      <c r="D908" t="s">
        <v>3543</v>
      </c>
      <c r="E908" t="s">
        <v>1499</v>
      </c>
      <c r="F908">
        <v>90</v>
      </c>
      <c r="G908">
        <v>91</v>
      </c>
      <c r="H908">
        <v>62</v>
      </c>
      <c r="I908" t="s">
        <v>220</v>
      </c>
      <c r="J908" s="7">
        <f t="shared" si="126"/>
        <v>5</v>
      </c>
      <c r="K908" t="s">
        <v>485</v>
      </c>
      <c r="L908" s="1">
        <f t="shared" si="127"/>
        <v>45620</v>
      </c>
      <c r="M908" t="s">
        <v>630</v>
      </c>
      <c r="N908" s="1">
        <f t="shared" si="128"/>
        <v>45623</v>
      </c>
      <c r="O908" t="s">
        <v>485</v>
      </c>
      <c r="P908" s="1">
        <f t="shared" si="129"/>
        <v>45620</v>
      </c>
      <c r="Q908" t="s">
        <v>3544</v>
      </c>
      <c r="R908">
        <v>34</v>
      </c>
      <c r="S908">
        <v>72</v>
      </c>
      <c r="T908" t="s">
        <v>51</v>
      </c>
      <c r="U908" s="8">
        <v>170</v>
      </c>
      <c r="V908" s="8">
        <f t="shared" si="130"/>
        <v>450</v>
      </c>
      <c r="W908" t="str">
        <f t="shared" si="131"/>
        <v>Reorder Required</v>
      </c>
      <c r="X908" s="9">
        <f t="shared" si="132"/>
        <v>45597</v>
      </c>
      <c r="Y908">
        <f t="shared" si="133"/>
        <v>0</v>
      </c>
      <c r="Z908" t="str">
        <f t="shared" si="134"/>
        <v>Critical</v>
      </c>
    </row>
    <row r="909" spans="1:26" x14ac:dyDescent="0.4">
      <c r="A909" t="s">
        <v>3545</v>
      </c>
      <c r="B909" t="s">
        <v>168</v>
      </c>
      <c r="C909" t="s">
        <v>169</v>
      </c>
      <c r="D909" t="s">
        <v>3546</v>
      </c>
      <c r="E909" t="s">
        <v>1557</v>
      </c>
      <c r="F909">
        <v>89</v>
      </c>
      <c r="G909">
        <v>67</v>
      </c>
      <c r="H909">
        <v>89</v>
      </c>
      <c r="I909" t="s">
        <v>172</v>
      </c>
      <c r="J909" s="7">
        <f t="shared" si="126"/>
        <v>12</v>
      </c>
      <c r="K909" t="s">
        <v>180</v>
      </c>
      <c r="L909" s="1">
        <f t="shared" si="127"/>
        <v>45702</v>
      </c>
      <c r="M909" s="1">
        <v>45778</v>
      </c>
      <c r="N909" s="1">
        <f t="shared" si="128"/>
        <v>45778</v>
      </c>
      <c r="O909" s="1">
        <v>45576</v>
      </c>
      <c r="P909" s="1">
        <f t="shared" si="129"/>
        <v>45576</v>
      </c>
      <c r="Q909" t="s">
        <v>3547</v>
      </c>
      <c r="R909">
        <v>96</v>
      </c>
      <c r="S909">
        <v>42</v>
      </c>
      <c r="T909" t="s">
        <v>26</v>
      </c>
      <c r="U909" s="8">
        <v>1152</v>
      </c>
      <c r="V909" s="8">
        <f t="shared" si="130"/>
        <v>1068</v>
      </c>
      <c r="W909" t="str">
        <f t="shared" si="131"/>
        <v>Sufficient Stock</v>
      </c>
      <c r="X909" s="9">
        <f t="shared" si="132"/>
        <v>45689</v>
      </c>
      <c r="Y909">
        <f t="shared" si="133"/>
        <v>-126</v>
      </c>
      <c r="Z909" t="str">
        <f t="shared" si="134"/>
        <v>Invalid Data</v>
      </c>
    </row>
    <row r="910" spans="1:26" x14ac:dyDescent="0.4">
      <c r="A910" t="s">
        <v>3548</v>
      </c>
      <c r="B910" t="s">
        <v>233</v>
      </c>
      <c r="C910" t="s">
        <v>54</v>
      </c>
      <c r="D910" t="s">
        <v>3549</v>
      </c>
      <c r="E910" t="s">
        <v>2080</v>
      </c>
      <c r="F910">
        <v>38</v>
      </c>
      <c r="G910">
        <v>94</v>
      </c>
      <c r="H910">
        <v>87</v>
      </c>
      <c r="I910" t="s">
        <v>466</v>
      </c>
      <c r="J910" s="7">
        <f t="shared" si="126"/>
        <v>1.8</v>
      </c>
      <c r="K910" t="s">
        <v>1129</v>
      </c>
      <c r="L910" s="1">
        <f t="shared" si="127"/>
        <v>45439</v>
      </c>
      <c r="M910" s="1">
        <v>45356</v>
      </c>
      <c r="N910" s="1">
        <f t="shared" si="128"/>
        <v>45356</v>
      </c>
      <c r="O910" t="s">
        <v>222</v>
      </c>
      <c r="P910" s="1">
        <f t="shared" si="129"/>
        <v>45525</v>
      </c>
      <c r="Q910" t="s">
        <v>3550</v>
      </c>
      <c r="R910">
        <v>89</v>
      </c>
      <c r="S910">
        <v>100</v>
      </c>
      <c r="T910" t="s">
        <v>26</v>
      </c>
      <c r="U910" s="8">
        <v>160.20000000000002</v>
      </c>
      <c r="V910" s="8">
        <f t="shared" si="130"/>
        <v>68.400000000000006</v>
      </c>
      <c r="W910" t="str">
        <f t="shared" si="131"/>
        <v>Reorder Required</v>
      </c>
      <c r="X910" s="9">
        <f t="shared" si="132"/>
        <v>45413</v>
      </c>
      <c r="Y910">
        <f t="shared" si="133"/>
        <v>86</v>
      </c>
      <c r="Z910" t="str">
        <f t="shared" si="134"/>
        <v>High Risk</v>
      </c>
    </row>
    <row r="911" spans="1:26" x14ac:dyDescent="0.4">
      <c r="A911" t="s">
        <v>3551</v>
      </c>
      <c r="B911" t="s">
        <v>176</v>
      </c>
      <c r="C911" t="s">
        <v>54</v>
      </c>
      <c r="D911" t="s">
        <v>3552</v>
      </c>
      <c r="E911" t="s">
        <v>3553</v>
      </c>
      <c r="F911">
        <v>99</v>
      </c>
      <c r="G911">
        <v>37</v>
      </c>
      <c r="H911">
        <v>74</v>
      </c>
      <c r="I911" t="s">
        <v>1876</v>
      </c>
      <c r="J911" s="7">
        <f t="shared" si="126"/>
        <v>2.1</v>
      </c>
      <c r="K911" t="s">
        <v>915</v>
      </c>
      <c r="L911" s="1">
        <f t="shared" si="127"/>
        <v>45498</v>
      </c>
      <c r="M911" t="s">
        <v>192</v>
      </c>
      <c r="N911" s="1">
        <f t="shared" si="128"/>
        <v>45647</v>
      </c>
      <c r="O911" s="1">
        <v>45325</v>
      </c>
      <c r="P911" s="1">
        <f t="shared" si="129"/>
        <v>45325</v>
      </c>
      <c r="Q911" t="s">
        <v>3554</v>
      </c>
      <c r="R911">
        <v>46</v>
      </c>
      <c r="S911">
        <v>46</v>
      </c>
      <c r="T911" t="s">
        <v>51</v>
      </c>
      <c r="U911" s="8">
        <v>96.600000000000009</v>
      </c>
      <c r="V911" s="8">
        <f t="shared" si="130"/>
        <v>207.9</v>
      </c>
      <c r="W911" t="str">
        <f t="shared" si="131"/>
        <v>Sufficient Stock</v>
      </c>
      <c r="X911" s="9">
        <f t="shared" si="132"/>
        <v>45474</v>
      </c>
      <c r="Y911">
        <f t="shared" si="133"/>
        <v>-173</v>
      </c>
      <c r="Z911" t="str">
        <f t="shared" si="134"/>
        <v>Invalid Data</v>
      </c>
    </row>
    <row r="912" spans="1:26" x14ac:dyDescent="0.4">
      <c r="A912" t="s">
        <v>3555</v>
      </c>
      <c r="B912" t="s">
        <v>885</v>
      </c>
      <c r="C912" t="s">
        <v>18</v>
      </c>
      <c r="D912" t="s">
        <v>3556</v>
      </c>
      <c r="E912" t="s">
        <v>1120</v>
      </c>
      <c r="F912">
        <v>66</v>
      </c>
      <c r="G912">
        <v>19</v>
      </c>
      <c r="H912">
        <v>20</v>
      </c>
      <c r="I912" t="s">
        <v>554</v>
      </c>
      <c r="J912" s="7">
        <f t="shared" si="126"/>
        <v>2.4</v>
      </c>
      <c r="K912" t="s">
        <v>514</v>
      </c>
      <c r="L912" s="1">
        <f t="shared" si="127"/>
        <v>45553</v>
      </c>
      <c r="M912" s="1">
        <v>45482</v>
      </c>
      <c r="N912" s="1">
        <f t="shared" si="128"/>
        <v>45482</v>
      </c>
      <c r="O912" s="1">
        <v>45297</v>
      </c>
      <c r="P912" s="1">
        <f t="shared" si="129"/>
        <v>45297</v>
      </c>
      <c r="Q912" t="s">
        <v>3557</v>
      </c>
      <c r="R912">
        <v>30</v>
      </c>
      <c r="S912">
        <v>49</v>
      </c>
      <c r="T912" t="s">
        <v>51</v>
      </c>
      <c r="U912" s="8">
        <v>72</v>
      </c>
      <c r="V912" s="8">
        <f t="shared" si="130"/>
        <v>158.4</v>
      </c>
      <c r="W912" t="str">
        <f t="shared" si="131"/>
        <v>Sufficient Stock</v>
      </c>
      <c r="X912" s="9">
        <f t="shared" si="132"/>
        <v>45536</v>
      </c>
      <c r="Y912">
        <f t="shared" si="133"/>
        <v>-256</v>
      </c>
      <c r="Z912" t="str">
        <f t="shared" si="134"/>
        <v>Invalid Data</v>
      </c>
    </row>
    <row r="913" spans="1:26" x14ac:dyDescent="0.4">
      <c r="A913" t="s">
        <v>3558</v>
      </c>
      <c r="B913" t="s">
        <v>722</v>
      </c>
      <c r="C913" t="s">
        <v>54</v>
      </c>
      <c r="D913" t="s">
        <v>3559</v>
      </c>
      <c r="E913" t="s">
        <v>2421</v>
      </c>
      <c r="F913">
        <v>66</v>
      </c>
      <c r="G913">
        <v>28</v>
      </c>
      <c r="H913">
        <v>7</v>
      </c>
      <c r="I913" t="s">
        <v>39</v>
      </c>
      <c r="J913" s="7">
        <f t="shared" si="126"/>
        <v>6</v>
      </c>
      <c r="K913" t="s">
        <v>786</v>
      </c>
      <c r="L913" s="1">
        <f t="shared" si="127"/>
        <v>45409</v>
      </c>
      <c r="M913" t="s">
        <v>1272</v>
      </c>
      <c r="N913" s="1">
        <f t="shared" si="128"/>
        <v>45591</v>
      </c>
      <c r="O913" t="s">
        <v>882</v>
      </c>
      <c r="P913" s="1">
        <f t="shared" si="129"/>
        <v>45518</v>
      </c>
      <c r="Q913" t="s">
        <v>3560</v>
      </c>
      <c r="R913">
        <v>85</v>
      </c>
      <c r="S913">
        <v>6</v>
      </c>
      <c r="T913" t="s">
        <v>42</v>
      </c>
      <c r="U913" s="8">
        <v>510</v>
      </c>
      <c r="V913" s="8">
        <f t="shared" si="130"/>
        <v>396</v>
      </c>
      <c r="W913" t="str">
        <f t="shared" si="131"/>
        <v>Sufficient Stock</v>
      </c>
      <c r="X913" s="9">
        <f t="shared" si="132"/>
        <v>45383</v>
      </c>
      <c r="Y913">
        <f t="shared" si="133"/>
        <v>109</v>
      </c>
      <c r="Z913" t="str">
        <f t="shared" si="134"/>
        <v>Medium Risk</v>
      </c>
    </row>
    <row r="914" spans="1:26" x14ac:dyDescent="0.4">
      <c r="A914" t="s">
        <v>3561</v>
      </c>
      <c r="B914" t="s">
        <v>138</v>
      </c>
      <c r="C914" t="s">
        <v>18</v>
      </c>
      <c r="D914" t="s">
        <v>3562</v>
      </c>
      <c r="E914" t="s">
        <v>1246</v>
      </c>
      <c r="F914">
        <v>64</v>
      </c>
      <c r="G914">
        <v>11</v>
      </c>
      <c r="H914">
        <v>97</v>
      </c>
      <c r="I914" t="s">
        <v>47</v>
      </c>
      <c r="J914" s="7">
        <f t="shared" si="126"/>
        <v>1.5</v>
      </c>
      <c r="K914" t="s">
        <v>268</v>
      </c>
      <c r="L914" s="1">
        <f t="shared" si="127"/>
        <v>45652</v>
      </c>
      <c r="M914" t="s">
        <v>99</v>
      </c>
      <c r="N914" s="1">
        <f t="shared" si="128"/>
        <v>45644</v>
      </c>
      <c r="O914" s="1">
        <v>45419</v>
      </c>
      <c r="P914" s="1">
        <f t="shared" si="129"/>
        <v>45419</v>
      </c>
      <c r="Q914" t="s">
        <v>3563</v>
      </c>
      <c r="R914">
        <v>33</v>
      </c>
      <c r="S914">
        <v>83</v>
      </c>
      <c r="T914" t="s">
        <v>26</v>
      </c>
      <c r="U914" s="8">
        <v>49.5</v>
      </c>
      <c r="V914" s="8">
        <f t="shared" si="130"/>
        <v>96</v>
      </c>
      <c r="W914" t="str">
        <f t="shared" si="131"/>
        <v>Sufficient Stock</v>
      </c>
      <c r="X914" s="9">
        <f t="shared" si="132"/>
        <v>45627</v>
      </c>
      <c r="Y914">
        <f t="shared" si="133"/>
        <v>-233</v>
      </c>
      <c r="Z914" t="str">
        <f t="shared" si="134"/>
        <v>Invalid Data</v>
      </c>
    </row>
    <row r="915" spans="1:26" x14ac:dyDescent="0.4">
      <c r="A915" t="s">
        <v>3564</v>
      </c>
      <c r="B915" t="s">
        <v>36</v>
      </c>
      <c r="C915" t="s">
        <v>18</v>
      </c>
      <c r="D915" t="s">
        <v>3565</v>
      </c>
      <c r="E915" t="s">
        <v>2775</v>
      </c>
      <c r="F915">
        <v>18</v>
      </c>
      <c r="G915">
        <v>78</v>
      </c>
      <c r="H915">
        <v>43</v>
      </c>
      <c r="I915" t="s">
        <v>39</v>
      </c>
      <c r="J915" s="7">
        <f t="shared" si="126"/>
        <v>6</v>
      </c>
      <c r="K915" s="1">
        <v>45748</v>
      </c>
      <c r="L915" s="1">
        <f t="shared" si="127"/>
        <v>45748</v>
      </c>
      <c r="M915" s="1">
        <v>45419</v>
      </c>
      <c r="N915" s="1">
        <f t="shared" si="128"/>
        <v>45419</v>
      </c>
      <c r="O915" t="s">
        <v>1629</v>
      </c>
      <c r="P915" s="1">
        <f t="shared" si="129"/>
        <v>45364</v>
      </c>
      <c r="Q915" t="s">
        <v>3566</v>
      </c>
      <c r="R915">
        <v>85</v>
      </c>
      <c r="S915">
        <v>97</v>
      </c>
      <c r="T915" t="s">
        <v>51</v>
      </c>
      <c r="U915" s="8">
        <v>510</v>
      </c>
      <c r="V915" s="8">
        <f t="shared" si="130"/>
        <v>108</v>
      </c>
      <c r="W915" t="str">
        <f t="shared" si="131"/>
        <v>Reorder Required</v>
      </c>
      <c r="X915" s="9">
        <f t="shared" si="132"/>
        <v>45748</v>
      </c>
      <c r="Y915">
        <f t="shared" si="133"/>
        <v>-384</v>
      </c>
      <c r="Z915" t="str">
        <f t="shared" si="134"/>
        <v>Invalid Data</v>
      </c>
    </row>
    <row r="916" spans="1:26" x14ac:dyDescent="0.4">
      <c r="A916" t="s">
        <v>3567</v>
      </c>
      <c r="B916" t="s">
        <v>984</v>
      </c>
      <c r="C916" t="s">
        <v>18</v>
      </c>
      <c r="D916" t="s">
        <v>3568</v>
      </c>
      <c r="E916" t="s">
        <v>1585</v>
      </c>
      <c r="F916">
        <v>86</v>
      </c>
      <c r="G916">
        <v>100</v>
      </c>
      <c r="H916">
        <v>78</v>
      </c>
      <c r="I916" t="s">
        <v>986</v>
      </c>
      <c r="J916" s="7">
        <f t="shared" si="126"/>
        <v>2.75</v>
      </c>
      <c r="K916" s="1">
        <v>45447</v>
      </c>
      <c r="L916" s="1">
        <f t="shared" si="127"/>
        <v>45447</v>
      </c>
      <c r="M916" t="s">
        <v>164</v>
      </c>
      <c r="N916" s="1">
        <f t="shared" si="128"/>
        <v>45440</v>
      </c>
      <c r="O916" s="1">
        <v>45779</v>
      </c>
      <c r="P916" s="1">
        <f t="shared" si="129"/>
        <v>45779</v>
      </c>
      <c r="Q916" t="s">
        <v>3569</v>
      </c>
      <c r="R916">
        <v>52</v>
      </c>
      <c r="S916">
        <v>91</v>
      </c>
      <c r="T916" t="s">
        <v>42</v>
      </c>
      <c r="U916" s="8">
        <v>143</v>
      </c>
      <c r="V916" s="8">
        <f t="shared" si="130"/>
        <v>236.5</v>
      </c>
      <c r="W916" t="str">
        <f t="shared" si="131"/>
        <v>Reorder Required</v>
      </c>
      <c r="X916" s="9">
        <f t="shared" si="132"/>
        <v>45444</v>
      </c>
      <c r="Y916">
        <f t="shared" si="133"/>
        <v>332</v>
      </c>
      <c r="Z916" t="str">
        <f t="shared" si="134"/>
        <v>Low Risk</v>
      </c>
    </row>
    <row r="917" spans="1:26" x14ac:dyDescent="0.4">
      <c r="A917" t="s">
        <v>3570</v>
      </c>
      <c r="B917" t="s">
        <v>431</v>
      </c>
      <c r="C917" t="s">
        <v>29</v>
      </c>
      <c r="D917" t="s">
        <v>3571</v>
      </c>
      <c r="E917" t="s">
        <v>292</v>
      </c>
      <c r="F917">
        <v>35</v>
      </c>
      <c r="G917">
        <v>88</v>
      </c>
      <c r="H917">
        <v>87</v>
      </c>
      <c r="I917" t="s">
        <v>1663</v>
      </c>
      <c r="J917" s="7">
        <f t="shared" si="126"/>
        <v>4.7</v>
      </c>
      <c r="K917" s="1">
        <v>45416</v>
      </c>
      <c r="L917" s="1">
        <f t="shared" si="127"/>
        <v>45416</v>
      </c>
      <c r="M917" s="1">
        <v>45636</v>
      </c>
      <c r="N917" s="1">
        <f t="shared" si="128"/>
        <v>45636</v>
      </c>
      <c r="O917" t="s">
        <v>1343</v>
      </c>
      <c r="P917" s="1">
        <f t="shared" si="129"/>
        <v>45617</v>
      </c>
      <c r="Q917" t="s">
        <v>3572</v>
      </c>
      <c r="R917">
        <v>39</v>
      </c>
      <c r="S917">
        <v>62</v>
      </c>
      <c r="T917" t="s">
        <v>51</v>
      </c>
      <c r="U917" s="8">
        <v>183.3</v>
      </c>
      <c r="V917" s="8">
        <f t="shared" si="130"/>
        <v>164.5</v>
      </c>
      <c r="W917" t="str">
        <f t="shared" si="131"/>
        <v>Reorder Required</v>
      </c>
      <c r="X917" s="9">
        <f t="shared" si="132"/>
        <v>45413</v>
      </c>
      <c r="Y917">
        <f t="shared" si="133"/>
        <v>201</v>
      </c>
      <c r="Z917" t="str">
        <f t="shared" si="134"/>
        <v>Low Risk</v>
      </c>
    </row>
    <row r="918" spans="1:26" x14ac:dyDescent="0.4">
      <c r="A918" t="s">
        <v>3573</v>
      </c>
      <c r="B918" t="s">
        <v>176</v>
      </c>
      <c r="C918" t="s">
        <v>54</v>
      </c>
      <c r="D918" t="s">
        <v>3574</v>
      </c>
      <c r="E918" t="s">
        <v>1204</v>
      </c>
      <c r="F918">
        <v>26</v>
      </c>
      <c r="G918">
        <v>70</v>
      </c>
      <c r="H918">
        <v>52</v>
      </c>
      <c r="I918" t="s">
        <v>106</v>
      </c>
      <c r="J918" s="7">
        <f t="shared" si="126"/>
        <v>2</v>
      </c>
      <c r="K918" s="1">
        <v>45482</v>
      </c>
      <c r="L918" s="1">
        <f t="shared" si="127"/>
        <v>45482</v>
      </c>
      <c r="M918" s="1">
        <v>45568</v>
      </c>
      <c r="N918" s="1">
        <f t="shared" si="128"/>
        <v>45568</v>
      </c>
      <c r="O918" s="1">
        <v>45362</v>
      </c>
      <c r="P918" s="1">
        <f t="shared" si="129"/>
        <v>45362</v>
      </c>
      <c r="Q918" t="s">
        <v>3575</v>
      </c>
      <c r="R918">
        <v>36</v>
      </c>
      <c r="S918">
        <v>10</v>
      </c>
      <c r="T918" t="s">
        <v>26</v>
      </c>
      <c r="U918" s="8">
        <v>72</v>
      </c>
      <c r="V918" s="8">
        <f t="shared" si="130"/>
        <v>52</v>
      </c>
      <c r="W918" t="str">
        <f t="shared" si="131"/>
        <v>Reorder Required</v>
      </c>
      <c r="X918" s="9">
        <f t="shared" si="132"/>
        <v>45474</v>
      </c>
      <c r="Y918">
        <f t="shared" si="133"/>
        <v>-120</v>
      </c>
      <c r="Z918" t="str">
        <f t="shared" si="134"/>
        <v>Invalid Data</v>
      </c>
    </row>
    <row r="919" spans="1:26" x14ac:dyDescent="0.4">
      <c r="A919" t="s">
        <v>3576</v>
      </c>
      <c r="B919" t="s">
        <v>189</v>
      </c>
      <c r="C919" t="s">
        <v>77</v>
      </c>
      <c r="D919" t="s">
        <v>3577</v>
      </c>
      <c r="E919" t="s">
        <v>212</v>
      </c>
      <c r="F919">
        <v>80</v>
      </c>
      <c r="G919">
        <v>100</v>
      </c>
      <c r="H919">
        <v>48</v>
      </c>
      <c r="I919" t="s">
        <v>172</v>
      </c>
      <c r="J919" s="7">
        <f t="shared" si="126"/>
        <v>12</v>
      </c>
      <c r="K919" t="s">
        <v>228</v>
      </c>
      <c r="L919" s="1">
        <f t="shared" si="127"/>
        <v>45522</v>
      </c>
      <c r="M919" s="1">
        <v>45636</v>
      </c>
      <c r="N919" s="1">
        <f t="shared" si="128"/>
        <v>45636</v>
      </c>
      <c r="O919" s="1">
        <v>45447</v>
      </c>
      <c r="P919" s="1">
        <f t="shared" si="129"/>
        <v>45447</v>
      </c>
      <c r="Q919" t="s">
        <v>3578</v>
      </c>
      <c r="R919">
        <v>100</v>
      </c>
      <c r="S919">
        <v>28</v>
      </c>
      <c r="T919" t="s">
        <v>42</v>
      </c>
      <c r="U919" s="8">
        <v>1200</v>
      </c>
      <c r="V919" s="8">
        <f t="shared" si="130"/>
        <v>960</v>
      </c>
      <c r="W919" t="str">
        <f t="shared" si="131"/>
        <v>Reorder Required</v>
      </c>
      <c r="X919" s="9">
        <f t="shared" si="132"/>
        <v>45505</v>
      </c>
      <c r="Y919">
        <f t="shared" si="133"/>
        <v>-75</v>
      </c>
      <c r="Z919" t="str">
        <f t="shared" si="134"/>
        <v>Invalid Data</v>
      </c>
    </row>
    <row r="920" spans="1:26" x14ac:dyDescent="0.4">
      <c r="A920" t="s">
        <v>3579</v>
      </c>
      <c r="B920" t="s">
        <v>290</v>
      </c>
      <c r="C920" t="s">
        <v>54</v>
      </c>
      <c r="D920" t="s">
        <v>3580</v>
      </c>
      <c r="E920" t="s">
        <v>968</v>
      </c>
      <c r="F920">
        <v>63</v>
      </c>
      <c r="G920">
        <v>56</v>
      </c>
      <c r="H920">
        <v>33</v>
      </c>
      <c r="I920" t="s">
        <v>71</v>
      </c>
      <c r="J920" s="7">
        <f t="shared" si="126"/>
        <v>2.5</v>
      </c>
      <c r="K920" s="1">
        <v>45901</v>
      </c>
      <c r="L920" s="1">
        <f t="shared" si="127"/>
        <v>45901</v>
      </c>
      <c r="M920" s="1">
        <v>45479</v>
      </c>
      <c r="N920" s="1">
        <f t="shared" si="128"/>
        <v>45479</v>
      </c>
      <c r="O920" t="s">
        <v>2918</v>
      </c>
      <c r="P920" s="1">
        <f t="shared" si="129"/>
        <v>45581</v>
      </c>
      <c r="Q920" t="s">
        <v>3581</v>
      </c>
      <c r="R920">
        <v>35</v>
      </c>
      <c r="S920">
        <v>16</v>
      </c>
      <c r="T920" t="s">
        <v>42</v>
      </c>
      <c r="U920" s="8">
        <v>87.5</v>
      </c>
      <c r="V920" s="8">
        <f t="shared" si="130"/>
        <v>157.5</v>
      </c>
      <c r="W920" t="str">
        <f t="shared" si="131"/>
        <v>Sufficient Stock</v>
      </c>
      <c r="X920" s="9">
        <f t="shared" si="132"/>
        <v>45901</v>
      </c>
      <c r="Y920">
        <f t="shared" si="133"/>
        <v>-320</v>
      </c>
      <c r="Z920" t="str">
        <f t="shared" si="134"/>
        <v>Invalid Data</v>
      </c>
    </row>
    <row r="921" spans="1:26" x14ac:dyDescent="0.4">
      <c r="A921" t="s">
        <v>3582</v>
      </c>
      <c r="B921" t="s">
        <v>1712</v>
      </c>
      <c r="C921" t="s">
        <v>112</v>
      </c>
      <c r="D921" t="s">
        <v>3583</v>
      </c>
      <c r="E921" t="s">
        <v>535</v>
      </c>
      <c r="F921">
        <v>89</v>
      </c>
      <c r="G921">
        <v>22</v>
      </c>
      <c r="H921">
        <v>23</v>
      </c>
      <c r="I921" t="s">
        <v>1386</v>
      </c>
      <c r="J921" s="7">
        <f t="shared" si="126"/>
        <v>5.5</v>
      </c>
      <c r="K921" s="1">
        <v>45631</v>
      </c>
      <c r="L921" s="1">
        <f t="shared" si="127"/>
        <v>45631</v>
      </c>
      <c r="M921" t="s">
        <v>1110</v>
      </c>
      <c r="N921" s="1">
        <f t="shared" si="128"/>
        <v>45468</v>
      </c>
      <c r="O921" t="s">
        <v>882</v>
      </c>
      <c r="P921" s="1">
        <f t="shared" si="129"/>
        <v>45518</v>
      </c>
      <c r="Q921" t="s">
        <v>3584</v>
      </c>
      <c r="R921">
        <v>83</v>
      </c>
      <c r="S921">
        <v>25</v>
      </c>
      <c r="T921" t="s">
        <v>26</v>
      </c>
      <c r="U921" s="8">
        <v>456.5</v>
      </c>
      <c r="V921" s="8">
        <f t="shared" si="130"/>
        <v>489.5</v>
      </c>
      <c r="W921" t="str">
        <f t="shared" si="131"/>
        <v>Sufficient Stock</v>
      </c>
      <c r="X921" s="9">
        <f t="shared" si="132"/>
        <v>45627</v>
      </c>
      <c r="Y921">
        <f t="shared" si="133"/>
        <v>-113</v>
      </c>
      <c r="Z921" t="str">
        <f t="shared" si="134"/>
        <v>Invalid Data</v>
      </c>
    </row>
    <row r="922" spans="1:26" x14ac:dyDescent="0.4">
      <c r="A922" t="s">
        <v>3585</v>
      </c>
      <c r="B922" t="s">
        <v>1814</v>
      </c>
      <c r="C922" t="s">
        <v>54</v>
      </c>
      <c r="D922" t="s">
        <v>3586</v>
      </c>
      <c r="E922" t="s">
        <v>2909</v>
      </c>
      <c r="F922">
        <v>80</v>
      </c>
      <c r="G922">
        <v>60</v>
      </c>
      <c r="H922">
        <v>71</v>
      </c>
      <c r="I922" t="s">
        <v>106</v>
      </c>
      <c r="J922" s="7">
        <f t="shared" si="126"/>
        <v>2</v>
      </c>
      <c r="K922" s="1">
        <v>45514</v>
      </c>
      <c r="L922" s="1">
        <f t="shared" si="127"/>
        <v>45514</v>
      </c>
      <c r="M922" t="s">
        <v>1005</v>
      </c>
      <c r="N922" s="1">
        <f t="shared" si="128"/>
        <v>45458</v>
      </c>
      <c r="O922" t="s">
        <v>173</v>
      </c>
      <c r="P922" s="1">
        <f t="shared" si="129"/>
        <v>45521</v>
      </c>
      <c r="Q922" t="s">
        <v>3587</v>
      </c>
      <c r="R922">
        <v>98</v>
      </c>
      <c r="S922">
        <v>13</v>
      </c>
      <c r="T922" t="s">
        <v>51</v>
      </c>
      <c r="U922" s="8">
        <v>196</v>
      </c>
      <c r="V922" s="8">
        <f t="shared" si="130"/>
        <v>160</v>
      </c>
      <c r="W922" t="str">
        <f t="shared" si="131"/>
        <v>Sufficient Stock</v>
      </c>
      <c r="X922" s="9">
        <f t="shared" si="132"/>
        <v>45505</v>
      </c>
      <c r="Y922">
        <f t="shared" si="133"/>
        <v>7</v>
      </c>
      <c r="Z922" t="str">
        <f t="shared" si="134"/>
        <v>Critical</v>
      </c>
    </row>
    <row r="923" spans="1:26" x14ac:dyDescent="0.4">
      <c r="A923" t="s">
        <v>3588</v>
      </c>
      <c r="B923" t="s">
        <v>912</v>
      </c>
      <c r="C923" t="s">
        <v>68</v>
      </c>
      <c r="D923" t="s">
        <v>3589</v>
      </c>
      <c r="E923" t="s">
        <v>500</v>
      </c>
      <c r="F923">
        <v>41</v>
      </c>
      <c r="G923">
        <v>66</v>
      </c>
      <c r="H923">
        <v>50</v>
      </c>
      <c r="I923" t="s">
        <v>106</v>
      </c>
      <c r="J923" s="7">
        <f t="shared" si="126"/>
        <v>2</v>
      </c>
      <c r="K923" t="s">
        <v>1597</v>
      </c>
      <c r="L923" s="1">
        <f t="shared" si="127"/>
        <v>45706</v>
      </c>
      <c r="M923" t="s">
        <v>1387</v>
      </c>
      <c r="N923" s="1">
        <f t="shared" si="128"/>
        <v>45503</v>
      </c>
      <c r="O923" t="s">
        <v>495</v>
      </c>
      <c r="P923" s="1">
        <f t="shared" si="129"/>
        <v>45367</v>
      </c>
      <c r="Q923" t="s">
        <v>3590</v>
      </c>
      <c r="R923">
        <v>55</v>
      </c>
      <c r="S923">
        <v>74</v>
      </c>
      <c r="T923" t="s">
        <v>42</v>
      </c>
      <c r="U923" s="8">
        <v>110</v>
      </c>
      <c r="V923" s="8">
        <f t="shared" si="130"/>
        <v>82</v>
      </c>
      <c r="W923" t="str">
        <f t="shared" si="131"/>
        <v>Reorder Required</v>
      </c>
      <c r="X923" s="9">
        <f t="shared" si="132"/>
        <v>45689</v>
      </c>
      <c r="Y923">
        <f t="shared" si="133"/>
        <v>-339</v>
      </c>
      <c r="Z923" t="str">
        <f t="shared" si="134"/>
        <v>Invalid Data</v>
      </c>
    </row>
    <row r="924" spans="1:26" x14ac:dyDescent="0.4">
      <c r="A924" t="s">
        <v>3591</v>
      </c>
      <c r="B924" t="s">
        <v>595</v>
      </c>
      <c r="C924" t="s">
        <v>112</v>
      </c>
      <c r="D924" t="s">
        <v>3592</v>
      </c>
      <c r="E924" t="s">
        <v>3593</v>
      </c>
      <c r="F924">
        <v>53</v>
      </c>
      <c r="G924">
        <v>19</v>
      </c>
      <c r="H924">
        <v>94</v>
      </c>
      <c r="I924" t="s">
        <v>220</v>
      </c>
      <c r="J924" s="7">
        <f t="shared" si="126"/>
        <v>5</v>
      </c>
      <c r="K924" t="s">
        <v>1209</v>
      </c>
      <c r="L924" s="1">
        <f t="shared" si="127"/>
        <v>45380</v>
      </c>
      <c r="M924" s="1">
        <v>45637</v>
      </c>
      <c r="N924" s="1">
        <f t="shared" si="128"/>
        <v>45637</v>
      </c>
      <c r="O924" t="s">
        <v>359</v>
      </c>
      <c r="P924" s="1">
        <f t="shared" si="129"/>
        <v>45583</v>
      </c>
      <c r="Q924" t="s">
        <v>3594</v>
      </c>
      <c r="R924">
        <v>82</v>
      </c>
      <c r="S924">
        <v>56</v>
      </c>
      <c r="T924" t="s">
        <v>26</v>
      </c>
      <c r="U924" s="8">
        <v>410</v>
      </c>
      <c r="V924" s="8">
        <f t="shared" si="130"/>
        <v>265</v>
      </c>
      <c r="W924" t="str">
        <f t="shared" si="131"/>
        <v>Sufficient Stock</v>
      </c>
      <c r="X924" s="9">
        <f t="shared" si="132"/>
        <v>45352</v>
      </c>
      <c r="Y924">
        <f t="shared" si="133"/>
        <v>203</v>
      </c>
      <c r="Z924" t="str">
        <f t="shared" si="134"/>
        <v>Low Risk</v>
      </c>
    </row>
    <row r="925" spans="1:26" x14ac:dyDescent="0.4">
      <c r="A925" t="s">
        <v>3595</v>
      </c>
      <c r="B925" t="s">
        <v>263</v>
      </c>
      <c r="C925" t="s">
        <v>169</v>
      </c>
      <c r="D925" t="s">
        <v>3596</v>
      </c>
      <c r="E925" t="s">
        <v>163</v>
      </c>
      <c r="F925">
        <v>61</v>
      </c>
      <c r="G925">
        <v>91</v>
      </c>
      <c r="H925">
        <v>40</v>
      </c>
      <c r="I925" t="s">
        <v>266</v>
      </c>
      <c r="J925" s="7">
        <f t="shared" si="126"/>
        <v>9</v>
      </c>
      <c r="K925" s="1">
        <v>45870</v>
      </c>
      <c r="L925" s="1">
        <f t="shared" si="127"/>
        <v>45870</v>
      </c>
      <c r="M925" t="s">
        <v>422</v>
      </c>
      <c r="N925" s="1">
        <f t="shared" si="128"/>
        <v>45531</v>
      </c>
      <c r="O925" s="1">
        <v>45541</v>
      </c>
      <c r="P925" s="1">
        <f t="shared" si="129"/>
        <v>45541</v>
      </c>
      <c r="Q925" t="s">
        <v>3597</v>
      </c>
      <c r="R925">
        <v>34</v>
      </c>
      <c r="S925">
        <v>76</v>
      </c>
      <c r="T925" t="s">
        <v>51</v>
      </c>
      <c r="U925" s="8">
        <v>306</v>
      </c>
      <c r="V925" s="8">
        <f t="shared" si="130"/>
        <v>549</v>
      </c>
      <c r="W925" t="str">
        <f t="shared" si="131"/>
        <v>Reorder Required</v>
      </c>
      <c r="X925" s="9">
        <f t="shared" si="132"/>
        <v>45870</v>
      </c>
      <c r="Y925">
        <f t="shared" si="133"/>
        <v>-329</v>
      </c>
      <c r="Z925" t="str">
        <f t="shared" si="134"/>
        <v>Invalid Data</v>
      </c>
    </row>
    <row r="926" spans="1:26" x14ac:dyDescent="0.4">
      <c r="A926" t="s">
        <v>3598</v>
      </c>
      <c r="B926" t="s">
        <v>88</v>
      </c>
      <c r="C926" t="s">
        <v>77</v>
      </c>
      <c r="D926" t="s">
        <v>3599</v>
      </c>
      <c r="E926" t="s">
        <v>2164</v>
      </c>
      <c r="F926">
        <v>70</v>
      </c>
      <c r="G926">
        <v>92</v>
      </c>
      <c r="H926">
        <v>74</v>
      </c>
      <c r="I926" t="s">
        <v>91</v>
      </c>
      <c r="J926" s="7">
        <f t="shared" si="126"/>
        <v>1</v>
      </c>
      <c r="K926" t="s">
        <v>1165</v>
      </c>
      <c r="L926" s="1">
        <f t="shared" si="127"/>
        <v>45626</v>
      </c>
      <c r="M926" t="s">
        <v>173</v>
      </c>
      <c r="N926" s="1">
        <f t="shared" si="128"/>
        <v>45521</v>
      </c>
      <c r="O926" s="1">
        <v>45603</v>
      </c>
      <c r="P926" s="1">
        <f t="shared" si="129"/>
        <v>45603</v>
      </c>
      <c r="Q926" t="s">
        <v>3600</v>
      </c>
      <c r="R926">
        <v>95</v>
      </c>
      <c r="S926">
        <v>26</v>
      </c>
      <c r="T926" t="s">
        <v>42</v>
      </c>
      <c r="U926" s="8">
        <v>95</v>
      </c>
      <c r="V926" s="8">
        <f t="shared" si="130"/>
        <v>70</v>
      </c>
      <c r="W926" t="str">
        <f t="shared" si="131"/>
        <v>Reorder Required</v>
      </c>
      <c r="X926" s="9">
        <f t="shared" si="132"/>
        <v>45597</v>
      </c>
      <c r="Y926">
        <f t="shared" si="133"/>
        <v>-23</v>
      </c>
      <c r="Z926" t="str">
        <f t="shared" si="134"/>
        <v>Invalid Data</v>
      </c>
    </row>
    <row r="927" spans="1:26" x14ac:dyDescent="0.4">
      <c r="A927" t="s">
        <v>3601</v>
      </c>
      <c r="B927" t="s">
        <v>304</v>
      </c>
      <c r="C927" t="s">
        <v>54</v>
      </c>
      <c r="D927" t="s">
        <v>3602</v>
      </c>
      <c r="E927" t="s">
        <v>1159</v>
      </c>
      <c r="F927">
        <v>73</v>
      </c>
      <c r="G927">
        <v>69</v>
      </c>
      <c r="H927">
        <v>1</v>
      </c>
      <c r="I927" t="s">
        <v>220</v>
      </c>
      <c r="J927" s="7">
        <f t="shared" si="126"/>
        <v>5</v>
      </c>
      <c r="K927" s="1">
        <v>45423</v>
      </c>
      <c r="L927" s="1">
        <f t="shared" si="127"/>
        <v>45423</v>
      </c>
      <c r="M927" t="s">
        <v>1720</v>
      </c>
      <c r="N927" s="1">
        <f t="shared" si="128"/>
        <v>45426</v>
      </c>
      <c r="O927" t="s">
        <v>712</v>
      </c>
      <c r="P927" s="1">
        <f t="shared" si="129"/>
        <v>45552</v>
      </c>
      <c r="Q927" t="s">
        <v>3603</v>
      </c>
      <c r="R927">
        <v>50</v>
      </c>
      <c r="S927">
        <v>67</v>
      </c>
      <c r="T927" t="s">
        <v>51</v>
      </c>
      <c r="U927" s="8">
        <v>250</v>
      </c>
      <c r="V927" s="8">
        <f t="shared" si="130"/>
        <v>365</v>
      </c>
      <c r="W927" t="str">
        <f t="shared" si="131"/>
        <v>Sufficient Stock</v>
      </c>
      <c r="X927" s="9">
        <f t="shared" si="132"/>
        <v>45413</v>
      </c>
      <c r="Y927">
        <f t="shared" si="133"/>
        <v>129</v>
      </c>
      <c r="Z927" t="str">
        <f t="shared" si="134"/>
        <v>Medium Risk</v>
      </c>
    </row>
    <row r="928" spans="1:26" x14ac:dyDescent="0.4">
      <c r="A928" t="s">
        <v>3604</v>
      </c>
      <c r="B928" t="s">
        <v>1249</v>
      </c>
      <c r="C928" t="s">
        <v>54</v>
      </c>
      <c r="D928" t="s">
        <v>3605</v>
      </c>
      <c r="E928" t="s">
        <v>163</v>
      </c>
      <c r="F928">
        <v>60</v>
      </c>
      <c r="G928">
        <v>15</v>
      </c>
      <c r="H928">
        <v>89</v>
      </c>
      <c r="I928" t="s">
        <v>57</v>
      </c>
      <c r="J928" s="7">
        <f t="shared" si="126"/>
        <v>4</v>
      </c>
      <c r="K928" s="1">
        <v>45479</v>
      </c>
      <c r="L928" s="1">
        <f t="shared" si="127"/>
        <v>45479</v>
      </c>
      <c r="M928" t="s">
        <v>1116</v>
      </c>
      <c r="N928" s="1">
        <f t="shared" si="128"/>
        <v>45709</v>
      </c>
      <c r="O928" s="1">
        <v>45600</v>
      </c>
      <c r="P928" s="1">
        <f t="shared" si="129"/>
        <v>45600</v>
      </c>
      <c r="Q928" t="s">
        <v>3606</v>
      </c>
      <c r="R928">
        <v>21</v>
      </c>
      <c r="S928">
        <v>29</v>
      </c>
      <c r="T928" t="s">
        <v>26</v>
      </c>
      <c r="U928" s="8">
        <v>84</v>
      </c>
      <c r="V928" s="8">
        <f t="shared" si="130"/>
        <v>240</v>
      </c>
      <c r="W928" t="str">
        <f t="shared" si="131"/>
        <v>Sufficient Stock</v>
      </c>
      <c r="X928" s="9">
        <f t="shared" si="132"/>
        <v>45474</v>
      </c>
      <c r="Y928">
        <f t="shared" si="133"/>
        <v>121</v>
      </c>
      <c r="Z928" t="str">
        <f t="shared" si="134"/>
        <v>Medium Risk</v>
      </c>
    </row>
    <row r="929" spans="1:26" x14ac:dyDescent="0.4">
      <c r="A929" t="s">
        <v>3607</v>
      </c>
      <c r="B929" t="s">
        <v>722</v>
      </c>
      <c r="C929" t="s">
        <v>54</v>
      </c>
      <c r="D929" t="s">
        <v>3608</v>
      </c>
      <c r="E929" t="s">
        <v>406</v>
      </c>
      <c r="F929">
        <v>88</v>
      </c>
      <c r="G929">
        <v>24</v>
      </c>
      <c r="H929">
        <v>44</v>
      </c>
      <c r="I929" t="s">
        <v>39</v>
      </c>
      <c r="J929" s="7">
        <f t="shared" si="126"/>
        <v>6</v>
      </c>
      <c r="K929" s="1">
        <v>45423</v>
      </c>
      <c r="L929" s="1">
        <f t="shared" si="127"/>
        <v>45423</v>
      </c>
      <c r="M929" s="1">
        <v>45515</v>
      </c>
      <c r="N929" s="1">
        <f t="shared" si="128"/>
        <v>45515</v>
      </c>
      <c r="O929" t="s">
        <v>99</v>
      </c>
      <c r="P929" s="1">
        <f t="shared" si="129"/>
        <v>45644</v>
      </c>
      <c r="Q929" t="s">
        <v>3609</v>
      </c>
      <c r="R929">
        <v>72</v>
      </c>
      <c r="S929">
        <v>88</v>
      </c>
      <c r="T929" t="s">
        <v>42</v>
      </c>
      <c r="U929" s="8">
        <v>432</v>
      </c>
      <c r="V929" s="8">
        <f t="shared" si="130"/>
        <v>528</v>
      </c>
      <c r="W929" t="str">
        <f t="shared" si="131"/>
        <v>Sufficient Stock</v>
      </c>
      <c r="X929" s="9">
        <f t="shared" si="132"/>
        <v>45413</v>
      </c>
      <c r="Y929">
        <f t="shared" si="133"/>
        <v>221</v>
      </c>
      <c r="Z929" t="str">
        <f t="shared" si="134"/>
        <v>Low Risk</v>
      </c>
    </row>
    <row r="930" spans="1:26" x14ac:dyDescent="0.4">
      <c r="A930" t="s">
        <v>3610</v>
      </c>
      <c r="B930" t="s">
        <v>779</v>
      </c>
      <c r="C930" t="s">
        <v>54</v>
      </c>
      <c r="D930" t="s">
        <v>3611</v>
      </c>
      <c r="E930" t="s">
        <v>406</v>
      </c>
      <c r="F930">
        <v>95</v>
      </c>
      <c r="G930">
        <v>6</v>
      </c>
      <c r="H930">
        <v>59</v>
      </c>
      <c r="I930" t="s">
        <v>71</v>
      </c>
      <c r="J930" s="7">
        <f t="shared" si="126"/>
        <v>2.5</v>
      </c>
      <c r="K930" t="s">
        <v>509</v>
      </c>
      <c r="L930" s="1">
        <f t="shared" si="127"/>
        <v>45657</v>
      </c>
      <c r="M930" t="s">
        <v>700</v>
      </c>
      <c r="N930" s="1">
        <f t="shared" si="128"/>
        <v>45519</v>
      </c>
      <c r="O930" t="s">
        <v>842</v>
      </c>
      <c r="P930" s="1">
        <f t="shared" si="129"/>
        <v>45564</v>
      </c>
      <c r="Q930" t="s">
        <v>3612</v>
      </c>
      <c r="R930">
        <v>49</v>
      </c>
      <c r="S930">
        <v>77</v>
      </c>
      <c r="T930" t="s">
        <v>51</v>
      </c>
      <c r="U930" s="8">
        <v>122.5</v>
      </c>
      <c r="V930" s="8">
        <f t="shared" si="130"/>
        <v>237.5</v>
      </c>
      <c r="W930" t="str">
        <f t="shared" si="131"/>
        <v>Sufficient Stock</v>
      </c>
      <c r="X930" s="9">
        <f t="shared" si="132"/>
        <v>45627</v>
      </c>
      <c r="Y930">
        <f t="shared" si="133"/>
        <v>-93</v>
      </c>
      <c r="Z930" t="str">
        <f t="shared" si="134"/>
        <v>Invalid Data</v>
      </c>
    </row>
    <row r="931" spans="1:26" x14ac:dyDescent="0.4">
      <c r="A931" t="s">
        <v>3613</v>
      </c>
      <c r="B931" t="s">
        <v>885</v>
      </c>
      <c r="C931" t="s">
        <v>18</v>
      </c>
      <c r="D931" t="s">
        <v>3614</v>
      </c>
      <c r="E931" t="s">
        <v>759</v>
      </c>
      <c r="F931">
        <v>47</v>
      </c>
      <c r="G931">
        <v>30</v>
      </c>
      <c r="H931">
        <v>16</v>
      </c>
      <c r="I931" t="s">
        <v>71</v>
      </c>
      <c r="J931" s="7">
        <f t="shared" si="126"/>
        <v>2.5</v>
      </c>
      <c r="K931" s="1">
        <v>45568</v>
      </c>
      <c r="L931" s="1">
        <f t="shared" si="127"/>
        <v>45568</v>
      </c>
      <c r="M931" s="1">
        <v>45603</v>
      </c>
      <c r="N931" s="1">
        <f t="shared" si="128"/>
        <v>45603</v>
      </c>
      <c r="O931" t="s">
        <v>811</v>
      </c>
      <c r="P931" s="1">
        <f t="shared" si="129"/>
        <v>45435</v>
      </c>
      <c r="Q931" t="s">
        <v>3615</v>
      </c>
      <c r="R931">
        <v>22</v>
      </c>
      <c r="S931">
        <v>81</v>
      </c>
      <c r="T931" t="s">
        <v>51</v>
      </c>
      <c r="U931" s="8">
        <v>55</v>
      </c>
      <c r="V931" s="8">
        <f t="shared" si="130"/>
        <v>117.5</v>
      </c>
      <c r="W931" t="str">
        <f t="shared" si="131"/>
        <v>Sufficient Stock</v>
      </c>
      <c r="X931" s="9">
        <f t="shared" si="132"/>
        <v>45566</v>
      </c>
      <c r="Y931">
        <f t="shared" si="133"/>
        <v>-133</v>
      </c>
      <c r="Z931" t="str">
        <f t="shared" si="134"/>
        <v>Invalid Data</v>
      </c>
    </row>
    <row r="932" spans="1:26" x14ac:dyDescent="0.4">
      <c r="A932" t="s">
        <v>3616</v>
      </c>
      <c r="B932" t="s">
        <v>470</v>
      </c>
      <c r="C932" t="s">
        <v>77</v>
      </c>
      <c r="D932" t="s">
        <v>3617</v>
      </c>
      <c r="E932" t="s">
        <v>796</v>
      </c>
      <c r="F932">
        <v>24</v>
      </c>
      <c r="G932">
        <v>1</v>
      </c>
      <c r="H932">
        <v>65</v>
      </c>
      <c r="I932" t="s">
        <v>134</v>
      </c>
      <c r="J932" s="7">
        <f t="shared" si="126"/>
        <v>7</v>
      </c>
      <c r="K932" t="s">
        <v>92</v>
      </c>
      <c r="L932" s="1">
        <f t="shared" si="127"/>
        <v>45614</v>
      </c>
      <c r="M932" s="1">
        <v>45633</v>
      </c>
      <c r="N932" s="1">
        <f t="shared" si="128"/>
        <v>45633</v>
      </c>
      <c r="O932" t="s">
        <v>462</v>
      </c>
      <c r="P932" s="1">
        <f t="shared" si="129"/>
        <v>45351</v>
      </c>
      <c r="Q932" t="s">
        <v>3618</v>
      </c>
      <c r="R932">
        <v>58</v>
      </c>
      <c r="S932">
        <v>61</v>
      </c>
      <c r="T932" t="s">
        <v>51</v>
      </c>
      <c r="U932" s="8">
        <v>406</v>
      </c>
      <c r="V932" s="8">
        <f t="shared" si="130"/>
        <v>168</v>
      </c>
      <c r="W932" t="str">
        <f t="shared" si="131"/>
        <v>Sufficient Stock</v>
      </c>
      <c r="X932" s="9">
        <f t="shared" si="132"/>
        <v>45597</v>
      </c>
      <c r="Y932">
        <f t="shared" si="133"/>
        <v>-263</v>
      </c>
      <c r="Z932" t="str">
        <f t="shared" si="134"/>
        <v>Invalid Data</v>
      </c>
    </row>
    <row r="933" spans="1:26" x14ac:dyDescent="0.4">
      <c r="A933" t="s">
        <v>3619</v>
      </c>
      <c r="B933" t="s">
        <v>1017</v>
      </c>
      <c r="C933" t="s">
        <v>169</v>
      </c>
      <c r="D933" t="s">
        <v>3620</v>
      </c>
      <c r="E933" t="s">
        <v>1169</v>
      </c>
      <c r="F933">
        <v>93</v>
      </c>
      <c r="G933">
        <v>51</v>
      </c>
      <c r="H933">
        <v>70</v>
      </c>
      <c r="I933" t="s">
        <v>591</v>
      </c>
      <c r="J933" s="7">
        <f t="shared" si="126"/>
        <v>10</v>
      </c>
      <c r="K933" t="s">
        <v>1884</v>
      </c>
      <c r="L933" s="1">
        <f t="shared" si="127"/>
        <v>45404</v>
      </c>
      <c r="M933" s="1">
        <v>45632</v>
      </c>
      <c r="N933" s="1">
        <f t="shared" si="128"/>
        <v>45632</v>
      </c>
      <c r="O933" s="1">
        <v>45391</v>
      </c>
      <c r="P933" s="1">
        <f t="shared" si="129"/>
        <v>45391</v>
      </c>
      <c r="Q933" t="s">
        <v>3621</v>
      </c>
      <c r="R933">
        <v>81</v>
      </c>
      <c r="S933">
        <v>18</v>
      </c>
      <c r="T933" t="s">
        <v>51</v>
      </c>
      <c r="U933" s="8">
        <v>810</v>
      </c>
      <c r="V933" s="8">
        <f t="shared" si="130"/>
        <v>930</v>
      </c>
      <c r="W933" t="str">
        <f t="shared" si="131"/>
        <v>Sufficient Stock</v>
      </c>
      <c r="X933" s="9">
        <f t="shared" si="132"/>
        <v>45383</v>
      </c>
      <c r="Y933">
        <f t="shared" si="133"/>
        <v>-13</v>
      </c>
      <c r="Z933" t="str">
        <f t="shared" si="134"/>
        <v>Invalid Data</v>
      </c>
    </row>
    <row r="934" spans="1:26" x14ac:dyDescent="0.4">
      <c r="A934" t="s">
        <v>3622</v>
      </c>
      <c r="B934" t="s">
        <v>1086</v>
      </c>
      <c r="C934" t="s">
        <v>68</v>
      </c>
      <c r="D934" t="s">
        <v>3623</v>
      </c>
      <c r="E934" t="s">
        <v>3491</v>
      </c>
      <c r="F934">
        <v>80</v>
      </c>
      <c r="G934">
        <v>24</v>
      </c>
      <c r="H934">
        <v>60</v>
      </c>
      <c r="I934" t="s">
        <v>71</v>
      </c>
      <c r="J934" s="7">
        <f t="shared" si="126"/>
        <v>2.5</v>
      </c>
      <c r="K934" t="s">
        <v>299</v>
      </c>
      <c r="L934" s="1">
        <f t="shared" si="127"/>
        <v>45678</v>
      </c>
      <c r="M934" t="s">
        <v>408</v>
      </c>
      <c r="N934" s="1">
        <f t="shared" si="128"/>
        <v>45609</v>
      </c>
      <c r="O934" t="s">
        <v>828</v>
      </c>
      <c r="P934" s="1">
        <f t="shared" si="129"/>
        <v>45410</v>
      </c>
      <c r="Q934" t="s">
        <v>3624</v>
      </c>
      <c r="R934">
        <v>98</v>
      </c>
      <c r="S934">
        <v>38</v>
      </c>
      <c r="T934" t="s">
        <v>51</v>
      </c>
      <c r="U934" s="8">
        <v>245</v>
      </c>
      <c r="V934" s="8">
        <f t="shared" si="130"/>
        <v>200</v>
      </c>
      <c r="W934" t="str">
        <f t="shared" si="131"/>
        <v>Sufficient Stock</v>
      </c>
      <c r="X934" s="9">
        <f t="shared" si="132"/>
        <v>45658</v>
      </c>
      <c r="Y934">
        <f t="shared" si="133"/>
        <v>-268</v>
      </c>
      <c r="Z934" t="str">
        <f t="shared" si="134"/>
        <v>Invalid Data</v>
      </c>
    </row>
    <row r="935" spans="1:26" x14ac:dyDescent="0.4">
      <c r="A935" t="s">
        <v>3625</v>
      </c>
      <c r="B935" t="s">
        <v>1503</v>
      </c>
      <c r="C935" t="s">
        <v>54</v>
      </c>
      <c r="D935" t="s">
        <v>3626</v>
      </c>
      <c r="E935" t="s">
        <v>850</v>
      </c>
      <c r="F935">
        <v>77</v>
      </c>
      <c r="G935">
        <v>58</v>
      </c>
      <c r="H935">
        <v>13</v>
      </c>
      <c r="I935" t="s">
        <v>242</v>
      </c>
      <c r="J935" s="7">
        <f t="shared" si="126"/>
        <v>3.5</v>
      </c>
      <c r="K935" t="s">
        <v>165</v>
      </c>
      <c r="L935" s="1">
        <f t="shared" si="127"/>
        <v>45465</v>
      </c>
      <c r="M935" t="s">
        <v>811</v>
      </c>
      <c r="N935" s="1">
        <f t="shared" si="128"/>
        <v>45435</v>
      </c>
      <c r="O935" t="s">
        <v>1141</v>
      </c>
      <c r="P935" s="1">
        <f t="shared" si="129"/>
        <v>45398</v>
      </c>
      <c r="Q935" t="s">
        <v>3627</v>
      </c>
      <c r="R935">
        <v>63</v>
      </c>
      <c r="S935">
        <v>28</v>
      </c>
      <c r="T935" t="s">
        <v>26</v>
      </c>
      <c r="U935" s="8">
        <v>220.5</v>
      </c>
      <c r="V935" s="8">
        <f t="shared" si="130"/>
        <v>269.5</v>
      </c>
      <c r="W935" t="str">
        <f t="shared" si="131"/>
        <v>Sufficient Stock</v>
      </c>
      <c r="X935" s="9">
        <f t="shared" si="132"/>
        <v>45444</v>
      </c>
      <c r="Y935">
        <f t="shared" si="133"/>
        <v>-67</v>
      </c>
      <c r="Z935" t="str">
        <f t="shared" si="134"/>
        <v>Invalid Data</v>
      </c>
    </row>
    <row r="936" spans="1:26" x14ac:dyDescent="0.4">
      <c r="A936" t="s">
        <v>3628</v>
      </c>
      <c r="B936" t="s">
        <v>176</v>
      </c>
      <c r="C936" t="s">
        <v>54</v>
      </c>
      <c r="D936" t="s">
        <v>3629</v>
      </c>
      <c r="E936" t="s">
        <v>825</v>
      </c>
      <c r="F936">
        <v>42</v>
      </c>
      <c r="G936">
        <v>48</v>
      </c>
      <c r="H936">
        <v>18</v>
      </c>
      <c r="I936" t="s">
        <v>106</v>
      </c>
      <c r="J936" s="7">
        <f t="shared" si="126"/>
        <v>2</v>
      </c>
      <c r="K936" s="1">
        <v>45901</v>
      </c>
      <c r="L936" s="1">
        <f t="shared" si="127"/>
        <v>45901</v>
      </c>
      <c r="M936" t="s">
        <v>637</v>
      </c>
      <c r="N936" s="1">
        <f t="shared" si="128"/>
        <v>45401</v>
      </c>
      <c r="O936" t="s">
        <v>956</v>
      </c>
      <c r="P936" s="1">
        <f t="shared" si="129"/>
        <v>45405</v>
      </c>
      <c r="Q936" t="s">
        <v>3630</v>
      </c>
      <c r="R936">
        <v>39</v>
      </c>
      <c r="S936">
        <v>57</v>
      </c>
      <c r="T936" t="s">
        <v>51</v>
      </c>
      <c r="U936" s="8">
        <v>78</v>
      </c>
      <c r="V936" s="8">
        <f t="shared" si="130"/>
        <v>84</v>
      </c>
      <c r="W936" t="str">
        <f t="shared" si="131"/>
        <v>Reorder Required</v>
      </c>
      <c r="X936" s="9">
        <f t="shared" si="132"/>
        <v>45901</v>
      </c>
      <c r="Y936">
        <f t="shared" si="133"/>
        <v>-496</v>
      </c>
      <c r="Z936" t="str">
        <f t="shared" si="134"/>
        <v>Invalid Data</v>
      </c>
    </row>
    <row r="937" spans="1:26" x14ac:dyDescent="0.4">
      <c r="A937" t="s">
        <v>3631</v>
      </c>
      <c r="B937" t="s">
        <v>932</v>
      </c>
      <c r="C937" t="s">
        <v>77</v>
      </c>
      <c r="D937" t="s">
        <v>3632</v>
      </c>
      <c r="E937" t="s">
        <v>547</v>
      </c>
      <c r="F937">
        <v>92</v>
      </c>
      <c r="G937">
        <v>1</v>
      </c>
      <c r="H937">
        <v>23</v>
      </c>
      <c r="I937" t="s">
        <v>71</v>
      </c>
      <c r="J937" s="7">
        <f t="shared" si="126"/>
        <v>2.5</v>
      </c>
      <c r="K937" t="s">
        <v>422</v>
      </c>
      <c r="L937" s="1">
        <f t="shared" si="127"/>
        <v>45531</v>
      </c>
      <c r="M937" s="1">
        <v>45332</v>
      </c>
      <c r="N937" s="1">
        <f t="shared" si="128"/>
        <v>45332</v>
      </c>
      <c r="O937" t="s">
        <v>1053</v>
      </c>
      <c r="P937" s="1">
        <f t="shared" si="129"/>
        <v>45395</v>
      </c>
      <c r="Q937" t="s">
        <v>3633</v>
      </c>
      <c r="R937">
        <v>78</v>
      </c>
      <c r="S937">
        <v>36</v>
      </c>
      <c r="T937" t="s">
        <v>26</v>
      </c>
      <c r="U937" s="8">
        <v>195</v>
      </c>
      <c r="V937" s="8">
        <f t="shared" si="130"/>
        <v>230</v>
      </c>
      <c r="W937" t="str">
        <f t="shared" si="131"/>
        <v>Sufficient Stock</v>
      </c>
      <c r="X937" s="9">
        <f t="shared" si="132"/>
        <v>45505</v>
      </c>
      <c r="Y937">
        <f t="shared" si="133"/>
        <v>-136</v>
      </c>
      <c r="Z937" t="str">
        <f t="shared" si="134"/>
        <v>Invalid Data</v>
      </c>
    </row>
    <row r="938" spans="1:26" x14ac:dyDescent="0.4">
      <c r="A938" t="s">
        <v>3634</v>
      </c>
      <c r="B938" t="s">
        <v>210</v>
      </c>
      <c r="C938" t="s">
        <v>54</v>
      </c>
      <c r="D938" t="s">
        <v>3635</v>
      </c>
      <c r="E938" t="s">
        <v>1380</v>
      </c>
      <c r="F938">
        <v>81</v>
      </c>
      <c r="G938">
        <v>23</v>
      </c>
      <c r="H938">
        <v>17</v>
      </c>
      <c r="I938" t="s">
        <v>2693</v>
      </c>
      <c r="J938" s="7">
        <f t="shared" si="126"/>
        <v>6.25</v>
      </c>
      <c r="K938" t="s">
        <v>64</v>
      </c>
      <c r="L938" s="1">
        <f t="shared" si="127"/>
        <v>45438</v>
      </c>
      <c r="M938" s="1">
        <v>45509</v>
      </c>
      <c r="N938" s="1">
        <f t="shared" si="128"/>
        <v>45509</v>
      </c>
      <c r="O938" t="s">
        <v>221</v>
      </c>
      <c r="P938" s="1">
        <f t="shared" si="129"/>
        <v>45489</v>
      </c>
      <c r="Q938" t="s">
        <v>3636</v>
      </c>
      <c r="R938">
        <v>92</v>
      </c>
      <c r="S938">
        <v>78</v>
      </c>
      <c r="T938" t="s">
        <v>51</v>
      </c>
      <c r="U938" s="8">
        <v>575</v>
      </c>
      <c r="V938" s="8">
        <f t="shared" si="130"/>
        <v>506.25</v>
      </c>
      <c r="W938" t="str">
        <f t="shared" si="131"/>
        <v>Sufficient Stock</v>
      </c>
      <c r="X938" s="9">
        <f t="shared" si="132"/>
        <v>45413</v>
      </c>
      <c r="Y938">
        <f t="shared" si="133"/>
        <v>51</v>
      </c>
      <c r="Z938" t="str">
        <f t="shared" si="134"/>
        <v>High Risk</v>
      </c>
    </row>
    <row r="939" spans="1:26" x14ac:dyDescent="0.4">
      <c r="A939" t="s">
        <v>3637</v>
      </c>
      <c r="B939" t="s">
        <v>621</v>
      </c>
      <c r="C939" t="s">
        <v>18</v>
      </c>
      <c r="D939" t="s">
        <v>3638</v>
      </c>
      <c r="E939" t="s">
        <v>3639</v>
      </c>
      <c r="F939">
        <v>46</v>
      </c>
      <c r="G939">
        <v>39</v>
      </c>
      <c r="H939">
        <v>11</v>
      </c>
      <c r="I939" t="s">
        <v>624</v>
      </c>
      <c r="J939" s="7">
        <f t="shared" si="126"/>
        <v>4.75</v>
      </c>
      <c r="K939" s="1">
        <v>45575</v>
      </c>
      <c r="L939" s="1">
        <f t="shared" si="127"/>
        <v>45575</v>
      </c>
      <c r="M939" t="s">
        <v>22</v>
      </c>
      <c r="N939" s="1">
        <f t="shared" si="128"/>
        <v>45520</v>
      </c>
      <c r="O939" s="1">
        <v>45576</v>
      </c>
      <c r="P939" s="1">
        <f t="shared" si="129"/>
        <v>45576</v>
      </c>
      <c r="Q939" t="s">
        <v>3640</v>
      </c>
      <c r="R939">
        <v>36</v>
      </c>
      <c r="S939">
        <v>54</v>
      </c>
      <c r="T939" t="s">
        <v>51</v>
      </c>
      <c r="U939" s="8">
        <v>171</v>
      </c>
      <c r="V939" s="8">
        <f t="shared" si="130"/>
        <v>218.5</v>
      </c>
      <c r="W939" t="str">
        <f t="shared" si="131"/>
        <v>Sufficient Stock</v>
      </c>
      <c r="X939" s="9">
        <f t="shared" si="132"/>
        <v>45566</v>
      </c>
      <c r="Y939">
        <f t="shared" si="133"/>
        <v>1</v>
      </c>
      <c r="Z939" t="str">
        <f t="shared" si="134"/>
        <v>Critical</v>
      </c>
    </row>
    <row r="940" spans="1:26" x14ac:dyDescent="0.4">
      <c r="A940" t="s">
        <v>3641</v>
      </c>
      <c r="B940" t="s">
        <v>1406</v>
      </c>
      <c r="C940" t="s">
        <v>18</v>
      </c>
      <c r="D940" t="s">
        <v>3642</v>
      </c>
      <c r="E940" t="s">
        <v>284</v>
      </c>
      <c r="F940">
        <v>44</v>
      </c>
      <c r="G940">
        <v>67</v>
      </c>
      <c r="H940">
        <v>31</v>
      </c>
      <c r="I940" t="s">
        <v>71</v>
      </c>
      <c r="J940" s="7">
        <f t="shared" si="126"/>
        <v>2.5</v>
      </c>
      <c r="K940" t="s">
        <v>730</v>
      </c>
      <c r="L940" s="1">
        <f t="shared" si="127"/>
        <v>45487</v>
      </c>
      <c r="M940" t="s">
        <v>72</v>
      </c>
      <c r="N940" s="1">
        <f t="shared" si="128"/>
        <v>45369</v>
      </c>
      <c r="O940" s="1">
        <v>45418</v>
      </c>
      <c r="P940" s="1">
        <f t="shared" si="129"/>
        <v>45418</v>
      </c>
      <c r="Q940" t="s">
        <v>3643</v>
      </c>
      <c r="R940">
        <v>44</v>
      </c>
      <c r="S940">
        <v>72</v>
      </c>
      <c r="T940" t="s">
        <v>26</v>
      </c>
      <c r="U940" s="8">
        <v>110</v>
      </c>
      <c r="V940" s="8">
        <f t="shared" si="130"/>
        <v>110</v>
      </c>
      <c r="W940" t="str">
        <f t="shared" si="131"/>
        <v>Reorder Required</v>
      </c>
      <c r="X940" s="9">
        <f t="shared" si="132"/>
        <v>45474</v>
      </c>
      <c r="Y940">
        <f t="shared" si="133"/>
        <v>-69</v>
      </c>
      <c r="Z940" t="str">
        <f t="shared" si="134"/>
        <v>Invalid Data</v>
      </c>
    </row>
    <row r="941" spans="1:26" x14ac:dyDescent="0.4">
      <c r="A941" t="s">
        <v>3644</v>
      </c>
      <c r="B941" t="s">
        <v>332</v>
      </c>
      <c r="C941" t="s">
        <v>112</v>
      </c>
      <c r="D941" t="s">
        <v>3645</v>
      </c>
      <c r="E941" t="s">
        <v>1124</v>
      </c>
      <c r="F941">
        <v>38</v>
      </c>
      <c r="G941">
        <v>37</v>
      </c>
      <c r="H941">
        <v>27</v>
      </c>
      <c r="I941" t="s">
        <v>242</v>
      </c>
      <c r="J941" s="7">
        <f t="shared" si="126"/>
        <v>3.5</v>
      </c>
      <c r="K941" t="s">
        <v>128</v>
      </c>
      <c r="L941" s="1">
        <f t="shared" si="127"/>
        <v>45457</v>
      </c>
      <c r="M941" s="1">
        <v>45422</v>
      </c>
      <c r="N941" s="1">
        <f t="shared" si="128"/>
        <v>45422</v>
      </c>
      <c r="O941" t="s">
        <v>730</v>
      </c>
      <c r="P941" s="1">
        <f t="shared" si="129"/>
        <v>45487</v>
      </c>
      <c r="Q941" t="s">
        <v>3646</v>
      </c>
      <c r="R941">
        <v>45</v>
      </c>
      <c r="S941">
        <v>88</v>
      </c>
      <c r="T941" t="s">
        <v>42</v>
      </c>
      <c r="U941" s="8">
        <v>157.5</v>
      </c>
      <c r="V941" s="8">
        <f t="shared" si="130"/>
        <v>133</v>
      </c>
      <c r="W941" t="str">
        <f t="shared" si="131"/>
        <v>Sufficient Stock</v>
      </c>
      <c r="X941" s="9">
        <f t="shared" si="132"/>
        <v>45444</v>
      </c>
      <c r="Y941">
        <f t="shared" si="133"/>
        <v>30</v>
      </c>
      <c r="Z941" t="str">
        <f t="shared" si="134"/>
        <v>Critical</v>
      </c>
    </row>
    <row r="942" spans="1:26" x14ac:dyDescent="0.4">
      <c r="A942" t="s">
        <v>3647</v>
      </c>
      <c r="B942" t="s">
        <v>1455</v>
      </c>
      <c r="C942" t="s">
        <v>77</v>
      </c>
      <c r="D942" t="s">
        <v>3648</v>
      </c>
      <c r="E942" t="s">
        <v>1399</v>
      </c>
      <c r="F942">
        <v>64</v>
      </c>
      <c r="G942">
        <v>28</v>
      </c>
      <c r="H942">
        <v>35</v>
      </c>
      <c r="I942" t="s">
        <v>106</v>
      </c>
      <c r="J942" s="7">
        <f t="shared" si="126"/>
        <v>2</v>
      </c>
      <c r="K942" s="1">
        <v>45423</v>
      </c>
      <c r="L942" s="1">
        <f t="shared" si="127"/>
        <v>45423</v>
      </c>
      <c r="M942" s="1">
        <v>45484</v>
      </c>
      <c r="N942" s="1">
        <f t="shared" si="128"/>
        <v>45484</v>
      </c>
      <c r="O942" t="s">
        <v>135</v>
      </c>
      <c r="P942" s="1">
        <f t="shared" si="129"/>
        <v>45349</v>
      </c>
      <c r="Q942" t="s">
        <v>3649</v>
      </c>
      <c r="R942">
        <v>74</v>
      </c>
      <c r="S942">
        <v>50</v>
      </c>
      <c r="T942" t="s">
        <v>51</v>
      </c>
      <c r="U942" s="8">
        <v>148</v>
      </c>
      <c r="V942" s="8">
        <f t="shared" si="130"/>
        <v>128</v>
      </c>
      <c r="W942" t="str">
        <f t="shared" si="131"/>
        <v>Sufficient Stock</v>
      </c>
      <c r="X942" s="9">
        <f t="shared" si="132"/>
        <v>45413</v>
      </c>
      <c r="Y942">
        <f t="shared" si="133"/>
        <v>-74</v>
      </c>
      <c r="Z942" t="str">
        <f t="shared" si="134"/>
        <v>Invalid Data</v>
      </c>
    </row>
    <row r="943" spans="1:26" x14ac:dyDescent="0.4">
      <c r="A943" t="s">
        <v>3650</v>
      </c>
      <c r="B943" t="s">
        <v>44</v>
      </c>
      <c r="C943" t="s">
        <v>18</v>
      </c>
      <c r="D943" t="s">
        <v>3651</v>
      </c>
      <c r="E943" t="s">
        <v>1724</v>
      </c>
      <c r="F943">
        <v>39</v>
      </c>
      <c r="G943">
        <v>2</v>
      </c>
      <c r="H943">
        <v>71</v>
      </c>
      <c r="I943" t="s">
        <v>2174</v>
      </c>
      <c r="J943" s="7">
        <f t="shared" si="126"/>
        <v>1.45</v>
      </c>
      <c r="K943" t="s">
        <v>644</v>
      </c>
      <c r="L943" s="1">
        <f t="shared" si="127"/>
        <v>45411</v>
      </c>
      <c r="M943" t="s">
        <v>72</v>
      </c>
      <c r="N943" s="1">
        <f t="shared" si="128"/>
        <v>45369</v>
      </c>
      <c r="O943" t="s">
        <v>335</v>
      </c>
      <c r="P943" s="1">
        <f t="shared" si="129"/>
        <v>45403</v>
      </c>
      <c r="Q943" t="s">
        <v>3652</v>
      </c>
      <c r="R943">
        <v>20</v>
      </c>
      <c r="S943">
        <v>70</v>
      </c>
      <c r="T943" t="s">
        <v>42</v>
      </c>
      <c r="U943" s="8">
        <v>29</v>
      </c>
      <c r="V943" s="8">
        <f t="shared" si="130"/>
        <v>56.55</v>
      </c>
      <c r="W943" t="str">
        <f t="shared" si="131"/>
        <v>Sufficient Stock</v>
      </c>
      <c r="X943" s="9">
        <f t="shared" si="132"/>
        <v>45383</v>
      </c>
      <c r="Y943">
        <f t="shared" si="133"/>
        <v>-8</v>
      </c>
      <c r="Z943" t="str">
        <f t="shared" si="134"/>
        <v>Invalid Data</v>
      </c>
    </row>
    <row r="944" spans="1:26" x14ac:dyDescent="0.4">
      <c r="A944" t="s">
        <v>3653</v>
      </c>
      <c r="B944" t="s">
        <v>386</v>
      </c>
      <c r="C944" t="s">
        <v>112</v>
      </c>
      <c r="D944" t="s">
        <v>3654</v>
      </c>
      <c r="E944" t="s">
        <v>3169</v>
      </c>
      <c r="F944">
        <v>42</v>
      </c>
      <c r="G944">
        <v>88</v>
      </c>
      <c r="H944">
        <v>95</v>
      </c>
      <c r="I944" t="s">
        <v>71</v>
      </c>
      <c r="J944" s="7">
        <f t="shared" si="126"/>
        <v>2.5</v>
      </c>
      <c r="K944" t="s">
        <v>236</v>
      </c>
      <c r="L944" s="1">
        <f t="shared" si="127"/>
        <v>45379</v>
      </c>
      <c r="M944" t="s">
        <v>366</v>
      </c>
      <c r="N944" s="1">
        <f t="shared" si="128"/>
        <v>45685</v>
      </c>
      <c r="O944" t="s">
        <v>1234</v>
      </c>
      <c r="P944" s="1">
        <f t="shared" si="129"/>
        <v>45406</v>
      </c>
      <c r="Q944" t="s">
        <v>3655</v>
      </c>
      <c r="R944">
        <v>67</v>
      </c>
      <c r="S944">
        <v>94</v>
      </c>
      <c r="T944" t="s">
        <v>42</v>
      </c>
      <c r="U944" s="8">
        <v>167.5</v>
      </c>
      <c r="V944" s="8">
        <f t="shared" si="130"/>
        <v>105</v>
      </c>
      <c r="W944" t="str">
        <f t="shared" si="131"/>
        <v>Reorder Required</v>
      </c>
      <c r="X944" s="9">
        <f t="shared" si="132"/>
        <v>45352</v>
      </c>
      <c r="Y944">
        <f t="shared" si="133"/>
        <v>27</v>
      </c>
      <c r="Z944" t="str">
        <f t="shared" si="134"/>
        <v>Critical</v>
      </c>
    </row>
    <row r="945" spans="1:26" x14ac:dyDescent="0.4">
      <c r="A945" t="s">
        <v>3656</v>
      </c>
      <c r="B945" t="s">
        <v>103</v>
      </c>
      <c r="C945" t="s">
        <v>18</v>
      </c>
      <c r="D945" t="s">
        <v>3657</v>
      </c>
      <c r="E945" t="s">
        <v>964</v>
      </c>
      <c r="F945">
        <v>29</v>
      </c>
      <c r="G945">
        <v>54</v>
      </c>
      <c r="H945">
        <v>54</v>
      </c>
      <c r="I945" t="s">
        <v>106</v>
      </c>
      <c r="J945" s="7">
        <f t="shared" si="126"/>
        <v>2</v>
      </c>
      <c r="K945" t="s">
        <v>526</v>
      </c>
      <c r="L945" s="1">
        <f t="shared" si="127"/>
        <v>45592</v>
      </c>
      <c r="M945" t="s">
        <v>214</v>
      </c>
      <c r="N945" s="1">
        <f t="shared" si="128"/>
        <v>45712</v>
      </c>
      <c r="O945" t="s">
        <v>315</v>
      </c>
      <c r="P945" s="1">
        <f t="shared" si="129"/>
        <v>45651</v>
      </c>
      <c r="Q945" t="s">
        <v>3658</v>
      </c>
      <c r="R945">
        <v>58</v>
      </c>
      <c r="S945">
        <v>63</v>
      </c>
      <c r="T945" t="s">
        <v>42</v>
      </c>
      <c r="U945" s="8">
        <v>116</v>
      </c>
      <c r="V945" s="8">
        <f t="shared" si="130"/>
        <v>58</v>
      </c>
      <c r="W945" t="str">
        <f t="shared" si="131"/>
        <v>Reorder Required</v>
      </c>
      <c r="X945" s="9">
        <f t="shared" si="132"/>
        <v>45566</v>
      </c>
      <c r="Y945">
        <f t="shared" si="133"/>
        <v>59</v>
      </c>
      <c r="Z945" t="str">
        <f t="shared" si="134"/>
        <v>High Risk</v>
      </c>
    </row>
    <row r="946" spans="1:26" x14ac:dyDescent="0.4">
      <c r="A946" t="s">
        <v>3659</v>
      </c>
      <c r="B946" t="s">
        <v>233</v>
      </c>
      <c r="C946" t="s">
        <v>54</v>
      </c>
      <c r="D946" t="s">
        <v>3660</v>
      </c>
      <c r="E946" t="s">
        <v>806</v>
      </c>
      <c r="F946">
        <v>60</v>
      </c>
      <c r="G946">
        <v>63</v>
      </c>
      <c r="H946">
        <v>81</v>
      </c>
      <c r="I946" t="s">
        <v>466</v>
      </c>
      <c r="J946" s="7">
        <f t="shared" si="126"/>
        <v>1.8</v>
      </c>
      <c r="K946" t="s">
        <v>321</v>
      </c>
      <c r="L946" s="1">
        <f t="shared" si="127"/>
        <v>45683</v>
      </c>
      <c r="M946" s="1">
        <v>45361</v>
      </c>
      <c r="N946" s="1">
        <f t="shared" si="128"/>
        <v>45361</v>
      </c>
      <c r="O946" s="1">
        <v>45296</v>
      </c>
      <c r="P946" s="1">
        <f t="shared" si="129"/>
        <v>45296</v>
      </c>
      <c r="Q946" t="s">
        <v>3661</v>
      </c>
      <c r="R946">
        <v>74</v>
      </c>
      <c r="S946">
        <v>31</v>
      </c>
      <c r="T946" t="s">
        <v>51</v>
      </c>
      <c r="U946" s="8">
        <v>133.20000000000002</v>
      </c>
      <c r="V946" s="8">
        <f t="shared" si="130"/>
        <v>108</v>
      </c>
      <c r="W946" t="str">
        <f t="shared" si="131"/>
        <v>Reorder Required</v>
      </c>
      <c r="X946" s="9">
        <f t="shared" si="132"/>
        <v>45658</v>
      </c>
      <c r="Y946">
        <f t="shared" si="133"/>
        <v>-387</v>
      </c>
      <c r="Z946" t="str">
        <f t="shared" si="134"/>
        <v>Invalid Data</v>
      </c>
    </row>
    <row r="947" spans="1:26" x14ac:dyDescent="0.4">
      <c r="A947" t="s">
        <v>3662</v>
      </c>
      <c r="B947" t="s">
        <v>189</v>
      </c>
      <c r="C947" t="s">
        <v>77</v>
      </c>
      <c r="D947" t="s">
        <v>3663</v>
      </c>
      <c r="E947" t="s">
        <v>1136</v>
      </c>
      <c r="F947">
        <v>65</v>
      </c>
      <c r="G947">
        <v>54</v>
      </c>
      <c r="H947">
        <v>29</v>
      </c>
      <c r="I947" t="s">
        <v>172</v>
      </c>
      <c r="J947" s="7">
        <f t="shared" si="126"/>
        <v>12</v>
      </c>
      <c r="K947" t="s">
        <v>1165</v>
      </c>
      <c r="L947" s="1">
        <f t="shared" si="127"/>
        <v>45626</v>
      </c>
      <c r="M947" t="s">
        <v>1188</v>
      </c>
      <c r="N947" s="1">
        <f t="shared" si="128"/>
        <v>45625</v>
      </c>
      <c r="O947" s="1">
        <v>45630</v>
      </c>
      <c r="P947" s="1">
        <f t="shared" si="129"/>
        <v>45630</v>
      </c>
      <c r="Q947" t="s">
        <v>3664</v>
      </c>
      <c r="R947">
        <v>69</v>
      </c>
      <c r="S947">
        <v>79</v>
      </c>
      <c r="T947" t="s">
        <v>42</v>
      </c>
      <c r="U947" s="8">
        <v>828</v>
      </c>
      <c r="V947" s="8">
        <f t="shared" si="130"/>
        <v>780</v>
      </c>
      <c r="W947" t="str">
        <f t="shared" si="131"/>
        <v>Sufficient Stock</v>
      </c>
      <c r="X947" s="9">
        <f t="shared" si="132"/>
        <v>45597</v>
      </c>
      <c r="Y947">
        <f t="shared" si="133"/>
        <v>4</v>
      </c>
      <c r="Z947" t="str">
        <f t="shared" si="134"/>
        <v>Critical</v>
      </c>
    </row>
    <row r="948" spans="1:26" x14ac:dyDescent="0.4">
      <c r="A948" t="s">
        <v>3665</v>
      </c>
      <c r="B948" t="s">
        <v>498</v>
      </c>
      <c r="C948" t="s">
        <v>54</v>
      </c>
      <c r="D948" t="s">
        <v>3666</v>
      </c>
      <c r="E948" t="s">
        <v>3667</v>
      </c>
      <c r="F948">
        <v>89</v>
      </c>
      <c r="G948">
        <v>96</v>
      </c>
      <c r="H948">
        <v>94</v>
      </c>
      <c r="I948" t="s">
        <v>21</v>
      </c>
      <c r="J948" s="7">
        <f t="shared" si="126"/>
        <v>4.5</v>
      </c>
      <c r="K948" s="1">
        <v>45571</v>
      </c>
      <c r="L948" s="1">
        <f t="shared" si="127"/>
        <v>45571</v>
      </c>
      <c r="M948" s="1">
        <v>45809</v>
      </c>
      <c r="N948" s="1">
        <f t="shared" si="128"/>
        <v>45809</v>
      </c>
      <c r="O948" t="s">
        <v>24</v>
      </c>
      <c r="P948" s="1">
        <f t="shared" si="129"/>
        <v>45554</v>
      </c>
      <c r="Q948" t="s">
        <v>3668</v>
      </c>
      <c r="R948">
        <v>38</v>
      </c>
      <c r="S948">
        <v>96</v>
      </c>
      <c r="T948" t="s">
        <v>26</v>
      </c>
      <c r="U948" s="8">
        <v>171</v>
      </c>
      <c r="V948" s="8">
        <f t="shared" si="130"/>
        <v>400.5</v>
      </c>
      <c r="W948" t="str">
        <f t="shared" si="131"/>
        <v>Reorder Required</v>
      </c>
      <c r="X948" s="9">
        <f t="shared" si="132"/>
        <v>45566</v>
      </c>
      <c r="Y948">
        <f t="shared" si="133"/>
        <v>-17</v>
      </c>
      <c r="Z948" t="str">
        <f t="shared" si="134"/>
        <v>Invalid Data</v>
      </c>
    </row>
    <row r="949" spans="1:26" x14ac:dyDescent="0.4">
      <c r="A949" t="s">
        <v>3669</v>
      </c>
      <c r="B949" t="s">
        <v>67</v>
      </c>
      <c r="C949" t="s">
        <v>68</v>
      </c>
      <c r="D949" t="s">
        <v>3670</v>
      </c>
      <c r="E949" t="s">
        <v>832</v>
      </c>
      <c r="F949">
        <v>50</v>
      </c>
      <c r="G949">
        <v>40</v>
      </c>
      <c r="H949">
        <v>69</v>
      </c>
      <c r="I949" t="s">
        <v>71</v>
      </c>
      <c r="J949" s="7">
        <f t="shared" si="126"/>
        <v>2.5</v>
      </c>
      <c r="K949" t="s">
        <v>127</v>
      </c>
      <c r="L949" s="1">
        <f t="shared" si="127"/>
        <v>45473</v>
      </c>
      <c r="M949" t="s">
        <v>1125</v>
      </c>
      <c r="N949" s="1">
        <f t="shared" si="128"/>
        <v>45382</v>
      </c>
      <c r="O949" t="s">
        <v>893</v>
      </c>
      <c r="P949" s="1">
        <f t="shared" si="129"/>
        <v>45530</v>
      </c>
      <c r="Q949" t="s">
        <v>3671</v>
      </c>
      <c r="R949">
        <v>28</v>
      </c>
      <c r="S949">
        <v>98</v>
      </c>
      <c r="T949" t="s">
        <v>51</v>
      </c>
      <c r="U949" s="8">
        <v>70</v>
      </c>
      <c r="V949" s="8">
        <f t="shared" si="130"/>
        <v>125</v>
      </c>
      <c r="W949" t="str">
        <f t="shared" si="131"/>
        <v>Sufficient Stock</v>
      </c>
      <c r="X949" s="9">
        <f t="shared" si="132"/>
        <v>45444</v>
      </c>
      <c r="Y949">
        <f t="shared" si="133"/>
        <v>57</v>
      </c>
      <c r="Z949" t="str">
        <f t="shared" si="134"/>
        <v>High Risk</v>
      </c>
    </row>
    <row r="950" spans="1:26" x14ac:dyDescent="0.4">
      <c r="A950" t="s">
        <v>3672</v>
      </c>
      <c r="B950" t="s">
        <v>498</v>
      </c>
      <c r="C950" t="s">
        <v>54</v>
      </c>
      <c r="D950" t="s">
        <v>3673</v>
      </c>
      <c r="E950" t="s">
        <v>634</v>
      </c>
      <c r="F950">
        <v>94</v>
      </c>
      <c r="G950">
        <v>18</v>
      </c>
      <c r="H950">
        <v>84</v>
      </c>
      <c r="I950" t="s">
        <v>21</v>
      </c>
      <c r="J950" s="7">
        <f t="shared" si="126"/>
        <v>4.5</v>
      </c>
      <c r="K950" s="1">
        <v>45748</v>
      </c>
      <c r="L950" s="1">
        <f t="shared" si="127"/>
        <v>45748</v>
      </c>
      <c r="M950" t="s">
        <v>1205</v>
      </c>
      <c r="N950" s="1">
        <f t="shared" si="128"/>
        <v>45580</v>
      </c>
      <c r="O950" t="s">
        <v>712</v>
      </c>
      <c r="P950" s="1">
        <f t="shared" si="129"/>
        <v>45552</v>
      </c>
      <c r="Q950" t="s">
        <v>3674</v>
      </c>
      <c r="R950">
        <v>44</v>
      </c>
      <c r="S950">
        <v>49</v>
      </c>
      <c r="T950" t="s">
        <v>26</v>
      </c>
      <c r="U950" s="8">
        <v>198</v>
      </c>
      <c r="V950" s="8">
        <f t="shared" si="130"/>
        <v>423</v>
      </c>
      <c r="W950" t="str">
        <f t="shared" si="131"/>
        <v>Sufficient Stock</v>
      </c>
      <c r="X950" s="9">
        <f t="shared" si="132"/>
        <v>45748</v>
      </c>
      <c r="Y950">
        <f t="shared" si="133"/>
        <v>-196</v>
      </c>
      <c r="Z950" t="str">
        <f t="shared" si="134"/>
        <v>Invalid Data</v>
      </c>
    </row>
    <row r="951" spans="1:26" x14ac:dyDescent="0.4">
      <c r="A951" t="s">
        <v>3675</v>
      </c>
      <c r="B951" t="s">
        <v>784</v>
      </c>
      <c r="C951" t="s">
        <v>68</v>
      </c>
      <c r="D951" t="s">
        <v>3676</v>
      </c>
      <c r="E951" t="s">
        <v>2661</v>
      </c>
      <c r="F951">
        <v>97</v>
      </c>
      <c r="G951">
        <v>32</v>
      </c>
      <c r="H951">
        <v>43</v>
      </c>
      <c r="I951" t="s">
        <v>314</v>
      </c>
      <c r="J951" s="7">
        <f t="shared" si="126"/>
        <v>2.2999999999999998</v>
      </c>
      <c r="K951" s="1">
        <v>45453</v>
      </c>
      <c r="L951" s="1">
        <f t="shared" si="127"/>
        <v>45453</v>
      </c>
      <c r="M951" s="1">
        <v>45356</v>
      </c>
      <c r="N951" s="1">
        <f t="shared" si="128"/>
        <v>45356</v>
      </c>
      <c r="O951" t="s">
        <v>200</v>
      </c>
      <c r="P951" s="1">
        <f t="shared" si="129"/>
        <v>45442</v>
      </c>
      <c r="Q951" t="s">
        <v>3677</v>
      </c>
      <c r="R951">
        <v>82</v>
      </c>
      <c r="S951">
        <v>98</v>
      </c>
      <c r="T951" t="s">
        <v>51</v>
      </c>
      <c r="U951" s="8">
        <v>188.6</v>
      </c>
      <c r="V951" s="8">
        <f t="shared" si="130"/>
        <v>223.1</v>
      </c>
      <c r="W951" t="str">
        <f t="shared" si="131"/>
        <v>Sufficient Stock</v>
      </c>
      <c r="X951" s="9">
        <f t="shared" si="132"/>
        <v>45444</v>
      </c>
      <c r="Y951">
        <f t="shared" si="133"/>
        <v>-11</v>
      </c>
      <c r="Z951" t="str">
        <f t="shared" si="134"/>
        <v>Invalid Data</v>
      </c>
    </row>
    <row r="952" spans="1:26" x14ac:dyDescent="0.4">
      <c r="A952" t="s">
        <v>3678</v>
      </c>
      <c r="B952" t="s">
        <v>1228</v>
      </c>
      <c r="C952" t="s">
        <v>112</v>
      </c>
      <c r="D952" t="s">
        <v>3679</v>
      </c>
      <c r="E952" t="s">
        <v>2501</v>
      </c>
      <c r="F952">
        <v>72</v>
      </c>
      <c r="G952">
        <v>78</v>
      </c>
      <c r="H952">
        <v>1</v>
      </c>
      <c r="I952" t="s">
        <v>57</v>
      </c>
      <c r="J952" s="7">
        <f t="shared" si="126"/>
        <v>4</v>
      </c>
      <c r="K952" s="1">
        <v>45576</v>
      </c>
      <c r="L952" s="1">
        <f t="shared" si="127"/>
        <v>45576</v>
      </c>
      <c r="M952" t="s">
        <v>236</v>
      </c>
      <c r="N952" s="1">
        <f t="shared" si="128"/>
        <v>45379</v>
      </c>
      <c r="O952" s="1">
        <v>45717</v>
      </c>
      <c r="P952" s="1">
        <f t="shared" si="129"/>
        <v>45717</v>
      </c>
      <c r="Q952" t="s">
        <v>3680</v>
      </c>
      <c r="R952">
        <v>85</v>
      </c>
      <c r="S952">
        <v>30</v>
      </c>
      <c r="T952" t="s">
        <v>26</v>
      </c>
      <c r="U952" s="8">
        <v>340</v>
      </c>
      <c r="V952" s="8">
        <f t="shared" si="130"/>
        <v>288</v>
      </c>
      <c r="W952" t="str">
        <f t="shared" si="131"/>
        <v>Reorder Required</v>
      </c>
      <c r="X952" s="9">
        <f t="shared" si="132"/>
        <v>45566</v>
      </c>
      <c r="Y952">
        <f t="shared" si="133"/>
        <v>141</v>
      </c>
      <c r="Z952" t="str">
        <f t="shared" si="134"/>
        <v>Medium Risk</v>
      </c>
    </row>
    <row r="953" spans="1:26" x14ac:dyDescent="0.4">
      <c r="A953" t="s">
        <v>3681</v>
      </c>
      <c r="B953" t="s">
        <v>545</v>
      </c>
      <c r="C953" t="s">
        <v>77</v>
      </c>
      <c r="D953" t="s">
        <v>3682</v>
      </c>
      <c r="E953" t="s">
        <v>3683</v>
      </c>
      <c r="F953">
        <v>62</v>
      </c>
      <c r="G953">
        <v>91</v>
      </c>
      <c r="H953">
        <v>14</v>
      </c>
      <c r="I953" t="s">
        <v>71</v>
      </c>
      <c r="J953" s="7">
        <f t="shared" si="126"/>
        <v>2.5</v>
      </c>
      <c r="K953" t="s">
        <v>121</v>
      </c>
      <c r="L953" s="1">
        <f t="shared" si="127"/>
        <v>45556</v>
      </c>
      <c r="M953" t="s">
        <v>157</v>
      </c>
      <c r="N953" s="1">
        <f t="shared" si="128"/>
        <v>45443</v>
      </c>
      <c r="O953" s="1">
        <v>45516</v>
      </c>
      <c r="P953" s="1">
        <f t="shared" si="129"/>
        <v>45516</v>
      </c>
      <c r="Q953" t="s">
        <v>3684</v>
      </c>
      <c r="R953">
        <v>41</v>
      </c>
      <c r="S953">
        <v>77</v>
      </c>
      <c r="T953" t="s">
        <v>26</v>
      </c>
      <c r="U953" s="8">
        <v>102.5</v>
      </c>
      <c r="V953" s="8">
        <f t="shared" si="130"/>
        <v>155</v>
      </c>
      <c r="W953" t="str">
        <f t="shared" si="131"/>
        <v>Reorder Required</v>
      </c>
      <c r="X953" s="9">
        <f t="shared" si="132"/>
        <v>45536</v>
      </c>
      <c r="Y953">
        <f t="shared" si="133"/>
        <v>-40</v>
      </c>
      <c r="Z953" t="str">
        <f t="shared" si="134"/>
        <v>Invalid Data</v>
      </c>
    </row>
    <row r="954" spans="1:26" x14ac:dyDescent="0.4">
      <c r="A954" t="s">
        <v>3685</v>
      </c>
      <c r="B954" t="s">
        <v>1503</v>
      </c>
      <c r="C954" t="s">
        <v>54</v>
      </c>
      <c r="D954" t="s">
        <v>3686</v>
      </c>
      <c r="E954" t="s">
        <v>1581</v>
      </c>
      <c r="F954">
        <v>44</v>
      </c>
      <c r="G954">
        <v>92</v>
      </c>
      <c r="H954">
        <v>92</v>
      </c>
      <c r="I954" t="s">
        <v>242</v>
      </c>
      <c r="J954" s="7">
        <f t="shared" si="126"/>
        <v>3.5</v>
      </c>
      <c r="K954" s="1">
        <v>45507</v>
      </c>
      <c r="L954" s="1">
        <f t="shared" si="127"/>
        <v>45507</v>
      </c>
      <c r="M954" s="1">
        <v>45962</v>
      </c>
      <c r="N954" s="1">
        <f t="shared" si="128"/>
        <v>45962</v>
      </c>
      <c r="O954" t="s">
        <v>935</v>
      </c>
      <c r="P954" s="1">
        <f t="shared" si="129"/>
        <v>45560</v>
      </c>
      <c r="Q954" t="s">
        <v>3687</v>
      </c>
      <c r="R954">
        <v>41</v>
      </c>
      <c r="S954">
        <v>61</v>
      </c>
      <c r="T954" t="s">
        <v>51</v>
      </c>
      <c r="U954" s="8">
        <v>143.5</v>
      </c>
      <c r="V954" s="8">
        <f t="shared" si="130"/>
        <v>154</v>
      </c>
      <c r="W954" t="str">
        <f t="shared" si="131"/>
        <v>Reorder Required</v>
      </c>
      <c r="X954" s="9">
        <f t="shared" si="132"/>
        <v>45505</v>
      </c>
      <c r="Y954">
        <f t="shared" si="133"/>
        <v>53</v>
      </c>
      <c r="Z954" t="str">
        <f t="shared" si="134"/>
        <v>High Risk</v>
      </c>
    </row>
    <row r="955" spans="1:26" x14ac:dyDescent="0.4">
      <c r="A955" t="s">
        <v>3688</v>
      </c>
      <c r="B955" t="s">
        <v>582</v>
      </c>
      <c r="C955" t="s">
        <v>68</v>
      </c>
      <c r="D955" t="s">
        <v>3689</v>
      </c>
      <c r="E955" t="s">
        <v>1164</v>
      </c>
      <c r="F955">
        <v>21</v>
      </c>
      <c r="G955">
        <v>25</v>
      </c>
      <c r="H955">
        <v>39</v>
      </c>
      <c r="I955" t="s">
        <v>57</v>
      </c>
      <c r="J955" s="7">
        <f t="shared" si="126"/>
        <v>4</v>
      </c>
      <c r="K955" t="s">
        <v>1387</v>
      </c>
      <c r="L955" s="1">
        <f t="shared" si="127"/>
        <v>45503</v>
      </c>
      <c r="M955" s="1">
        <v>45574</v>
      </c>
      <c r="N955" s="1">
        <f t="shared" si="128"/>
        <v>45574</v>
      </c>
      <c r="O955" t="s">
        <v>462</v>
      </c>
      <c r="P955" s="1">
        <f t="shared" si="129"/>
        <v>45351</v>
      </c>
      <c r="Q955" t="s">
        <v>3690</v>
      </c>
      <c r="R955">
        <v>79</v>
      </c>
      <c r="S955">
        <v>30</v>
      </c>
      <c r="T955" t="s">
        <v>51</v>
      </c>
      <c r="U955" s="8">
        <v>316</v>
      </c>
      <c r="V955" s="8">
        <f t="shared" si="130"/>
        <v>84</v>
      </c>
      <c r="W955" t="str">
        <f t="shared" si="131"/>
        <v>Reorder Required</v>
      </c>
      <c r="X955" s="9">
        <f t="shared" si="132"/>
        <v>45474</v>
      </c>
      <c r="Y955">
        <f t="shared" si="133"/>
        <v>-152</v>
      </c>
      <c r="Z955" t="str">
        <f t="shared" si="134"/>
        <v>Invalid Data</v>
      </c>
    </row>
    <row r="956" spans="1:26" x14ac:dyDescent="0.4">
      <c r="A956" t="s">
        <v>3691</v>
      </c>
      <c r="B956" t="s">
        <v>1534</v>
      </c>
      <c r="C956" t="s">
        <v>18</v>
      </c>
      <c r="D956" t="s">
        <v>3692</v>
      </c>
      <c r="E956" t="s">
        <v>1069</v>
      </c>
      <c r="F956">
        <v>91</v>
      </c>
      <c r="G956">
        <v>39</v>
      </c>
      <c r="H956">
        <v>48</v>
      </c>
      <c r="I956" t="s">
        <v>220</v>
      </c>
      <c r="J956" s="7">
        <f t="shared" si="126"/>
        <v>5</v>
      </c>
      <c r="K956" t="s">
        <v>1125</v>
      </c>
      <c r="L956" s="1">
        <f t="shared" si="127"/>
        <v>45382</v>
      </c>
      <c r="M956" t="s">
        <v>192</v>
      </c>
      <c r="N956" s="1">
        <f t="shared" si="128"/>
        <v>45647</v>
      </c>
      <c r="O956" t="s">
        <v>141</v>
      </c>
      <c r="P956" s="1">
        <f t="shared" si="129"/>
        <v>45612</v>
      </c>
      <c r="Q956" t="s">
        <v>3693</v>
      </c>
      <c r="R956">
        <v>48</v>
      </c>
      <c r="S956">
        <v>18</v>
      </c>
      <c r="T956" t="s">
        <v>51</v>
      </c>
      <c r="U956" s="8">
        <v>240</v>
      </c>
      <c r="V956" s="8">
        <f t="shared" si="130"/>
        <v>455</v>
      </c>
      <c r="W956" t="str">
        <f t="shared" si="131"/>
        <v>Sufficient Stock</v>
      </c>
      <c r="X956" s="9">
        <f t="shared" si="132"/>
        <v>45352</v>
      </c>
      <c r="Y956">
        <f t="shared" si="133"/>
        <v>230</v>
      </c>
      <c r="Z956" t="str">
        <f t="shared" si="134"/>
        <v>Low Risk</v>
      </c>
    </row>
    <row r="957" spans="1:26" x14ac:dyDescent="0.4">
      <c r="A957" t="s">
        <v>3694</v>
      </c>
      <c r="B957" t="s">
        <v>814</v>
      </c>
      <c r="C957" t="s">
        <v>169</v>
      </c>
      <c r="D957" t="s">
        <v>3695</v>
      </c>
      <c r="E957" t="s">
        <v>1736</v>
      </c>
      <c r="F957">
        <v>87</v>
      </c>
      <c r="G957">
        <v>24</v>
      </c>
      <c r="H957">
        <v>66</v>
      </c>
      <c r="I957" t="s">
        <v>817</v>
      </c>
      <c r="J957" s="7">
        <f t="shared" si="126"/>
        <v>18</v>
      </c>
      <c r="K957" t="s">
        <v>618</v>
      </c>
      <c r="L957" s="1">
        <f t="shared" si="127"/>
        <v>45432</v>
      </c>
      <c r="M957" t="s">
        <v>485</v>
      </c>
      <c r="N957" s="1">
        <f t="shared" si="128"/>
        <v>45620</v>
      </c>
      <c r="O957" s="1">
        <v>45387</v>
      </c>
      <c r="P957" s="1">
        <f t="shared" si="129"/>
        <v>45387</v>
      </c>
      <c r="Q957" t="s">
        <v>3696</v>
      </c>
      <c r="R957">
        <v>22</v>
      </c>
      <c r="S957">
        <v>34</v>
      </c>
      <c r="T957" t="s">
        <v>51</v>
      </c>
      <c r="U957" s="8">
        <v>396</v>
      </c>
      <c r="V957" s="8">
        <f t="shared" si="130"/>
        <v>1566</v>
      </c>
      <c r="W957" t="str">
        <f t="shared" si="131"/>
        <v>Sufficient Stock</v>
      </c>
      <c r="X957" s="9">
        <f t="shared" si="132"/>
        <v>45413</v>
      </c>
      <c r="Y957">
        <f t="shared" si="133"/>
        <v>-45</v>
      </c>
      <c r="Z957" t="str">
        <f t="shared" si="134"/>
        <v>Invalid Data</v>
      </c>
    </row>
    <row r="958" spans="1:26" x14ac:dyDescent="0.4">
      <c r="A958" t="s">
        <v>3697</v>
      </c>
      <c r="B958" t="s">
        <v>161</v>
      </c>
      <c r="C958" t="s">
        <v>54</v>
      </c>
      <c r="D958" t="s">
        <v>3698</v>
      </c>
      <c r="E958" t="s">
        <v>2080</v>
      </c>
      <c r="F958">
        <v>61</v>
      </c>
      <c r="G958">
        <v>17</v>
      </c>
      <c r="H958">
        <v>69</v>
      </c>
      <c r="I958" t="s">
        <v>3699</v>
      </c>
      <c r="J958" s="7">
        <f t="shared" si="126"/>
        <v>2.52</v>
      </c>
      <c r="K958" t="s">
        <v>388</v>
      </c>
      <c r="L958" s="1">
        <f t="shared" si="127"/>
        <v>45434</v>
      </c>
      <c r="M958" s="1">
        <v>45478</v>
      </c>
      <c r="N958" s="1">
        <f t="shared" si="128"/>
        <v>45478</v>
      </c>
      <c r="O958" t="s">
        <v>579</v>
      </c>
      <c r="P958" s="1">
        <f t="shared" si="129"/>
        <v>45460</v>
      </c>
      <c r="Q958" t="s">
        <v>3700</v>
      </c>
      <c r="R958">
        <v>31</v>
      </c>
      <c r="S958">
        <v>29</v>
      </c>
      <c r="T958" t="s">
        <v>51</v>
      </c>
      <c r="U958" s="8">
        <v>78.12</v>
      </c>
      <c r="V958" s="8">
        <f t="shared" si="130"/>
        <v>153.72</v>
      </c>
      <c r="W958" t="str">
        <f t="shared" si="131"/>
        <v>Sufficient Stock</v>
      </c>
      <c r="X958" s="9">
        <f t="shared" si="132"/>
        <v>45413</v>
      </c>
      <c r="Y958">
        <f t="shared" si="133"/>
        <v>26</v>
      </c>
      <c r="Z958" t="str">
        <f t="shared" si="134"/>
        <v>Critical</v>
      </c>
    </row>
    <row r="959" spans="1:26" x14ac:dyDescent="0.4">
      <c r="A959" t="s">
        <v>3701</v>
      </c>
      <c r="B959" t="s">
        <v>425</v>
      </c>
      <c r="C959" t="s">
        <v>54</v>
      </c>
      <c r="D959" t="s">
        <v>3702</v>
      </c>
      <c r="E959" t="s">
        <v>767</v>
      </c>
      <c r="F959">
        <v>61</v>
      </c>
      <c r="G959">
        <v>81</v>
      </c>
      <c r="H959">
        <v>99</v>
      </c>
      <c r="I959" t="s">
        <v>47</v>
      </c>
      <c r="J959" s="7">
        <f t="shared" si="126"/>
        <v>1.5</v>
      </c>
      <c r="K959" t="s">
        <v>526</v>
      </c>
      <c r="L959" s="1">
        <f t="shared" si="127"/>
        <v>45592</v>
      </c>
      <c r="M959" t="s">
        <v>1629</v>
      </c>
      <c r="N959" s="1">
        <f t="shared" si="128"/>
        <v>45364</v>
      </c>
      <c r="O959" t="s">
        <v>1234</v>
      </c>
      <c r="P959" s="1">
        <f t="shared" si="129"/>
        <v>45406</v>
      </c>
      <c r="Q959" t="s">
        <v>3703</v>
      </c>
      <c r="R959">
        <v>26</v>
      </c>
      <c r="S959">
        <v>76</v>
      </c>
      <c r="T959" t="s">
        <v>26</v>
      </c>
      <c r="U959" s="8">
        <v>39</v>
      </c>
      <c r="V959" s="8">
        <f t="shared" si="130"/>
        <v>91.5</v>
      </c>
      <c r="W959" t="str">
        <f t="shared" si="131"/>
        <v>Reorder Required</v>
      </c>
      <c r="X959" s="9">
        <f t="shared" si="132"/>
        <v>45566</v>
      </c>
      <c r="Y959">
        <f t="shared" si="133"/>
        <v>-186</v>
      </c>
      <c r="Z959" t="str">
        <f t="shared" si="134"/>
        <v>Invalid Data</v>
      </c>
    </row>
    <row r="960" spans="1:26" x14ac:dyDescent="0.4">
      <c r="A960" t="s">
        <v>3704</v>
      </c>
      <c r="B960" t="s">
        <v>1814</v>
      </c>
      <c r="C960" t="s">
        <v>54</v>
      </c>
      <c r="D960" t="s">
        <v>3705</v>
      </c>
      <c r="E960" t="s">
        <v>2475</v>
      </c>
      <c r="F960">
        <v>49</v>
      </c>
      <c r="G960">
        <v>1</v>
      </c>
      <c r="H960">
        <v>28</v>
      </c>
      <c r="I960" t="s">
        <v>106</v>
      </c>
      <c r="J960" s="7">
        <f t="shared" si="126"/>
        <v>2</v>
      </c>
      <c r="K960" s="1">
        <v>45303</v>
      </c>
      <c r="L960" s="1">
        <f t="shared" si="127"/>
        <v>45303</v>
      </c>
      <c r="M960" t="s">
        <v>701</v>
      </c>
      <c r="N960" s="1">
        <f t="shared" si="128"/>
        <v>45649</v>
      </c>
      <c r="O960" t="s">
        <v>92</v>
      </c>
      <c r="P960" s="1">
        <f t="shared" si="129"/>
        <v>45614</v>
      </c>
      <c r="Q960" t="s">
        <v>3706</v>
      </c>
      <c r="R960">
        <v>97</v>
      </c>
      <c r="S960">
        <v>95</v>
      </c>
      <c r="T960" t="s">
        <v>51</v>
      </c>
      <c r="U960" s="8">
        <v>194</v>
      </c>
      <c r="V960" s="8">
        <f t="shared" si="130"/>
        <v>98</v>
      </c>
      <c r="W960" t="str">
        <f t="shared" si="131"/>
        <v>Sufficient Stock</v>
      </c>
      <c r="X960" s="9">
        <f t="shared" si="132"/>
        <v>45292</v>
      </c>
      <c r="Y960">
        <f t="shared" si="133"/>
        <v>311</v>
      </c>
      <c r="Z960" t="str">
        <f t="shared" si="134"/>
        <v>Low Risk</v>
      </c>
    </row>
    <row r="961" spans="1:26" x14ac:dyDescent="0.4">
      <c r="A961" t="s">
        <v>3707</v>
      </c>
      <c r="B961" t="s">
        <v>311</v>
      </c>
      <c r="C961" t="s">
        <v>54</v>
      </c>
      <c r="D961" t="s">
        <v>3708</v>
      </c>
      <c r="E961" t="s">
        <v>2700</v>
      </c>
      <c r="F961">
        <v>87</v>
      </c>
      <c r="G961">
        <v>1</v>
      </c>
      <c r="H961">
        <v>98</v>
      </c>
      <c r="I961" t="s">
        <v>71</v>
      </c>
      <c r="J961" s="7">
        <f t="shared" si="126"/>
        <v>2.5</v>
      </c>
      <c r="K961" s="1">
        <v>45477</v>
      </c>
      <c r="L961" s="1">
        <f t="shared" si="127"/>
        <v>45477</v>
      </c>
      <c r="M961" s="1">
        <v>45483</v>
      </c>
      <c r="N961" s="1">
        <f t="shared" si="128"/>
        <v>45483</v>
      </c>
      <c r="O961" t="s">
        <v>1357</v>
      </c>
      <c r="P961" s="1">
        <f t="shared" si="129"/>
        <v>45492</v>
      </c>
      <c r="Q961" t="s">
        <v>3709</v>
      </c>
      <c r="R961">
        <v>61</v>
      </c>
      <c r="S961">
        <v>84</v>
      </c>
      <c r="T961" t="s">
        <v>26</v>
      </c>
      <c r="U961" s="8">
        <v>152.5</v>
      </c>
      <c r="V961" s="8">
        <f t="shared" si="130"/>
        <v>217.5</v>
      </c>
      <c r="W961" t="str">
        <f t="shared" si="131"/>
        <v>Sufficient Stock</v>
      </c>
      <c r="X961" s="9">
        <f t="shared" si="132"/>
        <v>45474</v>
      </c>
      <c r="Y961">
        <f t="shared" si="133"/>
        <v>15</v>
      </c>
      <c r="Z961" t="str">
        <f t="shared" si="134"/>
        <v>Critical</v>
      </c>
    </row>
    <row r="962" spans="1:26" x14ac:dyDescent="0.4">
      <c r="A962" t="s">
        <v>3710</v>
      </c>
      <c r="B962" t="s">
        <v>332</v>
      </c>
      <c r="C962" t="s">
        <v>112</v>
      </c>
      <c r="D962" t="s">
        <v>3711</v>
      </c>
      <c r="E962" t="s">
        <v>371</v>
      </c>
      <c r="F962">
        <v>93</v>
      </c>
      <c r="G962">
        <v>55</v>
      </c>
      <c r="H962">
        <v>95</v>
      </c>
      <c r="I962" t="s">
        <v>3340</v>
      </c>
      <c r="J962" s="7">
        <f t="shared" si="126"/>
        <v>3.25</v>
      </c>
      <c r="K962" s="1">
        <v>45963</v>
      </c>
      <c r="L962" s="1">
        <f t="shared" si="127"/>
        <v>45963</v>
      </c>
      <c r="M962" s="1">
        <v>45415</v>
      </c>
      <c r="N962" s="1">
        <f t="shared" si="128"/>
        <v>45415</v>
      </c>
      <c r="O962" t="s">
        <v>1057</v>
      </c>
      <c r="P962" s="1">
        <f t="shared" si="129"/>
        <v>45645</v>
      </c>
      <c r="Q962" t="s">
        <v>3712</v>
      </c>
      <c r="R962">
        <v>56</v>
      </c>
      <c r="S962">
        <v>72</v>
      </c>
      <c r="T962" t="s">
        <v>42</v>
      </c>
      <c r="U962" s="8">
        <v>182</v>
      </c>
      <c r="V962" s="8">
        <f t="shared" si="130"/>
        <v>302.25</v>
      </c>
      <c r="W962" t="str">
        <f t="shared" si="131"/>
        <v>Sufficient Stock</v>
      </c>
      <c r="X962" s="9">
        <f t="shared" si="132"/>
        <v>45962</v>
      </c>
      <c r="Y962">
        <f t="shared" si="133"/>
        <v>-318</v>
      </c>
      <c r="Z962" t="str">
        <f t="shared" si="134"/>
        <v>Invalid Data</v>
      </c>
    </row>
    <row r="963" spans="1:26" x14ac:dyDescent="0.4">
      <c r="A963" t="s">
        <v>3713</v>
      </c>
      <c r="B963" t="s">
        <v>1046</v>
      </c>
      <c r="C963" t="s">
        <v>18</v>
      </c>
      <c r="D963" t="s">
        <v>3714</v>
      </c>
      <c r="E963" t="s">
        <v>858</v>
      </c>
      <c r="F963">
        <v>55</v>
      </c>
      <c r="G963">
        <v>13</v>
      </c>
      <c r="H963">
        <v>71</v>
      </c>
      <c r="I963" t="s">
        <v>440</v>
      </c>
      <c r="J963" s="7">
        <f t="shared" ref="J963:J991" si="135">VALUE(SUBSTITUTE(I963,"$",""))</f>
        <v>4.45</v>
      </c>
      <c r="K963" t="s">
        <v>307</v>
      </c>
      <c r="L963" s="1">
        <f t="shared" ref="L963:L991" si="136">IF(
ISNUMBER(K963),
K963,
DATE(
RIGHT(K963,4),
LEFT(K963,FIND("/",K963)-1),
MID(K963,FIND("/",K963)+1,FIND("/",K963,FIND("/",K963)+1)-FIND("/",K963)-1)
)
)</f>
        <v>45408</v>
      </c>
      <c r="M963" t="s">
        <v>548</v>
      </c>
      <c r="N963" s="1">
        <f t="shared" ref="N963:N991" si="137">IF(
ISNUMBER(M963),
M963,
DATE(
RIGHT(M963,4),
LEFT(M963,FIND("/",M963)-1),
MID(M963,FIND("/",M963)+1,FIND("/",M963,FIND("/",M963)+1)-FIND("/",M963)-1)
)
)</f>
        <v>45587</v>
      </c>
      <c r="O963" t="s">
        <v>1482</v>
      </c>
      <c r="P963" s="1">
        <f t="shared" ref="P963:P991" si="138">IF(
ISNUMBER(O963),
O963,
DATE(
RIGHT(O963,4),
LEFT(O963,FIND("/",O963)-1),
MID(O963,FIND("/",O963)+1,FIND("/",O963,FIND("/",O963)+1)-FIND("/",O963)-1)
)
)</f>
        <v>45396</v>
      </c>
      <c r="Q963" t="s">
        <v>3715</v>
      </c>
      <c r="R963">
        <v>37</v>
      </c>
      <c r="S963">
        <v>4</v>
      </c>
      <c r="T963" t="s">
        <v>42</v>
      </c>
      <c r="U963" s="8">
        <v>164.65</v>
      </c>
      <c r="V963" s="8">
        <f t="shared" ref="V963:V991" si="139">F963*J963</f>
        <v>244.75</v>
      </c>
      <c r="W963" t="str">
        <f t="shared" ref="W963:W991" si="140">IF(F963&lt;=G963,"Reorder Required","Sufficient Stock")</f>
        <v>Sufficient Stock</v>
      </c>
      <c r="X963" s="9">
        <f t="shared" ref="X963:X991" si="141">DATE(YEAR(L963),MONTH(L963),1)</f>
        <v>45383</v>
      </c>
      <c r="Y963">
        <f t="shared" ref="Y963:Y991" si="142">P963-L963</f>
        <v>-12</v>
      </c>
      <c r="Z963" t="str">
        <f t="shared" ref="Z963:Z991" si="143">IF(Y963&lt;0,"Invalid Data",
IF(Y963&lt;=30,"Critical",
IF(Y963&lt;=90,"High Risk",
IF(Y963&lt;=180,"Medium Risk",
IF(Y963&lt;=365,"Low Risk",
"Safe")))))</f>
        <v>Invalid Data</v>
      </c>
    </row>
    <row r="964" spans="1:26" x14ac:dyDescent="0.4">
      <c r="A964" t="s">
        <v>3716</v>
      </c>
      <c r="B964" t="s">
        <v>839</v>
      </c>
      <c r="C964" t="s">
        <v>77</v>
      </c>
      <c r="D964" t="s">
        <v>3717</v>
      </c>
      <c r="E964" t="s">
        <v>2775</v>
      </c>
      <c r="F964">
        <v>29</v>
      </c>
      <c r="G964">
        <v>39</v>
      </c>
      <c r="H964">
        <v>80</v>
      </c>
      <c r="I964" t="s">
        <v>57</v>
      </c>
      <c r="J964" s="7">
        <f t="shared" si="135"/>
        <v>4</v>
      </c>
      <c r="K964" t="s">
        <v>33</v>
      </c>
      <c r="L964" s="1">
        <f t="shared" si="136"/>
        <v>45441</v>
      </c>
      <c r="M964" s="1">
        <v>45362</v>
      </c>
      <c r="N964" s="1">
        <f t="shared" si="137"/>
        <v>45362</v>
      </c>
      <c r="O964" s="1">
        <v>45447</v>
      </c>
      <c r="P964" s="1">
        <f t="shared" si="138"/>
        <v>45447</v>
      </c>
      <c r="Q964" t="s">
        <v>3718</v>
      </c>
      <c r="R964">
        <v>23</v>
      </c>
      <c r="S964">
        <v>85</v>
      </c>
      <c r="T964" t="s">
        <v>42</v>
      </c>
      <c r="U964" s="8">
        <v>92</v>
      </c>
      <c r="V964" s="8">
        <f t="shared" si="139"/>
        <v>116</v>
      </c>
      <c r="W964" t="str">
        <f t="shared" si="140"/>
        <v>Reorder Required</v>
      </c>
      <c r="X964" s="9">
        <f t="shared" si="141"/>
        <v>45413</v>
      </c>
      <c r="Y964">
        <f t="shared" si="142"/>
        <v>6</v>
      </c>
      <c r="Z964" t="str">
        <f t="shared" si="143"/>
        <v>Critical</v>
      </c>
    </row>
    <row r="965" spans="1:26" x14ac:dyDescent="0.4">
      <c r="A965" t="s">
        <v>3719</v>
      </c>
      <c r="B965" t="s">
        <v>2592</v>
      </c>
      <c r="C965" t="s">
        <v>77</v>
      </c>
      <c r="D965" t="s">
        <v>3720</v>
      </c>
      <c r="E965" t="s">
        <v>126</v>
      </c>
      <c r="F965">
        <v>63</v>
      </c>
      <c r="G965">
        <v>62</v>
      </c>
      <c r="H965">
        <v>18</v>
      </c>
      <c r="I965" t="s">
        <v>2595</v>
      </c>
      <c r="J965" s="7">
        <f t="shared" si="135"/>
        <v>0.2</v>
      </c>
      <c r="K965" t="s">
        <v>49</v>
      </c>
      <c r="L965" s="1">
        <f t="shared" si="136"/>
        <v>45399</v>
      </c>
      <c r="M965" s="1">
        <v>45326</v>
      </c>
      <c r="N965" s="1">
        <f t="shared" si="137"/>
        <v>45326</v>
      </c>
      <c r="O965" s="1">
        <v>45423</v>
      </c>
      <c r="P965" s="1">
        <f t="shared" si="138"/>
        <v>45423</v>
      </c>
      <c r="Q965" t="s">
        <v>3721</v>
      </c>
      <c r="R965">
        <v>67</v>
      </c>
      <c r="S965">
        <v>17</v>
      </c>
      <c r="T965" t="s">
        <v>51</v>
      </c>
      <c r="U965" s="8">
        <v>13.4</v>
      </c>
      <c r="V965" s="8">
        <f t="shared" si="139"/>
        <v>12.600000000000001</v>
      </c>
      <c r="W965" t="str">
        <f t="shared" si="140"/>
        <v>Sufficient Stock</v>
      </c>
      <c r="X965" s="9">
        <f t="shared" si="141"/>
        <v>45383</v>
      </c>
      <c r="Y965">
        <f t="shared" si="142"/>
        <v>24</v>
      </c>
      <c r="Z965" t="str">
        <f t="shared" si="143"/>
        <v>Critical</v>
      </c>
    </row>
    <row r="966" spans="1:26" x14ac:dyDescent="0.4">
      <c r="A966" t="s">
        <v>3722</v>
      </c>
      <c r="B966" t="s">
        <v>521</v>
      </c>
      <c r="C966" t="s">
        <v>54</v>
      </c>
      <c r="D966" t="s">
        <v>3723</v>
      </c>
      <c r="E966" t="s">
        <v>2341</v>
      </c>
      <c r="F966">
        <v>42</v>
      </c>
      <c r="G966">
        <v>69</v>
      </c>
      <c r="H966">
        <v>54</v>
      </c>
      <c r="I966" t="s">
        <v>523</v>
      </c>
      <c r="J966" s="7">
        <f t="shared" si="135"/>
        <v>1.2</v>
      </c>
      <c r="K966" t="s">
        <v>279</v>
      </c>
      <c r="L966" s="1">
        <f t="shared" si="136"/>
        <v>45676</v>
      </c>
      <c r="M966" s="1">
        <v>45446</v>
      </c>
      <c r="N966" s="1">
        <f t="shared" si="137"/>
        <v>45446</v>
      </c>
      <c r="O966" s="1">
        <v>45294</v>
      </c>
      <c r="P966" s="1">
        <f t="shared" si="138"/>
        <v>45294</v>
      </c>
      <c r="Q966" t="s">
        <v>3724</v>
      </c>
      <c r="R966">
        <v>43</v>
      </c>
      <c r="S966">
        <v>96</v>
      </c>
      <c r="T966" t="s">
        <v>51</v>
      </c>
      <c r="U966" s="8">
        <v>51.6</v>
      </c>
      <c r="V966" s="8">
        <f t="shared" si="139"/>
        <v>50.4</v>
      </c>
      <c r="W966" t="str">
        <f t="shared" si="140"/>
        <v>Reorder Required</v>
      </c>
      <c r="X966" s="9">
        <f t="shared" si="141"/>
        <v>45658</v>
      </c>
      <c r="Y966">
        <f t="shared" si="142"/>
        <v>-382</v>
      </c>
      <c r="Z966" t="str">
        <f t="shared" si="143"/>
        <v>Invalid Data</v>
      </c>
    </row>
    <row r="967" spans="1:26" x14ac:dyDescent="0.4">
      <c r="A967" t="s">
        <v>3725</v>
      </c>
      <c r="B967" t="s">
        <v>271</v>
      </c>
      <c r="C967" t="s">
        <v>54</v>
      </c>
      <c r="D967" t="s">
        <v>3726</v>
      </c>
      <c r="E967" t="s">
        <v>3390</v>
      </c>
      <c r="F967">
        <v>74</v>
      </c>
      <c r="G967">
        <v>4</v>
      </c>
      <c r="H967">
        <v>39</v>
      </c>
      <c r="I967" t="s">
        <v>106</v>
      </c>
      <c r="J967" s="7">
        <f t="shared" si="135"/>
        <v>2</v>
      </c>
      <c r="K967" t="s">
        <v>268</v>
      </c>
      <c r="L967" s="1">
        <f t="shared" si="136"/>
        <v>45652</v>
      </c>
      <c r="M967" s="1">
        <v>45416</v>
      </c>
      <c r="N967" s="1">
        <f t="shared" si="137"/>
        <v>45416</v>
      </c>
      <c r="O967" s="1">
        <v>45481</v>
      </c>
      <c r="P967" s="1">
        <f t="shared" si="138"/>
        <v>45481</v>
      </c>
      <c r="Q967" t="s">
        <v>3727</v>
      </c>
      <c r="R967">
        <v>97</v>
      </c>
      <c r="S967">
        <v>24</v>
      </c>
      <c r="T967" t="s">
        <v>42</v>
      </c>
      <c r="U967" s="8">
        <v>194</v>
      </c>
      <c r="V967" s="8">
        <f t="shared" si="139"/>
        <v>148</v>
      </c>
      <c r="W967" t="str">
        <f t="shared" si="140"/>
        <v>Sufficient Stock</v>
      </c>
      <c r="X967" s="9">
        <f t="shared" si="141"/>
        <v>45627</v>
      </c>
      <c r="Y967">
        <f t="shared" si="142"/>
        <v>-171</v>
      </c>
      <c r="Z967" t="str">
        <f t="shared" si="143"/>
        <v>Invalid Data</v>
      </c>
    </row>
    <row r="968" spans="1:26" x14ac:dyDescent="0.4">
      <c r="A968" t="s">
        <v>3728</v>
      </c>
      <c r="B968" t="s">
        <v>296</v>
      </c>
      <c r="C968" t="s">
        <v>18</v>
      </c>
      <c r="D968" t="s">
        <v>3729</v>
      </c>
      <c r="E968" t="s">
        <v>2558</v>
      </c>
      <c r="F968">
        <v>22</v>
      </c>
      <c r="G968">
        <v>77</v>
      </c>
      <c r="H968">
        <v>15</v>
      </c>
      <c r="I968" t="s">
        <v>85</v>
      </c>
      <c r="J968" s="7">
        <f t="shared" si="135"/>
        <v>3</v>
      </c>
      <c r="K968" s="1">
        <v>45600</v>
      </c>
      <c r="L968" s="1">
        <f t="shared" si="136"/>
        <v>45600</v>
      </c>
      <c r="M968" t="s">
        <v>33</v>
      </c>
      <c r="N968" s="1">
        <f t="shared" si="137"/>
        <v>45441</v>
      </c>
      <c r="O968" t="s">
        <v>525</v>
      </c>
      <c r="P968" s="1">
        <f t="shared" si="138"/>
        <v>45502</v>
      </c>
      <c r="Q968" t="s">
        <v>3730</v>
      </c>
      <c r="R968">
        <v>68</v>
      </c>
      <c r="S968">
        <v>46</v>
      </c>
      <c r="T968" t="s">
        <v>51</v>
      </c>
      <c r="U968" s="8">
        <v>204</v>
      </c>
      <c r="V968" s="8">
        <f t="shared" si="139"/>
        <v>66</v>
      </c>
      <c r="W968" t="str">
        <f t="shared" si="140"/>
        <v>Reorder Required</v>
      </c>
      <c r="X968" s="9">
        <f t="shared" si="141"/>
        <v>45597</v>
      </c>
      <c r="Y968">
        <f t="shared" si="142"/>
        <v>-98</v>
      </c>
      <c r="Z968" t="str">
        <f t="shared" si="143"/>
        <v>Invalid Data</v>
      </c>
    </row>
    <row r="969" spans="1:26" x14ac:dyDescent="0.4">
      <c r="A969" t="s">
        <v>3731</v>
      </c>
      <c r="B969" t="s">
        <v>2592</v>
      </c>
      <c r="C969" t="s">
        <v>77</v>
      </c>
      <c r="D969" t="s">
        <v>3732</v>
      </c>
      <c r="E969" t="s">
        <v>806</v>
      </c>
      <c r="F969">
        <v>83</v>
      </c>
      <c r="G969">
        <v>35</v>
      </c>
      <c r="H969">
        <v>43</v>
      </c>
      <c r="I969" t="s">
        <v>2595</v>
      </c>
      <c r="J969" s="7">
        <f t="shared" si="135"/>
        <v>0.2</v>
      </c>
      <c r="K969" t="s">
        <v>882</v>
      </c>
      <c r="L969" s="1">
        <f t="shared" si="136"/>
        <v>45518</v>
      </c>
      <c r="M969" t="s">
        <v>893</v>
      </c>
      <c r="N969" s="1">
        <f t="shared" si="137"/>
        <v>45530</v>
      </c>
      <c r="O969" s="1">
        <v>45452</v>
      </c>
      <c r="P969" s="1">
        <f t="shared" si="138"/>
        <v>45452</v>
      </c>
      <c r="Q969" t="s">
        <v>3733</v>
      </c>
      <c r="R969">
        <v>94</v>
      </c>
      <c r="S969">
        <v>68</v>
      </c>
      <c r="T969" t="s">
        <v>26</v>
      </c>
      <c r="U969" s="8">
        <v>18.8</v>
      </c>
      <c r="V969" s="8">
        <f t="shared" si="139"/>
        <v>16.600000000000001</v>
      </c>
      <c r="W969" t="str">
        <f t="shared" si="140"/>
        <v>Sufficient Stock</v>
      </c>
      <c r="X969" s="9">
        <f t="shared" si="141"/>
        <v>45505</v>
      </c>
      <c r="Y969">
        <f t="shared" si="142"/>
        <v>-66</v>
      </c>
      <c r="Z969" t="str">
        <f t="shared" si="143"/>
        <v>Invalid Data</v>
      </c>
    </row>
    <row r="970" spans="1:26" x14ac:dyDescent="0.4">
      <c r="A970" t="s">
        <v>3734</v>
      </c>
      <c r="B970" t="s">
        <v>1750</v>
      </c>
      <c r="C970" t="s">
        <v>18</v>
      </c>
      <c r="D970" t="s">
        <v>3735</v>
      </c>
      <c r="E970" t="s">
        <v>327</v>
      </c>
      <c r="F970">
        <v>32</v>
      </c>
      <c r="G970">
        <v>91</v>
      </c>
      <c r="H970">
        <v>80</v>
      </c>
      <c r="I970" t="s">
        <v>591</v>
      </c>
      <c r="J970" s="7">
        <f t="shared" si="135"/>
        <v>10</v>
      </c>
      <c r="K970" t="s">
        <v>359</v>
      </c>
      <c r="L970" s="1">
        <f t="shared" si="136"/>
        <v>45583</v>
      </c>
      <c r="M970" t="s">
        <v>629</v>
      </c>
      <c r="N970" s="1">
        <f t="shared" si="137"/>
        <v>45532</v>
      </c>
      <c r="O970" t="s">
        <v>467</v>
      </c>
      <c r="P970" s="1">
        <f t="shared" si="138"/>
        <v>45673</v>
      </c>
      <c r="Q970" t="s">
        <v>3736</v>
      </c>
      <c r="R970">
        <v>69</v>
      </c>
      <c r="S970">
        <v>80</v>
      </c>
      <c r="T970" t="s">
        <v>26</v>
      </c>
      <c r="U970" s="8">
        <v>690</v>
      </c>
      <c r="V970" s="8">
        <f t="shared" si="139"/>
        <v>320</v>
      </c>
      <c r="W970" t="str">
        <f t="shared" si="140"/>
        <v>Reorder Required</v>
      </c>
      <c r="X970" s="9">
        <f t="shared" si="141"/>
        <v>45566</v>
      </c>
      <c r="Y970">
        <f t="shared" si="142"/>
        <v>90</v>
      </c>
      <c r="Z970" t="str">
        <f t="shared" si="143"/>
        <v>High Risk</v>
      </c>
    </row>
    <row r="971" spans="1:26" x14ac:dyDescent="0.4">
      <c r="A971" t="s">
        <v>3737</v>
      </c>
      <c r="B971" t="s">
        <v>1503</v>
      </c>
      <c r="C971" t="s">
        <v>54</v>
      </c>
      <c r="D971" t="s">
        <v>3738</v>
      </c>
      <c r="E971" t="s">
        <v>2966</v>
      </c>
      <c r="F971">
        <v>84</v>
      </c>
      <c r="G971">
        <v>46</v>
      </c>
      <c r="H971">
        <v>80</v>
      </c>
      <c r="I971" t="s">
        <v>242</v>
      </c>
      <c r="J971" s="7">
        <f t="shared" si="135"/>
        <v>3.5</v>
      </c>
      <c r="K971" t="s">
        <v>566</v>
      </c>
      <c r="L971" s="1">
        <f t="shared" si="136"/>
        <v>45430</v>
      </c>
      <c r="M971" s="1">
        <v>45332</v>
      </c>
      <c r="N971" s="1">
        <f t="shared" si="137"/>
        <v>45332</v>
      </c>
      <c r="O971" t="s">
        <v>898</v>
      </c>
      <c r="P971" s="1">
        <f t="shared" si="138"/>
        <v>45650</v>
      </c>
      <c r="Q971" t="s">
        <v>3739</v>
      </c>
      <c r="R971">
        <v>66</v>
      </c>
      <c r="S971">
        <v>84</v>
      </c>
      <c r="T971" t="s">
        <v>26</v>
      </c>
      <c r="U971" s="8">
        <v>231</v>
      </c>
      <c r="V971" s="8">
        <f t="shared" si="139"/>
        <v>294</v>
      </c>
      <c r="W971" t="str">
        <f t="shared" si="140"/>
        <v>Sufficient Stock</v>
      </c>
      <c r="X971" s="9">
        <f t="shared" si="141"/>
        <v>45413</v>
      </c>
      <c r="Y971">
        <f t="shared" si="142"/>
        <v>220</v>
      </c>
      <c r="Z971" t="str">
        <f t="shared" si="143"/>
        <v>Low Risk</v>
      </c>
    </row>
    <row r="972" spans="1:26" x14ac:dyDescent="0.4">
      <c r="A972" t="s">
        <v>3740</v>
      </c>
      <c r="B972" t="s">
        <v>53</v>
      </c>
      <c r="C972" t="s">
        <v>54</v>
      </c>
      <c r="D972" t="s">
        <v>3741</v>
      </c>
      <c r="E972" t="s">
        <v>1736</v>
      </c>
      <c r="F972">
        <v>22</v>
      </c>
      <c r="G972">
        <v>56</v>
      </c>
      <c r="H972">
        <v>72</v>
      </c>
      <c r="I972" t="s">
        <v>57</v>
      </c>
      <c r="J972" s="7">
        <f t="shared" si="135"/>
        <v>4</v>
      </c>
      <c r="K972" s="1">
        <v>45539</v>
      </c>
      <c r="L972" s="1">
        <f t="shared" si="136"/>
        <v>45539</v>
      </c>
      <c r="M972" s="1">
        <v>45510</v>
      </c>
      <c r="N972" s="1">
        <f t="shared" si="137"/>
        <v>45510</v>
      </c>
      <c r="O972" s="1">
        <v>45363</v>
      </c>
      <c r="P972" s="1">
        <f t="shared" si="138"/>
        <v>45363</v>
      </c>
      <c r="Q972" t="s">
        <v>3742</v>
      </c>
      <c r="R972">
        <v>70</v>
      </c>
      <c r="S972">
        <v>39</v>
      </c>
      <c r="T972" t="s">
        <v>26</v>
      </c>
      <c r="U972" s="8">
        <v>280</v>
      </c>
      <c r="V972" s="8">
        <f t="shared" si="139"/>
        <v>88</v>
      </c>
      <c r="W972" t="str">
        <f t="shared" si="140"/>
        <v>Reorder Required</v>
      </c>
      <c r="X972" s="9">
        <f t="shared" si="141"/>
        <v>45536</v>
      </c>
      <c r="Y972">
        <f t="shared" si="142"/>
        <v>-176</v>
      </c>
      <c r="Z972" t="str">
        <f t="shared" si="143"/>
        <v>Invalid Data</v>
      </c>
    </row>
    <row r="973" spans="1:26" x14ac:dyDescent="0.4">
      <c r="A973" t="s">
        <v>3743</v>
      </c>
      <c r="B973" t="s">
        <v>539</v>
      </c>
      <c r="C973" t="s">
        <v>54</v>
      </c>
      <c r="D973" t="s">
        <v>3744</v>
      </c>
      <c r="E973" t="s">
        <v>2080</v>
      </c>
      <c r="F973">
        <v>100</v>
      </c>
      <c r="G973">
        <v>52</v>
      </c>
      <c r="H973">
        <v>2</v>
      </c>
      <c r="I973" t="s">
        <v>85</v>
      </c>
      <c r="J973" s="7">
        <f t="shared" si="135"/>
        <v>3</v>
      </c>
      <c r="K973" s="1">
        <v>45507</v>
      </c>
      <c r="L973" s="1">
        <f t="shared" si="136"/>
        <v>45507</v>
      </c>
      <c r="M973" t="s">
        <v>1188</v>
      </c>
      <c r="N973" s="1">
        <f t="shared" si="137"/>
        <v>45625</v>
      </c>
      <c r="O973" t="s">
        <v>383</v>
      </c>
      <c r="P973" s="1">
        <f t="shared" si="138"/>
        <v>45582</v>
      </c>
      <c r="Q973" t="s">
        <v>3745</v>
      </c>
      <c r="R973">
        <v>86</v>
      </c>
      <c r="S973">
        <v>70</v>
      </c>
      <c r="T973" t="s">
        <v>42</v>
      </c>
      <c r="U973" s="8">
        <v>258</v>
      </c>
      <c r="V973" s="8">
        <f t="shared" si="139"/>
        <v>300</v>
      </c>
      <c r="W973" t="str">
        <f t="shared" si="140"/>
        <v>Sufficient Stock</v>
      </c>
      <c r="X973" s="9">
        <f t="shared" si="141"/>
        <v>45505</v>
      </c>
      <c r="Y973">
        <f t="shared" si="142"/>
        <v>75</v>
      </c>
      <c r="Z973" t="str">
        <f t="shared" si="143"/>
        <v>High Risk</v>
      </c>
    </row>
    <row r="974" spans="1:26" x14ac:dyDescent="0.4">
      <c r="A974" t="s">
        <v>3746</v>
      </c>
      <c r="B974" t="s">
        <v>923</v>
      </c>
      <c r="C974" t="s">
        <v>77</v>
      </c>
      <c r="D974" t="s">
        <v>3747</v>
      </c>
      <c r="E974" t="s">
        <v>2877</v>
      </c>
      <c r="F974">
        <v>36</v>
      </c>
      <c r="G974">
        <v>77</v>
      </c>
      <c r="H974">
        <v>49</v>
      </c>
      <c r="I974" t="s">
        <v>266</v>
      </c>
      <c r="J974" s="7">
        <f t="shared" si="135"/>
        <v>9</v>
      </c>
      <c r="K974" s="1">
        <v>45569</v>
      </c>
      <c r="L974" s="1">
        <f t="shared" si="136"/>
        <v>45569</v>
      </c>
      <c r="M974" t="s">
        <v>420</v>
      </c>
      <c r="N974" s="1">
        <f t="shared" si="137"/>
        <v>45589</v>
      </c>
      <c r="O974" s="1">
        <v>45902</v>
      </c>
      <c r="P974" s="1">
        <f t="shared" si="138"/>
        <v>45902</v>
      </c>
      <c r="Q974" t="s">
        <v>3748</v>
      </c>
      <c r="R974">
        <v>30</v>
      </c>
      <c r="S974">
        <v>84</v>
      </c>
      <c r="T974" t="s">
        <v>51</v>
      </c>
      <c r="U974" s="8">
        <v>270</v>
      </c>
      <c r="V974" s="8">
        <f t="shared" si="139"/>
        <v>324</v>
      </c>
      <c r="W974" t="str">
        <f t="shared" si="140"/>
        <v>Reorder Required</v>
      </c>
      <c r="X974" s="9">
        <f t="shared" si="141"/>
        <v>45566</v>
      </c>
      <c r="Y974">
        <f t="shared" si="142"/>
        <v>333</v>
      </c>
      <c r="Z974" t="str">
        <f t="shared" si="143"/>
        <v>Low Risk</v>
      </c>
    </row>
    <row r="975" spans="1:26" x14ac:dyDescent="0.4">
      <c r="A975" t="s">
        <v>3749</v>
      </c>
      <c r="B975" t="s">
        <v>1428</v>
      </c>
      <c r="C975" t="s">
        <v>169</v>
      </c>
      <c r="D975" t="s">
        <v>3750</v>
      </c>
      <c r="E975" t="s">
        <v>1145</v>
      </c>
      <c r="F975">
        <v>14</v>
      </c>
      <c r="G975">
        <v>67</v>
      </c>
      <c r="H975">
        <v>65</v>
      </c>
      <c r="I975" t="s">
        <v>32</v>
      </c>
      <c r="J975" s="7">
        <f t="shared" si="135"/>
        <v>20</v>
      </c>
      <c r="K975" t="s">
        <v>1238</v>
      </c>
      <c r="L975" s="1">
        <f t="shared" si="136"/>
        <v>45365</v>
      </c>
      <c r="M975" t="s">
        <v>107</v>
      </c>
      <c r="N975" s="1">
        <f t="shared" si="137"/>
        <v>45584</v>
      </c>
      <c r="O975" t="s">
        <v>107</v>
      </c>
      <c r="P975" s="1">
        <f t="shared" si="138"/>
        <v>45584</v>
      </c>
      <c r="Q975" t="s">
        <v>3751</v>
      </c>
      <c r="R975">
        <v>71</v>
      </c>
      <c r="S975">
        <v>94</v>
      </c>
      <c r="T975" t="s">
        <v>26</v>
      </c>
      <c r="U975" s="8">
        <v>1420</v>
      </c>
      <c r="V975" s="8">
        <f t="shared" si="139"/>
        <v>280</v>
      </c>
      <c r="W975" t="str">
        <f t="shared" si="140"/>
        <v>Reorder Required</v>
      </c>
      <c r="X975" s="9">
        <f t="shared" si="141"/>
        <v>45352</v>
      </c>
      <c r="Y975">
        <f t="shared" si="142"/>
        <v>219</v>
      </c>
      <c r="Z975" t="str">
        <f t="shared" si="143"/>
        <v>Low Risk</v>
      </c>
    </row>
    <row r="976" spans="1:26" x14ac:dyDescent="0.4">
      <c r="A976" t="s">
        <v>3752</v>
      </c>
      <c r="B976" t="s">
        <v>103</v>
      </c>
      <c r="C976" t="s">
        <v>18</v>
      </c>
      <c r="D976" t="s">
        <v>3753</v>
      </c>
      <c r="E976" t="s">
        <v>3076</v>
      </c>
      <c r="F976">
        <v>38</v>
      </c>
      <c r="G976">
        <v>82</v>
      </c>
      <c r="H976">
        <v>17</v>
      </c>
      <c r="I976" t="s">
        <v>106</v>
      </c>
      <c r="J976" s="7">
        <f t="shared" si="135"/>
        <v>2</v>
      </c>
      <c r="K976" t="s">
        <v>655</v>
      </c>
      <c r="L976" s="1">
        <f t="shared" si="136"/>
        <v>45655</v>
      </c>
      <c r="M976" t="s">
        <v>549</v>
      </c>
      <c r="N976" s="1">
        <f t="shared" si="137"/>
        <v>45372</v>
      </c>
      <c r="O976" s="1">
        <v>45451</v>
      </c>
      <c r="P976" s="1">
        <f t="shared" si="138"/>
        <v>45451</v>
      </c>
      <c r="Q976" t="s">
        <v>3754</v>
      </c>
      <c r="R976">
        <v>52</v>
      </c>
      <c r="S976">
        <v>47</v>
      </c>
      <c r="T976" t="s">
        <v>26</v>
      </c>
      <c r="U976" s="8">
        <v>104</v>
      </c>
      <c r="V976" s="8">
        <f t="shared" si="139"/>
        <v>76</v>
      </c>
      <c r="W976" t="str">
        <f t="shared" si="140"/>
        <v>Reorder Required</v>
      </c>
      <c r="X976" s="9">
        <f t="shared" si="141"/>
        <v>45627</v>
      </c>
      <c r="Y976">
        <f t="shared" si="142"/>
        <v>-204</v>
      </c>
      <c r="Z976" t="str">
        <f t="shared" si="143"/>
        <v>Invalid Data</v>
      </c>
    </row>
    <row r="977" spans="1:26" x14ac:dyDescent="0.4">
      <c r="A977" t="s">
        <v>3755</v>
      </c>
      <c r="B977" t="s">
        <v>482</v>
      </c>
      <c r="C977" t="s">
        <v>54</v>
      </c>
      <c r="D977" t="s">
        <v>3756</v>
      </c>
      <c r="E977" t="s">
        <v>489</v>
      </c>
      <c r="F977">
        <v>97</v>
      </c>
      <c r="G977">
        <v>52</v>
      </c>
      <c r="H977">
        <v>80</v>
      </c>
      <c r="I977" t="s">
        <v>85</v>
      </c>
      <c r="J977" s="7">
        <f t="shared" si="135"/>
        <v>3</v>
      </c>
      <c r="K977" t="s">
        <v>279</v>
      </c>
      <c r="L977" s="1">
        <f t="shared" si="136"/>
        <v>45676</v>
      </c>
      <c r="M977" t="s">
        <v>1151</v>
      </c>
      <c r="N977" s="1">
        <f t="shared" si="137"/>
        <v>45490</v>
      </c>
      <c r="O977" t="s">
        <v>244</v>
      </c>
      <c r="P977" s="1">
        <f t="shared" si="138"/>
        <v>45578</v>
      </c>
      <c r="Q977" t="s">
        <v>3757</v>
      </c>
      <c r="R977">
        <v>22</v>
      </c>
      <c r="S977">
        <v>90</v>
      </c>
      <c r="T977" t="s">
        <v>42</v>
      </c>
      <c r="U977" s="8">
        <v>66</v>
      </c>
      <c r="V977" s="8">
        <f t="shared" si="139"/>
        <v>291</v>
      </c>
      <c r="W977" t="str">
        <f t="shared" si="140"/>
        <v>Sufficient Stock</v>
      </c>
      <c r="X977" s="9">
        <f t="shared" si="141"/>
        <v>45658</v>
      </c>
      <c r="Y977">
        <f t="shared" si="142"/>
        <v>-98</v>
      </c>
      <c r="Z977" t="str">
        <f t="shared" si="143"/>
        <v>Invalid Data</v>
      </c>
    </row>
    <row r="978" spans="1:26" x14ac:dyDescent="0.4">
      <c r="A978" t="s">
        <v>3758</v>
      </c>
      <c r="B978" t="s">
        <v>869</v>
      </c>
      <c r="C978" t="s">
        <v>29</v>
      </c>
      <c r="D978" t="s">
        <v>3759</v>
      </c>
      <c r="E978" t="s">
        <v>1246</v>
      </c>
      <c r="F978">
        <v>64</v>
      </c>
      <c r="G978">
        <v>66</v>
      </c>
      <c r="H978">
        <v>28</v>
      </c>
      <c r="I978" t="s">
        <v>147</v>
      </c>
      <c r="J978" s="7">
        <f t="shared" si="135"/>
        <v>8</v>
      </c>
      <c r="K978" t="s">
        <v>164</v>
      </c>
      <c r="L978" s="1">
        <f t="shared" si="136"/>
        <v>45440</v>
      </c>
      <c r="M978" t="s">
        <v>1217</v>
      </c>
      <c r="N978" s="1">
        <f t="shared" si="137"/>
        <v>45671</v>
      </c>
      <c r="O978" t="s">
        <v>259</v>
      </c>
      <c r="P978" s="1">
        <f t="shared" si="138"/>
        <v>45523</v>
      </c>
      <c r="Q978" t="s">
        <v>3760</v>
      </c>
      <c r="R978">
        <v>25</v>
      </c>
      <c r="S978">
        <v>52</v>
      </c>
      <c r="T978" t="s">
        <v>26</v>
      </c>
      <c r="U978" s="8">
        <v>200</v>
      </c>
      <c r="V978" s="8">
        <f t="shared" si="139"/>
        <v>512</v>
      </c>
      <c r="W978" t="str">
        <f t="shared" si="140"/>
        <v>Reorder Required</v>
      </c>
      <c r="X978" s="9">
        <f t="shared" si="141"/>
        <v>45413</v>
      </c>
      <c r="Y978">
        <f t="shared" si="142"/>
        <v>83</v>
      </c>
      <c r="Z978" t="str">
        <f t="shared" si="143"/>
        <v>High Risk</v>
      </c>
    </row>
    <row r="979" spans="1:26" x14ac:dyDescent="0.4">
      <c r="A979" t="s">
        <v>3761</v>
      </c>
      <c r="B979" t="s">
        <v>1104</v>
      </c>
      <c r="C979" t="s">
        <v>54</v>
      </c>
      <c r="D979" t="s">
        <v>3762</v>
      </c>
      <c r="E979" t="s">
        <v>1718</v>
      </c>
      <c r="F979">
        <v>14</v>
      </c>
      <c r="G979">
        <v>75</v>
      </c>
      <c r="H979">
        <v>19</v>
      </c>
      <c r="I979" t="s">
        <v>1728</v>
      </c>
      <c r="J979" s="7">
        <f t="shared" si="135"/>
        <v>1.9</v>
      </c>
      <c r="K979" t="s">
        <v>898</v>
      </c>
      <c r="L979" s="1">
        <f t="shared" si="136"/>
        <v>45650</v>
      </c>
      <c r="M979" s="1">
        <v>45601</v>
      </c>
      <c r="N979" s="1">
        <f t="shared" si="137"/>
        <v>45601</v>
      </c>
      <c r="O979" s="1">
        <v>45385</v>
      </c>
      <c r="P979" s="1">
        <f t="shared" si="138"/>
        <v>45385</v>
      </c>
      <c r="Q979" t="s">
        <v>3763</v>
      </c>
      <c r="R979">
        <v>100</v>
      </c>
      <c r="S979">
        <v>84</v>
      </c>
      <c r="T979" t="s">
        <v>42</v>
      </c>
      <c r="U979" s="8">
        <v>190</v>
      </c>
      <c r="V979" s="8">
        <f t="shared" si="139"/>
        <v>26.599999999999998</v>
      </c>
      <c r="W979" t="str">
        <f t="shared" si="140"/>
        <v>Reorder Required</v>
      </c>
      <c r="X979" s="9">
        <f t="shared" si="141"/>
        <v>45627</v>
      </c>
      <c r="Y979">
        <f t="shared" si="142"/>
        <v>-265</v>
      </c>
      <c r="Z979" t="str">
        <f t="shared" si="143"/>
        <v>Invalid Data</v>
      </c>
    </row>
    <row r="980" spans="1:26" x14ac:dyDescent="0.4">
      <c r="A980" t="s">
        <v>3764</v>
      </c>
      <c r="B980" t="s">
        <v>789</v>
      </c>
      <c r="C980" t="s">
        <v>68</v>
      </c>
      <c r="D980" t="s">
        <v>3765</v>
      </c>
      <c r="E980" t="s">
        <v>1061</v>
      </c>
      <c r="F980">
        <v>24</v>
      </c>
      <c r="G980">
        <v>89</v>
      </c>
      <c r="H980">
        <v>27</v>
      </c>
      <c r="I980" t="s">
        <v>591</v>
      </c>
      <c r="J980" s="7">
        <f t="shared" si="135"/>
        <v>10</v>
      </c>
      <c r="K980" s="1">
        <v>45569</v>
      </c>
      <c r="L980" s="1">
        <f t="shared" si="136"/>
        <v>45569</v>
      </c>
      <c r="M980" t="s">
        <v>1205</v>
      </c>
      <c r="N980" s="1">
        <f t="shared" si="137"/>
        <v>45580</v>
      </c>
      <c r="O980" t="s">
        <v>236</v>
      </c>
      <c r="P980" s="1">
        <f t="shared" si="138"/>
        <v>45379</v>
      </c>
      <c r="Q980" t="s">
        <v>3766</v>
      </c>
      <c r="R980">
        <v>99</v>
      </c>
      <c r="S980">
        <v>1</v>
      </c>
      <c r="T980" t="s">
        <v>26</v>
      </c>
      <c r="U980" s="8">
        <v>990</v>
      </c>
      <c r="V980" s="8">
        <f t="shared" si="139"/>
        <v>240</v>
      </c>
      <c r="W980" t="str">
        <f t="shared" si="140"/>
        <v>Reorder Required</v>
      </c>
      <c r="X980" s="9">
        <f t="shared" si="141"/>
        <v>45566</v>
      </c>
      <c r="Y980">
        <f t="shared" si="142"/>
        <v>-190</v>
      </c>
      <c r="Z980" t="str">
        <f t="shared" si="143"/>
        <v>Invalid Data</v>
      </c>
    </row>
    <row r="981" spans="1:26" x14ac:dyDescent="0.4">
      <c r="A981" t="s">
        <v>3767</v>
      </c>
      <c r="B981" t="s">
        <v>677</v>
      </c>
      <c r="C981" t="s">
        <v>169</v>
      </c>
      <c r="D981" t="s">
        <v>3768</v>
      </c>
      <c r="E981" t="s">
        <v>1297</v>
      </c>
      <c r="F981">
        <v>100</v>
      </c>
      <c r="G981">
        <v>61</v>
      </c>
      <c r="H981">
        <v>21</v>
      </c>
      <c r="I981" t="s">
        <v>134</v>
      </c>
      <c r="J981" s="7">
        <f t="shared" si="135"/>
        <v>7</v>
      </c>
      <c r="K981" t="s">
        <v>121</v>
      </c>
      <c r="L981" s="1">
        <f t="shared" si="136"/>
        <v>45556</v>
      </c>
      <c r="M981" t="s">
        <v>315</v>
      </c>
      <c r="N981" s="1">
        <f t="shared" si="137"/>
        <v>45651</v>
      </c>
      <c r="O981" t="s">
        <v>566</v>
      </c>
      <c r="P981" s="1">
        <f t="shared" si="138"/>
        <v>45430</v>
      </c>
      <c r="Q981" t="s">
        <v>3769</v>
      </c>
      <c r="R981">
        <v>85</v>
      </c>
      <c r="S981">
        <v>79</v>
      </c>
      <c r="T981" t="s">
        <v>42</v>
      </c>
      <c r="U981" s="8">
        <v>595</v>
      </c>
      <c r="V981" s="8">
        <f t="shared" si="139"/>
        <v>700</v>
      </c>
      <c r="W981" t="str">
        <f t="shared" si="140"/>
        <v>Sufficient Stock</v>
      </c>
      <c r="X981" s="9">
        <f t="shared" si="141"/>
        <v>45536</v>
      </c>
      <c r="Y981">
        <f t="shared" si="142"/>
        <v>-126</v>
      </c>
      <c r="Z981" t="str">
        <f t="shared" si="143"/>
        <v>Invalid Data</v>
      </c>
    </row>
    <row r="982" spans="1:26" x14ac:dyDescent="0.4">
      <c r="A982" t="s">
        <v>3770</v>
      </c>
      <c r="B982" t="s">
        <v>621</v>
      </c>
      <c r="C982" t="s">
        <v>18</v>
      </c>
      <c r="D982" t="s">
        <v>3771</v>
      </c>
      <c r="E982" t="s">
        <v>1625</v>
      </c>
      <c r="F982">
        <v>62</v>
      </c>
      <c r="G982">
        <v>36</v>
      </c>
      <c r="H982">
        <v>96</v>
      </c>
      <c r="I982" t="s">
        <v>624</v>
      </c>
      <c r="J982" s="7">
        <f t="shared" si="135"/>
        <v>4.75</v>
      </c>
      <c r="K982" s="1">
        <v>45355</v>
      </c>
      <c r="L982" s="1">
        <f t="shared" si="136"/>
        <v>45355</v>
      </c>
      <c r="M982" s="1">
        <v>45569</v>
      </c>
      <c r="N982" s="1">
        <f t="shared" si="137"/>
        <v>45569</v>
      </c>
      <c r="O982" t="s">
        <v>1129</v>
      </c>
      <c r="P982" s="1">
        <f t="shared" si="138"/>
        <v>45439</v>
      </c>
      <c r="Q982" t="s">
        <v>3772</v>
      </c>
      <c r="R982">
        <v>31</v>
      </c>
      <c r="S982">
        <v>25</v>
      </c>
      <c r="T982" t="s">
        <v>26</v>
      </c>
      <c r="U982" s="8">
        <v>147.25</v>
      </c>
      <c r="V982" s="8">
        <f t="shared" si="139"/>
        <v>294.5</v>
      </c>
      <c r="W982" t="str">
        <f t="shared" si="140"/>
        <v>Sufficient Stock</v>
      </c>
      <c r="X982" s="9">
        <f t="shared" si="141"/>
        <v>45352</v>
      </c>
      <c r="Y982">
        <f t="shared" si="142"/>
        <v>84</v>
      </c>
      <c r="Z982" t="str">
        <f t="shared" si="143"/>
        <v>High Risk</v>
      </c>
    </row>
    <row r="983" spans="1:26" x14ac:dyDescent="0.4">
      <c r="A983" t="s">
        <v>3773</v>
      </c>
      <c r="B983" t="s">
        <v>1046</v>
      </c>
      <c r="C983" t="s">
        <v>18</v>
      </c>
      <c r="D983" t="s">
        <v>3774</v>
      </c>
      <c r="E983" t="s">
        <v>380</v>
      </c>
      <c r="F983">
        <v>71</v>
      </c>
      <c r="G983">
        <v>60</v>
      </c>
      <c r="H983">
        <v>62</v>
      </c>
      <c r="I983" t="s">
        <v>21</v>
      </c>
      <c r="J983" s="7">
        <f t="shared" si="135"/>
        <v>4.5</v>
      </c>
      <c r="K983" t="s">
        <v>422</v>
      </c>
      <c r="L983" s="1">
        <f t="shared" si="136"/>
        <v>45531</v>
      </c>
      <c r="M983" t="s">
        <v>718</v>
      </c>
      <c r="N983" s="1">
        <f t="shared" si="137"/>
        <v>45376</v>
      </c>
      <c r="O983" t="s">
        <v>1238</v>
      </c>
      <c r="P983" s="1">
        <f t="shared" si="138"/>
        <v>45365</v>
      </c>
      <c r="Q983" t="s">
        <v>3775</v>
      </c>
      <c r="R983">
        <v>60</v>
      </c>
      <c r="S983">
        <v>63</v>
      </c>
      <c r="T983" t="s">
        <v>26</v>
      </c>
      <c r="U983" s="8">
        <v>270</v>
      </c>
      <c r="V983" s="8">
        <f t="shared" si="139"/>
        <v>319.5</v>
      </c>
      <c r="W983" t="str">
        <f t="shared" si="140"/>
        <v>Sufficient Stock</v>
      </c>
      <c r="X983" s="9">
        <f t="shared" si="141"/>
        <v>45505</v>
      </c>
      <c r="Y983">
        <f t="shared" si="142"/>
        <v>-166</v>
      </c>
      <c r="Z983" t="str">
        <f t="shared" si="143"/>
        <v>Invalid Data</v>
      </c>
    </row>
    <row r="984" spans="1:26" x14ac:dyDescent="0.4">
      <c r="A984" t="s">
        <v>3776</v>
      </c>
      <c r="B984" t="s">
        <v>189</v>
      </c>
      <c r="C984" t="s">
        <v>77</v>
      </c>
      <c r="D984" t="s">
        <v>3777</v>
      </c>
      <c r="E984" t="s">
        <v>1230</v>
      </c>
      <c r="F984">
        <v>38</v>
      </c>
      <c r="G984">
        <v>67</v>
      </c>
      <c r="H984">
        <v>66</v>
      </c>
      <c r="I984" t="s">
        <v>172</v>
      </c>
      <c r="J984" s="7">
        <f t="shared" si="135"/>
        <v>12</v>
      </c>
      <c r="K984" s="1">
        <v>45295</v>
      </c>
      <c r="L984" s="1">
        <f t="shared" si="136"/>
        <v>45295</v>
      </c>
      <c r="M984" t="s">
        <v>192</v>
      </c>
      <c r="N984" s="1">
        <f t="shared" si="137"/>
        <v>45647</v>
      </c>
      <c r="O984" s="1">
        <v>45508</v>
      </c>
      <c r="P984" s="1">
        <f t="shared" si="138"/>
        <v>45508</v>
      </c>
      <c r="Q984" t="s">
        <v>3778</v>
      </c>
      <c r="R984">
        <v>35</v>
      </c>
      <c r="S984">
        <v>24</v>
      </c>
      <c r="T984" t="s">
        <v>26</v>
      </c>
      <c r="U984" s="8">
        <v>420</v>
      </c>
      <c r="V984" s="8">
        <f t="shared" si="139"/>
        <v>456</v>
      </c>
      <c r="W984" t="str">
        <f t="shared" si="140"/>
        <v>Reorder Required</v>
      </c>
      <c r="X984" s="9">
        <f t="shared" si="141"/>
        <v>45292</v>
      </c>
      <c r="Y984">
        <f t="shared" si="142"/>
        <v>213</v>
      </c>
      <c r="Z984" t="str">
        <f t="shared" si="143"/>
        <v>Low Risk</v>
      </c>
    </row>
    <row r="985" spans="1:26" x14ac:dyDescent="0.4">
      <c r="A985" t="s">
        <v>3779</v>
      </c>
      <c r="B985" t="s">
        <v>885</v>
      </c>
      <c r="C985" t="s">
        <v>18</v>
      </c>
      <c r="D985" t="s">
        <v>3780</v>
      </c>
      <c r="E985" t="s">
        <v>846</v>
      </c>
      <c r="F985">
        <v>88</v>
      </c>
      <c r="G985">
        <v>34</v>
      </c>
      <c r="H985">
        <v>94</v>
      </c>
      <c r="I985" t="s">
        <v>554</v>
      </c>
      <c r="J985" s="7">
        <f t="shared" si="135"/>
        <v>2.4</v>
      </c>
      <c r="K985" t="s">
        <v>1508</v>
      </c>
      <c r="L985" s="1">
        <f t="shared" si="136"/>
        <v>45653</v>
      </c>
      <c r="M985" t="s">
        <v>599</v>
      </c>
      <c r="N985" s="1">
        <f t="shared" si="137"/>
        <v>45708</v>
      </c>
      <c r="O985" t="s">
        <v>287</v>
      </c>
      <c r="P985" s="1">
        <f t="shared" si="138"/>
        <v>45595</v>
      </c>
      <c r="Q985" t="s">
        <v>3781</v>
      </c>
      <c r="R985">
        <v>95</v>
      </c>
      <c r="S985">
        <v>63</v>
      </c>
      <c r="T985" t="s">
        <v>51</v>
      </c>
      <c r="U985" s="8">
        <v>228</v>
      </c>
      <c r="V985" s="8">
        <f t="shared" si="139"/>
        <v>211.2</v>
      </c>
      <c r="W985" t="str">
        <f t="shared" si="140"/>
        <v>Sufficient Stock</v>
      </c>
      <c r="X985" s="9">
        <f t="shared" si="141"/>
        <v>45627</v>
      </c>
      <c r="Y985">
        <f t="shared" si="142"/>
        <v>-58</v>
      </c>
      <c r="Z985" t="str">
        <f t="shared" si="143"/>
        <v>Invalid Data</v>
      </c>
    </row>
    <row r="986" spans="1:26" x14ac:dyDescent="0.4">
      <c r="A986" t="s">
        <v>3782</v>
      </c>
      <c r="B986" t="s">
        <v>363</v>
      </c>
      <c r="C986" t="s">
        <v>112</v>
      </c>
      <c r="D986" t="s">
        <v>3783</v>
      </c>
      <c r="E986" t="s">
        <v>1585</v>
      </c>
      <c r="F986">
        <v>40</v>
      </c>
      <c r="G986">
        <v>30</v>
      </c>
      <c r="H986">
        <v>65</v>
      </c>
      <c r="I986" t="s">
        <v>21</v>
      </c>
      <c r="J986" s="7">
        <f t="shared" si="135"/>
        <v>4.5</v>
      </c>
      <c r="K986" s="1">
        <v>45329</v>
      </c>
      <c r="L986" s="1">
        <f t="shared" si="136"/>
        <v>45329</v>
      </c>
      <c r="M986" t="s">
        <v>409</v>
      </c>
      <c r="N986" s="1">
        <f t="shared" si="137"/>
        <v>45370</v>
      </c>
      <c r="O986" t="s">
        <v>1720</v>
      </c>
      <c r="P986" s="1">
        <f t="shared" si="138"/>
        <v>45426</v>
      </c>
      <c r="Q986" t="s">
        <v>3784</v>
      </c>
      <c r="R986">
        <v>54</v>
      </c>
      <c r="S986">
        <v>29</v>
      </c>
      <c r="T986" t="s">
        <v>51</v>
      </c>
      <c r="U986" s="8">
        <v>243</v>
      </c>
      <c r="V986" s="8">
        <f t="shared" si="139"/>
        <v>180</v>
      </c>
      <c r="W986" t="str">
        <f t="shared" si="140"/>
        <v>Sufficient Stock</v>
      </c>
      <c r="X986" s="9">
        <f t="shared" si="141"/>
        <v>45323</v>
      </c>
      <c r="Y986">
        <f t="shared" si="142"/>
        <v>97</v>
      </c>
      <c r="Z986" t="str">
        <f t="shared" si="143"/>
        <v>Medium Risk</v>
      </c>
    </row>
    <row r="987" spans="1:26" x14ac:dyDescent="0.4">
      <c r="A987" t="s">
        <v>3785</v>
      </c>
      <c r="B987" t="s">
        <v>161</v>
      </c>
      <c r="C987" t="s">
        <v>54</v>
      </c>
      <c r="D987" t="s">
        <v>3786</v>
      </c>
      <c r="E987" t="s">
        <v>604</v>
      </c>
      <c r="F987">
        <v>88</v>
      </c>
      <c r="G987">
        <v>78</v>
      </c>
      <c r="H987">
        <v>17</v>
      </c>
      <c r="I987" t="s">
        <v>71</v>
      </c>
      <c r="J987" s="7">
        <f t="shared" si="135"/>
        <v>2.5</v>
      </c>
      <c r="K987" s="1">
        <v>45452</v>
      </c>
      <c r="L987" s="1">
        <f t="shared" si="136"/>
        <v>45452</v>
      </c>
      <c r="M987" t="s">
        <v>158</v>
      </c>
      <c r="N987" s="1">
        <f t="shared" si="137"/>
        <v>45654</v>
      </c>
      <c r="O987" s="1">
        <v>45393</v>
      </c>
      <c r="P987" s="1">
        <f t="shared" si="138"/>
        <v>45393</v>
      </c>
      <c r="Q987" t="s">
        <v>3787</v>
      </c>
      <c r="R987">
        <v>58</v>
      </c>
      <c r="S987">
        <v>21</v>
      </c>
      <c r="T987" t="s">
        <v>51</v>
      </c>
      <c r="U987" s="8">
        <v>145</v>
      </c>
      <c r="V987" s="8">
        <f t="shared" si="139"/>
        <v>220</v>
      </c>
      <c r="W987" t="str">
        <f t="shared" si="140"/>
        <v>Sufficient Stock</v>
      </c>
      <c r="X987" s="9">
        <f t="shared" si="141"/>
        <v>45444</v>
      </c>
      <c r="Y987">
        <f t="shared" si="142"/>
        <v>-59</v>
      </c>
      <c r="Z987" t="str">
        <f t="shared" si="143"/>
        <v>Invalid Data</v>
      </c>
    </row>
    <row r="988" spans="1:26" x14ac:dyDescent="0.4">
      <c r="A988" t="s">
        <v>3788</v>
      </c>
      <c r="B988" t="s">
        <v>923</v>
      </c>
      <c r="C988" t="s">
        <v>77</v>
      </c>
      <c r="D988" t="s">
        <v>3789</v>
      </c>
      <c r="E988" t="s">
        <v>3790</v>
      </c>
      <c r="F988">
        <v>60</v>
      </c>
      <c r="G988">
        <v>9</v>
      </c>
      <c r="H988">
        <v>89</v>
      </c>
      <c r="I988" t="s">
        <v>266</v>
      </c>
      <c r="J988" s="7">
        <f t="shared" si="135"/>
        <v>9</v>
      </c>
      <c r="K988" s="1">
        <v>45297</v>
      </c>
      <c r="L988" s="1">
        <f t="shared" si="136"/>
        <v>45297</v>
      </c>
      <c r="M988" s="1">
        <v>45328</v>
      </c>
      <c r="N988" s="1">
        <f t="shared" si="137"/>
        <v>45328</v>
      </c>
      <c r="O988" s="1">
        <v>45422</v>
      </c>
      <c r="P988" s="1">
        <f t="shared" si="138"/>
        <v>45422</v>
      </c>
      <c r="Q988" t="s">
        <v>3791</v>
      </c>
      <c r="R988">
        <v>95</v>
      </c>
      <c r="S988">
        <v>63</v>
      </c>
      <c r="T988" t="s">
        <v>51</v>
      </c>
      <c r="U988" s="8">
        <v>855</v>
      </c>
      <c r="V988" s="8">
        <f t="shared" si="139"/>
        <v>540</v>
      </c>
      <c r="W988" t="str">
        <f t="shared" si="140"/>
        <v>Sufficient Stock</v>
      </c>
      <c r="X988" s="9">
        <f t="shared" si="141"/>
        <v>45292</v>
      </c>
      <c r="Y988">
        <f t="shared" si="142"/>
        <v>125</v>
      </c>
      <c r="Z988" t="str">
        <f t="shared" si="143"/>
        <v>Medium Risk</v>
      </c>
    </row>
    <row r="989" spans="1:26" x14ac:dyDescent="0.4">
      <c r="A989" t="s">
        <v>3792</v>
      </c>
      <c r="B989" t="s">
        <v>184</v>
      </c>
      <c r="C989" t="s">
        <v>54</v>
      </c>
      <c r="D989" t="s">
        <v>3793</v>
      </c>
      <c r="E989" t="s">
        <v>2501</v>
      </c>
      <c r="F989">
        <v>94</v>
      </c>
      <c r="G989">
        <v>90</v>
      </c>
      <c r="H989">
        <v>12</v>
      </c>
      <c r="I989" t="s">
        <v>2281</v>
      </c>
      <c r="J989" s="7">
        <f t="shared" si="135"/>
        <v>0.9</v>
      </c>
      <c r="K989" s="1">
        <v>45361</v>
      </c>
      <c r="L989" s="1">
        <f t="shared" si="136"/>
        <v>45361</v>
      </c>
      <c r="M989" t="s">
        <v>420</v>
      </c>
      <c r="N989" s="1">
        <f t="shared" si="137"/>
        <v>45589</v>
      </c>
      <c r="O989" s="1">
        <v>45302</v>
      </c>
      <c r="P989" s="1">
        <f t="shared" si="138"/>
        <v>45302</v>
      </c>
      <c r="Q989" t="s">
        <v>3794</v>
      </c>
      <c r="R989">
        <v>98</v>
      </c>
      <c r="S989">
        <v>71</v>
      </c>
      <c r="T989" t="s">
        <v>51</v>
      </c>
      <c r="U989" s="8">
        <v>88.2</v>
      </c>
      <c r="V989" s="8">
        <f t="shared" si="139"/>
        <v>84.600000000000009</v>
      </c>
      <c r="W989" t="str">
        <f t="shared" si="140"/>
        <v>Sufficient Stock</v>
      </c>
      <c r="X989" s="9">
        <f t="shared" si="141"/>
        <v>45352</v>
      </c>
      <c r="Y989">
        <f t="shared" si="142"/>
        <v>-59</v>
      </c>
      <c r="Z989" t="str">
        <f t="shared" si="143"/>
        <v>Invalid Data</v>
      </c>
    </row>
    <row r="990" spans="1:26" x14ac:dyDescent="0.4">
      <c r="A990" t="s">
        <v>3795</v>
      </c>
      <c r="B990" t="s">
        <v>789</v>
      </c>
      <c r="C990" t="s">
        <v>68</v>
      </c>
      <c r="D990" t="s">
        <v>3796</v>
      </c>
      <c r="E990" t="s">
        <v>472</v>
      </c>
      <c r="F990">
        <v>30</v>
      </c>
      <c r="G990">
        <v>48</v>
      </c>
      <c r="H990">
        <v>52</v>
      </c>
      <c r="I990" t="s">
        <v>591</v>
      </c>
      <c r="J990" s="7">
        <f t="shared" si="135"/>
        <v>10</v>
      </c>
      <c r="K990" s="1">
        <v>45602</v>
      </c>
      <c r="L990" s="1">
        <f t="shared" si="136"/>
        <v>45602</v>
      </c>
      <c r="M990" s="1">
        <v>45485</v>
      </c>
      <c r="N990" s="1">
        <f t="shared" si="137"/>
        <v>45485</v>
      </c>
      <c r="O990" t="s">
        <v>328</v>
      </c>
      <c r="P990" s="1">
        <f t="shared" si="138"/>
        <v>45412</v>
      </c>
      <c r="Q990" t="s">
        <v>3797</v>
      </c>
      <c r="R990">
        <v>22</v>
      </c>
      <c r="S990">
        <v>78</v>
      </c>
      <c r="T990" t="s">
        <v>51</v>
      </c>
      <c r="U990" s="8">
        <v>220</v>
      </c>
      <c r="V990" s="8">
        <f t="shared" si="139"/>
        <v>300</v>
      </c>
      <c r="W990" t="str">
        <f t="shared" si="140"/>
        <v>Reorder Required</v>
      </c>
      <c r="X990" s="9">
        <f t="shared" si="141"/>
        <v>45597</v>
      </c>
      <c r="Y990">
        <f t="shared" si="142"/>
        <v>-190</v>
      </c>
      <c r="Z990" t="str">
        <f t="shared" si="143"/>
        <v>Invalid Data</v>
      </c>
    </row>
    <row r="991" spans="1:26" x14ac:dyDescent="0.4">
      <c r="A991" t="s">
        <v>3798</v>
      </c>
      <c r="B991" t="s">
        <v>1470</v>
      </c>
      <c r="C991" t="s">
        <v>54</v>
      </c>
      <c r="D991" t="s">
        <v>3799</v>
      </c>
      <c r="E991" t="s">
        <v>2631</v>
      </c>
      <c r="F991">
        <v>19</v>
      </c>
      <c r="G991">
        <v>28</v>
      </c>
      <c r="H991">
        <v>83</v>
      </c>
      <c r="I991" t="s">
        <v>21</v>
      </c>
      <c r="J991" s="7">
        <f t="shared" si="135"/>
        <v>4.5</v>
      </c>
      <c r="K991" t="s">
        <v>402</v>
      </c>
      <c r="L991" s="1">
        <f t="shared" si="136"/>
        <v>45622</v>
      </c>
      <c r="M991" s="1">
        <v>45294</v>
      </c>
      <c r="N991" s="1">
        <f t="shared" si="137"/>
        <v>45294</v>
      </c>
      <c r="O991" t="s">
        <v>422</v>
      </c>
      <c r="P991" s="1">
        <f t="shared" si="138"/>
        <v>45531</v>
      </c>
      <c r="Q991" t="s">
        <v>3800</v>
      </c>
      <c r="R991">
        <v>91</v>
      </c>
      <c r="S991">
        <v>73</v>
      </c>
      <c r="T991" t="s">
        <v>26</v>
      </c>
      <c r="U991" s="8">
        <v>409.5</v>
      </c>
      <c r="V991" s="8">
        <f t="shared" si="139"/>
        <v>85.5</v>
      </c>
      <c r="W991" t="str">
        <f t="shared" si="140"/>
        <v>Reorder Required</v>
      </c>
      <c r="X991" s="9">
        <f t="shared" si="141"/>
        <v>45597</v>
      </c>
      <c r="Y991">
        <f t="shared" si="142"/>
        <v>-91</v>
      </c>
      <c r="Z991" t="str">
        <f t="shared" si="143"/>
        <v>Invalid Data</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4AF62-DF4B-421D-9CFD-A6D94055424E}">
  <dimension ref="W11:CD60"/>
  <sheetViews>
    <sheetView zoomScale="80" zoomScaleNormal="73" workbookViewId="0">
      <selection activeCell="Z20" sqref="Z20"/>
    </sheetView>
  </sheetViews>
  <sheetFormatPr defaultRowHeight="14.6" x14ac:dyDescent="0.4"/>
  <cols>
    <col min="1" max="18" width="9.23046875" style="18"/>
    <col min="19" max="19" width="9.61328125" style="18" customWidth="1"/>
    <col min="20" max="16384" width="9.23046875" style="18"/>
  </cols>
  <sheetData>
    <row r="11" spans="23:24" x14ac:dyDescent="0.4">
      <c r="W11"/>
      <c r="X11"/>
    </row>
    <row r="13" spans="23:24" x14ac:dyDescent="0.4">
      <c r="X13"/>
    </row>
    <row r="16" spans="23:24" x14ac:dyDescent="0.4">
      <c r="X16"/>
    </row>
    <row r="21" spans="31:31" x14ac:dyDescent="0.4">
      <c r="AE21"/>
    </row>
    <row r="60" spans="82:82" x14ac:dyDescent="0.4">
      <c r="CD60"/>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113FB-CAE2-4C7F-B172-90876B691490}">
  <dimension ref="A3:I17"/>
  <sheetViews>
    <sheetView workbookViewId="0">
      <selection activeCell="C8" sqref="C8"/>
    </sheetView>
  </sheetViews>
  <sheetFormatPr defaultRowHeight="14.6" x14ac:dyDescent="0.4"/>
  <cols>
    <col min="1" max="1" width="15.4609375" bestFit="1" customWidth="1"/>
    <col min="2" max="2" width="17.921875" bestFit="1" customWidth="1"/>
    <col min="3" max="3" width="23.765625" bestFit="1" customWidth="1"/>
    <col min="4" max="4" width="18.765625" bestFit="1" customWidth="1"/>
    <col min="5" max="5" width="32" bestFit="1" customWidth="1"/>
  </cols>
  <sheetData>
    <row r="3" spans="1:9" x14ac:dyDescent="0.4">
      <c r="A3" t="s">
        <v>3831</v>
      </c>
      <c r="B3" t="s">
        <v>3814</v>
      </c>
      <c r="C3" t="s">
        <v>3828</v>
      </c>
      <c r="D3" t="s">
        <v>3827</v>
      </c>
      <c r="E3" t="s">
        <v>3832</v>
      </c>
    </row>
    <row r="4" spans="1:9" x14ac:dyDescent="0.4">
      <c r="A4" s="19">
        <v>990</v>
      </c>
      <c r="B4" s="14">
        <v>344269.33999999991</v>
      </c>
      <c r="C4" s="14">
        <v>332654.71000000002</v>
      </c>
      <c r="D4" s="15">
        <v>58336</v>
      </c>
      <c r="E4" s="12">
        <v>50.150505050505053</v>
      </c>
    </row>
    <row r="5" spans="1:9" x14ac:dyDescent="0.4">
      <c r="I5" s="16">
        <f>E14</f>
        <v>0.53030303030303028</v>
      </c>
    </row>
    <row r="6" spans="1:9" x14ac:dyDescent="0.4">
      <c r="I6" s="16">
        <f>D14</f>
        <v>0.46969696969696972</v>
      </c>
    </row>
    <row r="7" spans="1:9" x14ac:dyDescent="0.4">
      <c r="A7" t="s">
        <v>3833</v>
      </c>
      <c r="B7" t="s">
        <v>3834</v>
      </c>
      <c r="C7" t="s">
        <v>3835</v>
      </c>
      <c r="D7" t="s">
        <v>3836</v>
      </c>
      <c r="E7" t="s">
        <v>3837</v>
      </c>
    </row>
    <row r="8" spans="1:9" x14ac:dyDescent="0.4">
      <c r="A8">
        <f>GETPIVOTDATA("Count of Product_ID",$A$3)</f>
        <v>990</v>
      </c>
      <c r="B8" s="21">
        <f>GETPIVOTDATA("Sum of REVENUE",$A$3)</f>
        <v>344269.33999999991</v>
      </c>
      <c r="C8" s="21">
        <f>GETPIVOTDATA("Sum of INVENTORY_VALUE",$A$3)</f>
        <v>332654.71000000002</v>
      </c>
      <c r="D8" s="20">
        <f>GETPIVOTDATA("Sum of Sales_Volume",$A$3)</f>
        <v>58336</v>
      </c>
      <c r="E8" s="12">
        <f>GETPIVOTDATA("Average of Inventory_Turnover_Rate",$A$3)</f>
        <v>50.150505050505053</v>
      </c>
    </row>
    <row r="12" spans="1:9" x14ac:dyDescent="0.4">
      <c r="D12" t="s">
        <v>3838</v>
      </c>
      <c r="E12" t="s">
        <v>3839</v>
      </c>
    </row>
    <row r="13" spans="1:9" x14ac:dyDescent="0.4">
      <c r="D13">
        <f>IFERROR(GETPIVOTDATA("Product_ID",$A$14,"REORDER_STATUS","Reorder Required"),0)</f>
        <v>465</v>
      </c>
      <c r="E13">
        <f>IFERROR(GETPIVOTDATA("Product_ID",$A$14,"REORDER_STATUS","Sufficient Stock"),0)</f>
        <v>525</v>
      </c>
    </row>
    <row r="14" spans="1:9" x14ac:dyDescent="0.4">
      <c r="A14" s="10" t="s">
        <v>3812</v>
      </c>
      <c r="B14" t="s">
        <v>3831</v>
      </c>
      <c r="D14" s="16">
        <f>D13/A8</f>
        <v>0.46969696969696972</v>
      </c>
      <c r="E14" s="17">
        <f>E13/A8</f>
        <v>0.53030303030303028</v>
      </c>
    </row>
    <row r="15" spans="1:9" x14ac:dyDescent="0.4">
      <c r="A15" s="11" t="s">
        <v>3829</v>
      </c>
      <c r="B15" s="19">
        <v>465</v>
      </c>
    </row>
    <row r="16" spans="1:9" x14ac:dyDescent="0.4">
      <c r="A16" s="11" t="s">
        <v>3830</v>
      </c>
      <c r="B16" s="19">
        <v>525</v>
      </c>
    </row>
    <row r="17" spans="1:2" x14ac:dyDescent="0.4">
      <c r="A17" s="11" t="s">
        <v>3813</v>
      </c>
      <c r="B17" s="19">
        <v>990</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9BEA1-189D-4AE4-B084-E5EA12F6F818}">
  <dimension ref="A3:B16"/>
  <sheetViews>
    <sheetView workbookViewId="0">
      <selection activeCell="B14" sqref="B14"/>
    </sheetView>
  </sheetViews>
  <sheetFormatPr defaultRowHeight="14.6" x14ac:dyDescent="0.4"/>
  <cols>
    <col min="1" max="1" width="12.3828125" bestFit="1" customWidth="1"/>
    <col min="2" max="2" width="18.765625" bestFit="1" customWidth="1"/>
  </cols>
  <sheetData>
    <row r="3" spans="1:2" x14ac:dyDescent="0.4">
      <c r="A3" s="10" t="s">
        <v>3812</v>
      </c>
      <c r="B3" t="s">
        <v>3827</v>
      </c>
    </row>
    <row r="4" spans="1:2" x14ac:dyDescent="0.4">
      <c r="A4" s="11" t="s">
        <v>3815</v>
      </c>
      <c r="B4" s="19">
        <v>4186</v>
      </c>
    </row>
    <row r="5" spans="1:2" x14ac:dyDescent="0.4">
      <c r="A5" s="11" t="s">
        <v>3816</v>
      </c>
      <c r="B5" s="19">
        <v>4182</v>
      </c>
    </row>
    <row r="6" spans="1:2" x14ac:dyDescent="0.4">
      <c r="A6" s="11" t="s">
        <v>3817</v>
      </c>
      <c r="B6" s="19">
        <v>5146</v>
      </c>
    </row>
    <row r="7" spans="1:2" x14ac:dyDescent="0.4">
      <c r="A7" s="11" t="s">
        <v>3818</v>
      </c>
      <c r="B7" s="19">
        <v>4244</v>
      </c>
    </row>
    <row r="8" spans="1:2" x14ac:dyDescent="0.4">
      <c r="A8" s="11" t="s">
        <v>3819</v>
      </c>
      <c r="B8" s="19">
        <v>4907</v>
      </c>
    </row>
    <row r="9" spans="1:2" x14ac:dyDescent="0.4">
      <c r="A9" s="11" t="s">
        <v>3820</v>
      </c>
      <c r="B9" s="19">
        <v>5506</v>
      </c>
    </row>
    <row r="10" spans="1:2" x14ac:dyDescent="0.4">
      <c r="A10" s="11" t="s">
        <v>3821</v>
      </c>
      <c r="B10" s="19">
        <v>4839</v>
      </c>
    </row>
    <row r="11" spans="1:2" x14ac:dyDescent="0.4">
      <c r="A11" s="11" t="s">
        <v>3822</v>
      </c>
      <c r="B11" s="19">
        <v>6133</v>
      </c>
    </row>
    <row r="12" spans="1:2" x14ac:dyDescent="0.4">
      <c r="A12" s="11" t="s">
        <v>3823</v>
      </c>
      <c r="B12" s="19">
        <v>4022</v>
      </c>
    </row>
    <row r="13" spans="1:2" x14ac:dyDescent="0.4">
      <c r="A13" s="11" t="s">
        <v>3824</v>
      </c>
      <c r="B13" s="19">
        <v>5815</v>
      </c>
    </row>
    <row r="14" spans="1:2" x14ac:dyDescent="0.4">
      <c r="A14" s="11" t="s">
        <v>3825</v>
      </c>
      <c r="B14" s="19">
        <v>4660</v>
      </c>
    </row>
    <row r="15" spans="1:2" x14ac:dyDescent="0.4">
      <c r="A15" s="11" t="s">
        <v>3826</v>
      </c>
      <c r="B15" s="19">
        <v>4696</v>
      </c>
    </row>
    <row r="16" spans="1:2" x14ac:dyDescent="0.4">
      <c r="A16" s="11" t="s">
        <v>3813</v>
      </c>
      <c r="B16" s="19">
        <v>58336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01E28-9F51-4900-B27E-8D9788031FFB}">
  <dimension ref="A3:B11"/>
  <sheetViews>
    <sheetView workbookViewId="0">
      <selection activeCell="A7" sqref="A4:A10"/>
    </sheetView>
  </sheetViews>
  <sheetFormatPr defaultRowHeight="14.6" x14ac:dyDescent="0.4"/>
  <cols>
    <col min="1" max="1" width="16.84375" bestFit="1" customWidth="1"/>
    <col min="2" max="2" width="15.07421875" bestFit="1" customWidth="1"/>
  </cols>
  <sheetData>
    <row r="3" spans="1:2" x14ac:dyDescent="0.4">
      <c r="A3" s="10" t="s">
        <v>3812</v>
      </c>
      <c r="B3" t="s">
        <v>3814</v>
      </c>
    </row>
    <row r="4" spans="1:2" x14ac:dyDescent="0.4">
      <c r="A4" s="11" t="s">
        <v>54</v>
      </c>
      <c r="B4" s="8">
        <v>91874.49000000002</v>
      </c>
    </row>
    <row r="5" spans="1:2" x14ac:dyDescent="0.4">
      <c r="A5" s="11" t="s">
        <v>29</v>
      </c>
      <c r="B5" s="8">
        <v>71517.55</v>
      </c>
    </row>
    <row r="6" spans="1:2" x14ac:dyDescent="0.4">
      <c r="A6" s="11" t="s">
        <v>169</v>
      </c>
      <c r="B6" s="8">
        <v>61539.1</v>
      </c>
    </row>
    <row r="7" spans="1:2" x14ac:dyDescent="0.4">
      <c r="A7" s="11" t="s">
        <v>77</v>
      </c>
      <c r="B7" s="8">
        <v>48413.950000000019</v>
      </c>
    </row>
    <row r="8" spans="1:2" x14ac:dyDescent="0.4">
      <c r="A8" s="11" t="s">
        <v>18</v>
      </c>
      <c r="B8" s="8">
        <v>33728.050000000003</v>
      </c>
    </row>
    <row r="9" spans="1:2" x14ac:dyDescent="0.4">
      <c r="A9" s="11" t="s">
        <v>68</v>
      </c>
      <c r="B9" s="8">
        <v>18841.899999999998</v>
      </c>
    </row>
    <row r="10" spans="1:2" x14ac:dyDescent="0.4">
      <c r="A10" s="11" t="s">
        <v>112</v>
      </c>
      <c r="B10" s="8">
        <v>18354.300000000003</v>
      </c>
    </row>
    <row r="11" spans="1:2" x14ac:dyDescent="0.4">
      <c r="A11" s="11" t="s">
        <v>3813</v>
      </c>
      <c r="B11" s="8">
        <v>344269.34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CFDD7-D868-4BC1-A969-4295B4B213B0}">
  <dimension ref="A3:B11"/>
  <sheetViews>
    <sheetView workbookViewId="0">
      <selection activeCell="B6" sqref="B6"/>
    </sheetView>
  </sheetViews>
  <sheetFormatPr defaultRowHeight="14.6" x14ac:dyDescent="0.4"/>
  <cols>
    <col min="1" max="1" width="16.84375" bestFit="1" customWidth="1"/>
    <col min="2" max="2" width="23.765625" bestFit="1" customWidth="1"/>
  </cols>
  <sheetData>
    <row r="3" spans="1:2" x14ac:dyDescent="0.4">
      <c r="A3" s="10" t="s">
        <v>3812</v>
      </c>
      <c r="B3" t="s">
        <v>3828</v>
      </c>
    </row>
    <row r="4" spans="1:2" x14ac:dyDescent="0.4">
      <c r="A4" s="11" t="s">
        <v>112</v>
      </c>
      <c r="B4" s="8">
        <v>16788.8</v>
      </c>
    </row>
    <row r="5" spans="1:2" x14ac:dyDescent="0.4">
      <c r="A5" s="11" t="s">
        <v>68</v>
      </c>
      <c r="B5" s="8">
        <v>17211.500000000004</v>
      </c>
    </row>
    <row r="6" spans="1:2" x14ac:dyDescent="0.4">
      <c r="A6" s="11" t="s">
        <v>18</v>
      </c>
      <c r="B6" s="8">
        <v>31922.7</v>
      </c>
    </row>
    <row r="7" spans="1:2" x14ac:dyDescent="0.4">
      <c r="A7" s="11" t="s">
        <v>77</v>
      </c>
      <c r="B7" s="8">
        <v>50648.44999999999</v>
      </c>
    </row>
    <row r="8" spans="1:2" x14ac:dyDescent="0.4">
      <c r="A8" s="11" t="s">
        <v>169</v>
      </c>
      <c r="B8" s="8">
        <v>62515.899999999994</v>
      </c>
    </row>
    <row r="9" spans="1:2" x14ac:dyDescent="0.4">
      <c r="A9" s="11" t="s">
        <v>29</v>
      </c>
      <c r="B9" s="8">
        <v>62942.25</v>
      </c>
    </row>
    <row r="10" spans="1:2" x14ac:dyDescent="0.4">
      <c r="A10" s="11" t="s">
        <v>54</v>
      </c>
      <c r="B10" s="8">
        <v>90625.11</v>
      </c>
    </row>
    <row r="11" spans="1:2" x14ac:dyDescent="0.4">
      <c r="A11" s="11" t="s">
        <v>3813</v>
      </c>
      <c r="B11" s="8">
        <v>332654.70999999996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42715-F91B-4035-8545-D8BCC6DBA6A1}">
  <dimension ref="A3:B6"/>
  <sheetViews>
    <sheetView workbookViewId="0">
      <selection activeCell="A4" sqref="A3:B6"/>
    </sheetView>
  </sheetViews>
  <sheetFormatPr defaultRowHeight="14.6" x14ac:dyDescent="0.4"/>
  <cols>
    <col min="1" max="1" width="15.4609375" bestFit="1" customWidth="1"/>
    <col min="2" max="2" width="17.921875" bestFit="1" customWidth="1"/>
  </cols>
  <sheetData>
    <row r="3" spans="1:2" x14ac:dyDescent="0.4">
      <c r="A3" s="10" t="s">
        <v>3812</v>
      </c>
      <c r="B3" t="s">
        <v>3831</v>
      </c>
    </row>
    <row r="4" spans="1:2" x14ac:dyDescent="0.4">
      <c r="A4" s="11" t="s">
        <v>3829</v>
      </c>
      <c r="B4" s="19">
        <v>465</v>
      </c>
    </row>
    <row r="5" spans="1:2" x14ac:dyDescent="0.4">
      <c r="A5" s="11" t="s">
        <v>3830</v>
      </c>
      <c r="B5" s="19">
        <v>525</v>
      </c>
    </row>
    <row r="6" spans="1:2" x14ac:dyDescent="0.4">
      <c r="A6" s="11" t="s">
        <v>3813</v>
      </c>
      <c r="B6" s="19">
        <v>990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39705-57FD-421D-B63A-6E386A62B096}">
  <dimension ref="A3:B14"/>
  <sheetViews>
    <sheetView topLeftCell="A2" workbookViewId="0">
      <selection activeCell="M12" sqref="M12"/>
    </sheetView>
  </sheetViews>
  <sheetFormatPr defaultRowHeight="14.6" x14ac:dyDescent="0.4"/>
  <cols>
    <col min="1" max="1" width="12.765625" bestFit="1" customWidth="1"/>
    <col min="2" max="2" width="15.07421875" bestFit="1" customWidth="1"/>
  </cols>
  <sheetData>
    <row r="3" spans="1:2" x14ac:dyDescent="0.4">
      <c r="A3" s="10" t="s">
        <v>3812</v>
      </c>
      <c r="B3" t="s">
        <v>3814</v>
      </c>
    </row>
    <row r="4" spans="1:2" x14ac:dyDescent="0.4">
      <c r="A4" s="11" t="s">
        <v>814</v>
      </c>
      <c r="B4" s="8">
        <v>7416</v>
      </c>
    </row>
    <row r="5" spans="1:2" x14ac:dyDescent="0.4">
      <c r="A5" s="11" t="s">
        <v>1761</v>
      </c>
      <c r="B5" s="8">
        <v>7425</v>
      </c>
    </row>
    <row r="6" spans="1:2" x14ac:dyDescent="0.4">
      <c r="A6" s="11" t="s">
        <v>82</v>
      </c>
      <c r="B6" s="8">
        <v>7495.4800000000005</v>
      </c>
    </row>
    <row r="7" spans="1:2" x14ac:dyDescent="0.4">
      <c r="A7" s="11" t="s">
        <v>263</v>
      </c>
      <c r="B7" s="8">
        <v>8028</v>
      </c>
    </row>
    <row r="8" spans="1:2" x14ac:dyDescent="0.4">
      <c r="A8" s="11" t="s">
        <v>318</v>
      </c>
      <c r="B8" s="8">
        <v>9978</v>
      </c>
    </row>
    <row r="9" spans="1:2" x14ac:dyDescent="0.4">
      <c r="A9" s="11" t="s">
        <v>255</v>
      </c>
      <c r="B9" s="8">
        <v>10113</v>
      </c>
    </row>
    <row r="10" spans="1:2" x14ac:dyDescent="0.4">
      <c r="A10" s="11" t="s">
        <v>709</v>
      </c>
      <c r="B10" s="8">
        <v>10117.68</v>
      </c>
    </row>
    <row r="11" spans="1:2" x14ac:dyDescent="0.4">
      <c r="A11" s="11" t="s">
        <v>1428</v>
      </c>
      <c r="B11" s="8">
        <v>10700</v>
      </c>
    </row>
    <row r="12" spans="1:2" x14ac:dyDescent="0.4">
      <c r="A12" s="11" t="s">
        <v>458</v>
      </c>
      <c r="B12" s="8">
        <v>15965.65</v>
      </c>
    </row>
    <row r="13" spans="1:2" x14ac:dyDescent="0.4">
      <c r="A13" s="11" t="s">
        <v>28</v>
      </c>
      <c r="B13" s="8">
        <v>17644</v>
      </c>
    </row>
    <row r="14" spans="1:2" x14ac:dyDescent="0.4">
      <c r="A14" s="11" t="s">
        <v>3813</v>
      </c>
      <c r="B14" s="8">
        <v>104882.81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F5D-B9EA-4EFE-BEC0-28675724AA84}">
  <dimension ref="A3:B11"/>
  <sheetViews>
    <sheetView tabSelected="1" workbookViewId="0">
      <selection activeCell="I23" sqref="I23"/>
    </sheetView>
  </sheetViews>
  <sheetFormatPr defaultRowHeight="14.6" x14ac:dyDescent="0.4"/>
  <cols>
    <col min="1" max="1" width="16.84375" bestFit="1" customWidth="1"/>
    <col min="2" max="2" width="32" bestFit="1" customWidth="1"/>
  </cols>
  <sheetData>
    <row r="3" spans="1:2" x14ac:dyDescent="0.4">
      <c r="A3" s="10" t="s">
        <v>3812</v>
      </c>
      <c r="B3" t="s">
        <v>3832</v>
      </c>
    </row>
    <row r="4" spans="1:2" x14ac:dyDescent="0.4">
      <c r="A4" s="11" t="s">
        <v>169</v>
      </c>
      <c r="B4" s="13">
        <v>53.733333333333334</v>
      </c>
    </row>
    <row r="5" spans="1:2" x14ac:dyDescent="0.4">
      <c r="A5" s="11" t="s">
        <v>77</v>
      </c>
      <c r="B5" s="13">
        <v>53.563535911602209</v>
      </c>
    </row>
    <row r="6" spans="1:2" x14ac:dyDescent="0.4">
      <c r="A6" s="11" t="s">
        <v>29</v>
      </c>
      <c r="B6" s="13">
        <v>51.306666666666665</v>
      </c>
    </row>
    <row r="7" spans="1:2" x14ac:dyDescent="0.4">
      <c r="A7" s="11" t="s">
        <v>112</v>
      </c>
      <c r="B7" s="13">
        <v>50.527027027027025</v>
      </c>
    </row>
    <row r="8" spans="1:2" x14ac:dyDescent="0.4">
      <c r="A8" s="11" t="s">
        <v>54</v>
      </c>
      <c r="B8" s="13">
        <v>49.373493975903614</v>
      </c>
    </row>
    <row r="9" spans="1:2" x14ac:dyDescent="0.4">
      <c r="A9" s="11" t="s">
        <v>18</v>
      </c>
      <c r="B9" s="13">
        <v>47.559006211180126</v>
      </c>
    </row>
    <row r="10" spans="1:2" x14ac:dyDescent="0.4">
      <c r="A10" s="11" t="s">
        <v>68</v>
      </c>
      <c r="B10" s="13">
        <v>45.220779220779221</v>
      </c>
    </row>
    <row r="11" spans="1:2" x14ac:dyDescent="0.4">
      <c r="A11" s="11" t="s">
        <v>3813</v>
      </c>
      <c r="B11" s="19">
        <v>50.150505050505053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Cleaned_data</vt:lpstr>
      <vt:lpstr>Dashboard</vt:lpstr>
      <vt:lpstr>KPI's</vt:lpstr>
      <vt:lpstr>Monthly _Trends</vt:lpstr>
      <vt:lpstr>Revenue by category</vt:lpstr>
      <vt:lpstr>Invt value by category</vt:lpstr>
      <vt:lpstr>Reorder status Dist</vt:lpstr>
      <vt:lpstr>Top Products</vt:lpstr>
      <vt:lpstr>Inventory Turnover 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Ramagiri Nikhil</dc:creator>
  <cp:lastModifiedBy>nikhil ramagiri</cp:lastModifiedBy>
  <dcterms:created xsi:type="dcterms:W3CDTF">2026-07-02T14:59:36Z</dcterms:created>
  <dcterms:modified xsi:type="dcterms:W3CDTF">2026-07-05T11:38:46Z</dcterms:modified>
</cp:coreProperties>
</file>